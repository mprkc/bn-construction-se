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criteria" sheetId="1" r:id="rId5"/>
    <sheet state="visible" name="QA results" sheetId="2" r:id="rId6"/>
    <sheet state="visible" name="Data extraction" sheetId="3" r:id="rId7"/>
    <sheet state="visible" name="Final set"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tc={b78da4b7-004f-442e-b1f3-636cd93adfc3}</author>
    <author>tc={bae015c2-a8dd-4456-9e69-8a4c5ad09e45}</author>
    <author>tc={d1a48c41-3989-4263-8b70-2a8da91334d3}</author>
  </authors>
  <commentList>
    <comment authorId="0" xr:uid="{b78da4b7-004f-442e-b1f3-636cd93adfc3}" ref="A1">
      <text>
        <t xml:space="preserve">[Threaded comment]
 Your version of Excel allows you to read this threaded comment; however, any edits to it will get removed if the file is opened in a newer version of Excel. Learn more: https://go.microsoft.com/fwlink/?linkid=870924
Comment:
	Decidir se mantém (formal knowledge/model)
</t>
      </text>
    </comment>
    <comment authorId="1" xr:uid="{bae015c2-a8dd-4456-9e69-8a4c5ad09e45}" ref="A1">
      <text>
        <t xml:space="preserve">[Threaded comment]
 Your version of Excel allows you to read this threaded comment; however, any edits to it will get removed if the file is opened in a newer version of Excel. Learn more: https://go.microsoft.com/fwlink/?linkid=870924
Comment:
	formal knowledge/model
</t>
      </text>
    </comment>
    <comment authorId="2" xr:uid="{d1a48c41-3989-4263-8b70-2a8da91334d3}" ref="A1">
      <text>
        <t xml:space="preserve">[Threaded comment]
 Your version of Excel allows you to read this threaded comment; however, any edits to it will get removed if the file is opened in a newer version of Excel. Learn more: https://go.microsoft.com/fwlink/?linkid=870924
Comment:
	Como a estrutura foi criada por uma algoritmo de structure learning + expert-based structural constraints, eu inferi que as CPTs foram criadas automaticamente com uma ferramenta a partir dos dados do survey (obtidos de experts). "5) Comparison with other risk analysis models: First, the causality knowledge in our model is learned from the data (objective) and not derived from the individual experience of project managers/ experts (subjective). Therefore, our model is more reliable than other BNs that incorporate subjective knowledge." Às vezes eu fico confuso quando os autores dizem que as relações causais não são obtidas de experts, sendo que os dados obtidos refletem a experiência de profissionais em projetos recentes. Tipo, o modelo foi construído baseado em dados, mas dados provenientes da cabeça dos experts.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tc={2c3d86bb-e44d-4ed1-8f2d-67052a31fc28}</author>
    <author>tc={2c52b5b0-12a0-41c7-888f-a2ff6f5ed612}</author>
    <author>tc={35409557-1a25-4017-b4c1-a80900344ee4}</author>
    <author>tc={4770eb9a-4730-4734-a80d-c96b33ccffa9}</author>
    <author>tc={7785c502-5470-4c0d-b7e5-d696fd12add3}</author>
    <author>tc={810697a1-d97b-4629-bc4a-148ed9882f95}</author>
    <author>tc={a53d7713-f319-4e31-b61a-93a4e9189a92}</author>
    <author>tc={bfe4c43a-c04e-4d32-bdf9-a3da5a23b629}</author>
  </authors>
  <commentList>
    <comment authorId="0" xr:uid="{2c3d86bb-e44d-4ed1-8f2d-67052a31fc28}" ref="J4">
      <text>
        <t xml:space="preserve">[Threaded comment]
 Your version of Excel allows you to read this threaded comment; however, any edits to it will get removed if the file is opened in a newer version of Excel. Learn more: https://go.microsoft.com/fwlink/?linkid=870924
Comment:
	Justificativa para 0.5: A única coisa explícita sobre relacionamentos é o seguinte: "Links are formed between these nodes to represent how they influence each other, leading to the acyclic graph shown in Fig. 3." Além disso, eles não dizem explicitamente que usaram focus group. Dada a definição abrangente que usamos no artigo do IST (abrangendo também workshops, brainstorming, knowledge elicitation sessions, etc), inferi que usaram focus group a partir de alguns trechos, por exemplo, "These factors were identified in our review of the literature and were evaluated by a Kanban project team at our industry partner Andersen Corporation (Bayport, Minnesota US)." e "The project team we worked with expressed that this was unusual..." Aqui me pareceu que houve uma discussão com experts para definir os relacionamentos. Caso achem que eu forcei demais a barra ao atribuir focus group, podemos deixar como not specified e atribuir 0.0.
Reply:
	Não necessariamente foi focus group, eles podem ter montando um questionário, mas enfim, pelo menos ele dizem daonde eles tiraram os fatores/relacoes iniciais (literatura) e que consultaram experts (só n dizem como). Acho que 0.5 ta ok
</t>
      </text>
    </comment>
    <comment authorId="1" xr:uid="{2c52b5b0-12a0-41c7-888f-a2ff6f5ed612}" ref="N4">
      <text>
        <t xml:space="preserve">[Threaded comment]
 Your version of Excel allows you to read this threaded comment; however, any edits to it will get removed if the file is opened in a newer version of Excel. Learn more: https://go.microsoft.com/fwlink/?linkid=870924
Comment:
	Justificativa para 0.5: É difícil um artigo detalhar bem essa parte ou mencionar explicitamente. Atribuí 0.5 por conta desse trecho: " If a team finds that the estimates are not matching the actual lead time values, it will make sense for the team to gather better data for the Average Task Size node after the Average Team Daily Velocity node". Acredito que deve ter havido uma expert review para concluir que "estimates are not matching the actual lead time values".
Reply:
	ok
</t>
      </text>
    </comment>
    <comment authorId="2" xr:uid="{35409557-1a25-4017-b4c1-a80900344ee4}" ref="P35">
      <text>
        <t xml:space="preserve">[Threaded comment]
 Your version of Excel allows you to read this threaded comment; however, any edits to it will get removed if the file is opened in a newer version of Excel. Learn more: https://go.microsoft.com/fwlink/?linkid=870924
Comment:
	Justificativa para 0.5: me parece que usou predictive accuracy, comparando alguns dados de projetos com os resultados do modelo, mas sem grandes detalhes. "The actual faults and those obtained by implementing Bayesian Belief Networks for predicting the expected number of faults in 3 different projects before testing are illustrated in Table 4; The results above show better fault predicting accuracy of BBN model with around 81% correlation with the actual faults."
Reply:
	ok
</t>
      </text>
    </comment>
    <comment authorId="3" xr:uid="{4770eb9a-4730-4734-a80d-c96b33ccffa9}" ref="H30">
      <text>
        <t xml:space="preserve">[Threaded comment]
 Your version of Excel allows you to read this threaded comment; however, any edits to it will get removed if the file is opened in a newer version of Excel. Learn more: https://go.microsoft.com/fwlink/?linkid=870924
Comment:
	Os detalhes de construção do modelo são abordados em um capítulo de livro (ficou de fora do nosso estudo). Este artigo foca mais na validação. Quanto à estrutura, diz o seguinte (por isso 0.5 em cada atividade): "3.1 Bayesian network Requisites BNs are very useful in SE, since the representation of causal relationships among variables is meaningful to software practitioners (Harman 2012; Misirli and Bener 2014). A specific case of this AI technique in requirements workflow is the Bayesian network Requisites (del Sagrado and del Aguila ´ 2010). This was built through interactions with experts and using several information sources. "] ["In order to build Requisites, the general BN construction process (Korb and Nicholson 2010) was applied manually, assisted by two software engineers in an interview-evaluation cycle (for more details, see (del Sagrado and del Aguila ´ 2010)). The steps followed were: 1. Structure elicitation. The network topology has to capture the relationships between variables (i.e., two variables should be connected by an arc if one affects the other). In general, any independence suggested by a lack of an arc should correspond to real independence in the knowledge domain. Table 1 shows the variables identified by the experts and the structure of Requisites (see Fig. 1) reflects the dependencies identified by experts in order to assess the goodness of the SRS."
Reply:
	concordo com o 0.5
</t>
      </text>
    </comment>
    <comment authorId="4" xr:uid="{7785c502-5470-4c0d-b7e5-d696fd12add3}" ref="P28">
      <text>
        <t xml:space="preserve">[Threaded comment]
 Your version of Excel allows you to read this threaded comment; however, any edits to it will get removed if the file is opened in a newer version of Excel. Learn more: https://go.microsoft.com/fwlink/?linkid=870924
Comment:
	Justificativa para 0.5: O artigo só demonstra o uso do modelo, inserindo alguns dados e mostrando a respectiva saída do modelo, sem nenhuma discussão mais embasada. Considerei aqui "proof of concept".
Reply:
	ok
</t>
      </text>
    </comment>
    <comment authorId="5" xr:uid="{810697a1-d97b-4629-bc4a-148ed9882f95}" ref="J33">
      <text>
        <t xml:space="preserve">[Threaded comment]
 Your version of Excel allows you to read this threaded comment; however, any edits to it will get removed if the file is opened in a newer version of Excel. Learn more: https://go.microsoft.com/fwlink/?linkid=870924
Comment:
	Justificativa para 0.5: só diz isso sobre os relacionamentos: "Here, causal relationships among the software risk indicator metrics is constructed based on the software development risk Taxonomy 16"
Reply:
	pelo menos, eles deixam claro que usaram uma taxonomia como referencia.. concordo com o 0.5
</t>
      </text>
    </comment>
    <comment authorId="6" xr:uid="{a53d7713-f319-4e31-b61a-93a4e9189a92}" ref="K32">
      <text>
        <t xml:space="preserve">[Threaded comment]
 Your version of Excel allows you to read this threaded comment; however, any edits to it will get removed if the file is opened in a newer version of Excel. Learn more: https://go.microsoft.com/fwlink/?linkid=870924
Comment:
	Justificativa para 0.5: Inferi que foi expert review, mas não diz muita coisa: "All the values are checked for rank and accuracy. In some cases, it is necessary to go back to the first step and redefine the values of the nodes."
Reply:
	hm.. aqui eu fiquei entre 0 e 0.5... mas se no artigo ele deixou claro que isso foi feito pra validar a estrutura, o 0.5 é justo (dado que maioria nem comenta sobre isso)
</t>
      </text>
    </comment>
    <comment authorId="7" xr:uid="{bfe4c43a-c04e-4d32-bdf9-a3da5a23b629}" ref="M29">
      <text>
        <t xml:space="preserve">[Threaded comment]
 Your version of Excel allows you to read this threaded comment; however, any edits to it will get removed if the file is opened in a newer version of Excel. Learn more: https://go.microsoft.com/fwlink/?linkid=870924
Comment:
	Justificativa para 0.5: poucos detalhes do ranked nodes. Diz que usou wmin function, além do seguinte: "For each child-node, we defined a questionnaire composed by a set of combinations of its parent nodes. Due to space limitations, we limit ourselves to state that, to generate the probability functions, we applied the approach proposed by Laitila [17]."]"
Reply:
	ok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tc={00e6880a-5e32-4444-bfdf-c5f5ad2f3b0a}</author>
    <author>tc={02c6947f-a6dc-4efc-aac0-8ec8507d04e2}</author>
    <author>tc={04961b4a-c65a-430b-80f8-a6408f5224ef}</author>
    <author>tc={05e6caab-2d7d-4775-b18b-d4209f8c5e44}</author>
    <author>tc={1015b5d9-93a5-419b-8f4a-534eabfc2521}</author>
    <author>tc={114c7b4e-6a25-48a1-b21c-a5a3f1219e8b}</author>
    <author>tc={14527950-0a17-4e9a-84b1-c57ef90ee826}</author>
    <author>tc={15a2ae46-424e-40cc-abe8-937964a8328a}</author>
    <author>tc={192cd7fe-f90f-467b-82ef-192a47ebebb7}</author>
    <author>tc={194bee68-f522-4566-9727-5f19ee2e6030}</author>
    <author>tc={1ae8ea43-4170-42a8-93ba-eef685430480}</author>
    <author>tc={1b2f5051-c2ce-4bbe-9e5f-0b0091adfb2e}</author>
    <author>tc={1b5ff622-b985-4247-931d-475cef57234a}</author>
    <author>tc={1e5a946f-dd54-4ccb-ae1f-9ccf04ddeb93}</author>
    <author>tc={1ecfdafb-dccc-4ea9-afe7-a472980e0077}</author>
    <author>tc={20d204e0-336f-47be-83fd-081fa2e5d1cc}</author>
    <author>tc={211d9b29-e62a-43f1-bafa-1d832481df16}</author>
    <author>tc={21e1f605-4d2f-454a-ab65-dc4bb71eb9c4}</author>
    <author>tc={22d69ba8-ddd5-439b-aa34-be2d8c76e9b2}</author>
    <author>tc={25628042-3269-4918-818c-05decc1e59bf}</author>
    <author>tc={29ba9d28-0dd0-48ef-8c10-7cef16e83b80}</author>
    <author>tc={2c0522f4-9139-47da-8759-15b8547c37b1}</author>
    <author>tc={2cf7d86a-b63e-4b9e-83b4-00beaa045284}</author>
    <author>tc={2d5ef4e9-3765-4294-a0f7-970f9693b582}</author>
    <author>tc={309670e4-24d6-4921-a08d-e628c872021d}</author>
    <author>tc={34591a1f-9064-45bd-98fe-e4fb448b19e5}</author>
    <author>tc={35166287-9976-4d90-832d-6eb87a458286}</author>
    <author>tc={35cfefef-a2eb-45c8-b4ef-9163136ef822}</author>
    <author>tc={35e9550d-6c8d-4482-a7fe-8498d9e00cad}</author>
    <author>tc={3639abf3-2392-4375-91c4-993151542dad}</author>
    <author>tc={39138e39-bb6c-4c46-853a-d3c54275256f}</author>
    <author>tc={3e167498-9f68-4828-8628-eb23e78d5321}</author>
    <author>tc={3f39731f-a2e3-476e-8683-c18008f29d62}</author>
    <author>tc={3f81fb9e-6729-4ee1-bfc9-f25e555d1867}</author>
    <author>tc={45b1a5fc-e76a-45b6-91b4-b5d41113d98c}</author>
    <author>tc={45c99d30-95dd-4271-a685-01d6c3730129}</author>
    <author>tc={49088a31-8272-416d-9464-b3e8d8a2773a}</author>
    <author>tc={4970ece3-3154-4205-9320-a1c973bee349}</author>
    <author>tc={4fde394c-a144-4ab7-a92d-0bbf663a7108}</author>
    <author>tc={50747c2f-ae00-4c36-9789-dfd03827b05c}</author>
    <author>tc={53a10dc2-6473-4f36-917a-642a3fa7d722}</author>
    <author>tc={56dc4c2b-2b35-4607-9fed-3b42e1e88add}</author>
    <author>tc={5704a4d2-1341-44e4-aa0d-04a8a4d7f345}</author>
    <author>tc={57ea6cf1-a6fe-430e-8c1a-55813d4ff256}</author>
    <author>tc={58fefe61-0bf8-4009-82a5-8fee2f2077c3}</author>
    <author>tc={5e2321f5-9975-40b1-9d1d-408ffe910ff7}</author>
    <author>tc={6419c633-a31d-47b2-8cf6-5ec6e0fd6874}</author>
    <author>tc={66360691-8f1d-41f5-9c0c-7e6c20121c8b}</author>
    <author>tc={6717d5aa-0ab7-4145-ac03-ae7627203143}</author>
    <author>tc={6c2aafd0-bbf2-4498-a55f-cf4f7f47dd95}</author>
    <author>tc={70178d15-0835-41dd-ab19-7703858cbf11}</author>
    <author>tc={72af406b-a6c6-4919-9dfa-bec0999045ee}</author>
    <author>tc={741d62ca-6671-4a37-9aff-b0ba56ff6034}</author>
    <author>tc={75874e86-76c8-464e-8f9e-d82464019a87}</author>
    <author>tc={762b1e38-add4-421c-8471-afef2ec94b98}</author>
    <author>tc={785f21bb-6009-4ac3-90f0-b9597290b5cd}</author>
    <author>tc={79181cfa-f675-4983-be86-b6f9e62a7d11}</author>
    <author>tc={7deba15b-9b6d-42ac-b795-eee838ebd165}</author>
    <author>tc={80c56dfc-4c3d-48ed-86a3-8f96036eb5a6}</author>
    <author>tc={8bee9b78-5c5d-457b-85d1-68821a218c3d}</author>
    <author>tc={8ed6295c-2d33-4a62-a589-48561eb22c21}</author>
    <author>tc={8eea2306-50c3-4597-a5fd-7c8b1bd2055a}</author>
    <author>tc={8f7b7b4c-00b8-4155-a55b-c142351f2520}</author>
    <author>tc={8fde6491-e166-49b0-97e3-d5357bfb10c6}</author>
    <author>tc={921ca7a0-9da1-468d-acd0-0610fc765706}</author>
    <author>tc={926aec11-d42b-4ddb-b28d-7415c2103068}</author>
    <author>tc={931eae02-491c-4acc-b283-121f5ecd8624}</author>
    <author>tc={943bc753-33f4-4817-883c-6ca7b871a81f}</author>
    <author>tc={946efdd9-898b-41fc-924c-bcb0605e138e}</author>
    <author>tc={96a0306a-782d-4d89-9e85-a8603bfc3fbf}</author>
    <author>tc={97538a8b-4186-4171-9995-ec50dd834380}</author>
    <author>tc={978e8cfa-045c-4469-8d6f-a655f91c0a02}</author>
    <author>tc={98a7ea4e-dc98-4715-b5db-d1cabd6663e3}</author>
    <author>tc={98ac2697-d268-4b0a-b1cb-711e95a63c04}</author>
    <author>tc={9b7f5ea3-5bc9-4088-ae03-5d24b4143789}</author>
    <author>tc={9c2be1d7-5472-4916-bb20-59e0f7ecb98e}</author>
    <author>tc={9f86e879-1894-4093-88e9-b496cdf67e4f}</author>
    <author>tc={a0f04f41-43d1-40d0-bdef-8a3246eb9bdb}</author>
    <author>tc={aa85731d-d568-4908-83e2-7c8286c8398f}</author>
    <author>tc={aedd350f-015e-4d4e-98f0-09809b35c2f5}</author>
    <author>tc={aeedb14d-5f36-4701-b6ed-5ec43e82174d}</author>
    <author>tc={af474961-7973-4c8b-b514-61650d618dae}</author>
    <author>tc={b07c4d94-b819-4ec7-9fff-b990978301b8}</author>
    <author>tc={b284ca9b-7db9-4a7b-8a11-ad6b0f8836b6}</author>
    <author>tc={b4cd6b60-9b18-40a6-8651-f63ad05987bd}</author>
    <author>tc={bfbe0b7d-e02b-4274-83b8-d59b0aef6e69}</author>
    <author>tc={c1e2a5c3-4eea-4102-9e33-2cd8f02df754}</author>
    <author>tc={c2ba8518-71c2-4aea-aa3e-b6c30f36791b}</author>
    <author>tc={c2d5c3c7-37d7-470e-93c3-75b464c3006b}</author>
    <author>tc={c4a7f5e5-66c8-41e1-a8fe-43d08dd96244}</author>
    <author>tc={c912fd29-df63-438d-b60e-dedf1ac0412c}</author>
    <author>tc={cb0a3e97-2a2f-47e6-8817-a0e37721cd1a}</author>
    <author>tc={cbb02280-b9a0-4391-835f-3ddd87ddc542}</author>
    <author>tc={cca1dce1-57ae-4644-96bf-03ae8c36f8a0}</author>
    <author>tc={cfc6d4b7-f644-4593-9142-54b9a8bcb623}</author>
    <author>tc={d038c861-04a1-4b7d-a526-27894702d720}</author>
    <author>tc={d087e6af-a0dd-4f0a-a0eb-e6475e284226}</author>
    <author>tc={d243b10a-bb9e-4e5c-88e3-4639e0c889a9}</author>
    <author>tc={dad9b8a0-55ac-491c-90aa-49e6cc05d9ed}</author>
    <author>tc={e1dfa025-7e54-4e64-9ff0-7c6c74eed2e8}</author>
    <author>tc={e2f55088-8dd0-4563-a53b-c16e85930484}</author>
    <author>tc={e487e892-1467-49f0-95dc-4103950f670d}</author>
    <author>tc={eb18084e-98cf-4339-9590-56e70626e571}</author>
    <author>tc={eca8a36f-42e7-4397-b202-1f3f063cf361}</author>
    <author>tc={f1ff2183-dc70-4928-b9de-8bd3dc9da219}</author>
    <author>tc={f4bd8f21-f680-4aec-9a95-121281b4455a}</author>
    <author>tc={f4ec8d8e-4843-4721-a34a-89a09ca9a765}</author>
    <author>tc={f5a4d69d-86c2-4cba-a560-e591129d7f02}</author>
    <author>tc={f6bb5505-700f-45c3-936a-92c9b555d8aa}</author>
    <author>tc={f7ba5ba8-0787-4dff-ad4b-a8575608e225}</author>
    <author>tc={f9de9a83-fd77-43e0-9d11-c28b63bf63fe}</author>
    <author>tc={fe28bfc0-652b-436f-8371-38f847f08fa0}</author>
  </authors>
  <commentList>
    <comment authorId="0" xr:uid="{00e6880a-5e32-4444-bfdf-c5f5ad2f3b0a}" ref="P78">
      <text>
        <t xml:space="preserve">[Threaded comment]
 Your version of Excel allows you to read this threaded comment; however, any edits to it will get removed if the file is opened in a newer version of Excel. Learn more: https://go.microsoft.com/fwlink/?linkid=870924
Comment:
	Compara o outcome do modelo (nível de confiança quanto à interpretação da métrica) com o valor coletado para a métrica pelo expert. Como compara o outcome com expert judgment, achei que seria uma espécie de model walkthrough (pelo que entendi do EKEBN). Faz sentido ou você colocaria outro método de validação? @mperkusich@gmail.com
Reply:
	Usou dados de projetos reais (3 sprints). Então, eu botaria como "predictive accuracy", mas com apoio de experts.. nesse projeto, eu lembro que o "model walktrough" foi feito antes.. so com simulacoes e tal, mas eu vi que isso n ta no artigo...Talvez, pra essse vc poderia botar "predictive accuracy" em "Data-driven validaton" e "expert review" em "Expert-based validation" &amp; "case study".... acho que seria a mesma coisa pra o S8.. ambos seguiram metodologia similar.. um case study pra envolver experts e coletar dados de projetos.. e fazer os dois: expert -e data-driven validation
</t>
      </text>
    </comment>
    <comment authorId="1" xr:uid="{02c6947f-a6dc-4efc-aac0-8ec8507d04e2}" ref="H59">
      <text>
        <t xml:space="preserve">[Threaded comment]
 Your version of Excel allows you to read this threaded comment; however, any edits to it will get removed if the file is opened in a newer version of Excel. Learn more: https://go.microsoft.com/fwlink/?linkid=870924
Comment:
	eu acho que seria razoável colocar aqui "lifecycle model", dado que foi baseado no XP.. usou DBN por causa das iterações do XP, mostra como representar as práticas XP no modelo (como indicator nodes).. o mesmo vale para "Identification of relationships"... inclusive, no QA, eu colocara 1.0 pra identification ode variables e relaitonships... pros estados, realmente n ficou mto claro, mas ele explcia alguns.. eu deixaria 0.5
</t>
      </text>
    </comment>
    <comment authorId="2" xr:uid="{04961b4a-c65a-430b-80f8-a6408f5224ef}" ref="H83">
      <text>
        <t xml:space="preserve">[Threaded comment]
 Your version of Excel allows you to read this threaded comment; however, any edits to it will get removed if the file is opened in a newer version of Excel. Learn more: https://go.microsoft.com/fwlink/?linkid=870924
Comment:
	Fiquei na dúvida se exclui ou não
</t>
      </text>
    </comment>
    <comment authorId="3" xr:uid="{05e6caab-2d7d-4775-b18b-d4209f8c5e44}" ref="K39">
      <text>
        <t xml:space="preserve">[Threaded comment]
 Your version of Excel allows you to read this threaded comment; however, any edits to it will get removed if the file is opened in a newer version of Excel. Learn more: https://go.microsoft.com/fwlink/?linkid=870924
Comment:
	Dá pra considerar "expert review" aqui?
</t>
      </text>
    </comment>
    <comment authorId="4" xr:uid="{1015b5d9-93a5-419b-8f4a-534eabfc2521}" ref="K139">
      <text>
        <t xml:space="preserve">[Threaded comment]
 Your version of Excel allows you to read this threaded comment; however, any edits to it will get removed if the file is opened in a newer version of Excel. Learn more: https://go.microsoft.com/fwlink/?linkid=870924
Comment:
	relationships or structure evaluation?
</t>
      </text>
    </comment>
    <comment authorId="5" xr:uid="{114c7b4e-6a25-48a1-b21c-a5a3f1219e8b}" ref="P108">
      <text>
        <t xml:space="preserve">[Threaded comment]
 Your version of Excel allows you to read this threaded comment; however, any edits to it will get removed if the file is opened in a newer version of Excel. Learn more: https://go.microsoft.com/fwlink/?linkid=870924
Comment:
	Talvez aqui seja "simulated scenarios" (model walkthrough). Uma limitação da validação é o número reduzido de cenários, mas pelo menos fala algo relacionado à validação. Concorda com a extração de "simulated scenarios/model walkthrough" aqui? @mperkusich@gmail.com
Reply:
	Marked as resolved
Reply:
	Re-opened
Reply:
	Eu colocaria como "proof of concept" pq os cenarios (anti-patterns do Eloranta) vem da literatura
</t>
      </text>
    </comment>
    <comment authorId="6" xr:uid="{14527950-0a17-4e9a-84b1-c57ef90ee826}" ref="E136">
      <text>
        <t xml:space="preserve">[Threaded comment]
 Your version of Excel allows you to read this threaded comment; however, any edits to it will get removed if the file is opened in a newer version of Excel. Learn more: https://go.microsoft.com/fwlink/?linkid=870924
Comment:
	Mesmo que eu tenha excluído, pedir para Mirko verificar se as informações extraídas estão ok. @mperkusich@gmail.com
Reply:
	eu so tiraria o "statistical" da identificação de nós.. parece que a analise da base do ISBSG não foi "formal"/estatistica...
</t>
      </text>
    </comment>
    <comment authorId="7" xr:uid="{15a2ae46-424e-40cc-abe8-937964a8328a}" ref="Q48">
      <text>
        <t xml:space="preserve">[Threaded comment]
 Your version of Excel allows you to read this threaded comment; however, any edits to it will get removed if the file is opened in a newer version of Excel. Learn more: https://go.microsoft.com/fwlink/?linkid=870924
Comment:
	Entraria como model validation mesmo? Essas técnicas são apresentadas numa seção chamada "Validating the BN models", por isso considerei como sendo uma validação do modelo completo. No entanto, fiquei na dúvida se poderia ser "structure evaluation" e "CPT evaluation", porque cada técnica parece focar em uma parte do modelo (structure ou CPT)? Outra coisa: coloquei essas técnicas como data-driven validation por conta deste trecho: "We simulated all
possible permutations of the input model variables and
created a database of reliability and performance time
predictions for these runs". @mperkusich@gmail.com
Reply:
	Eu acho que esse artigo não fez "model validation." no sentido de avaliação do modelo completo. Trata-se de uma avaliação interna separada da DAG e CPTs, ambas baseadas em dados sintéticos gerados por simulação... foi mais uma validação interna da RB...
1. DAG evaluation 
- verificou se as relações causais codificadas no DAG correspondiam às influências esperadas pelos especialistas e pela teoria.
Evidência no texto:
- “... association rules ... were employed to check the causal associations in our model.”
- “... classification ... was used to provide a further check on the structure of the BN models.”
- “... it was necessary to alter the BN causal diagram.”
2. CPT evaluation
- verificou se as CPTs refletiam adequadamente a força das influências esperadas, ajustando-as quando necessário.
Evidência no texto:
- “... altering the BN’s NPTs to increase the prior probability influence for poor maintenance...”
- “... we altered the NPT settings to reduce the weighting of these nodes...”
Como dado extraído, poderia ser:
- DAG evaluation: Simulated Association Rules
- CPT evaluation: Simulated Relevance Analysis
</t>
      </text>
    </comment>
    <comment authorId="8" xr:uid="{192cd7fe-f90f-467b-82ef-192a47ebebb7}" ref="E88">
      <text>
        <t xml:space="preserve">[Threaded comment]
 Your version of Excel allows you to read this threaded comment; however, any edits to it will get removed if the file is opened in a newer version of Excel. Learn more: https://go.microsoft.com/fwlink/?linkid=870924
Comment:
	Perguntar a Mirko se ele concorda com os 0.5 (com essa pontuação, o artigo fica de fora e "extension of existing models" não aparece mais em nenhum artigo como método pra construção do DAG; não me parece um método tão relevante, então não veria problema em não incluir)
</t>
      </text>
    </comment>
    <comment authorId="9" xr:uid="{194bee68-f522-4566-9727-5f19ee2e6030}" ref="M41">
      <text>
        <t xml:space="preserve">[Threaded comment]
 Your version of Excel allows you to read this threaded comment; however, any edits to it will get removed if the file is opened in a newer version of Excel. Learn more: https://go.microsoft.com/fwlink/?linkid=870924
Comment:
	Faz sentido? Por ex., Gibbs sampling foca na parte de inferência em si, né? Tipo, entra com dados em algum nó (evidência) e as probabilidades são atualizadas usando Gibbs sampling. Talvez não esteja diretamente relacionado com a construção das CPTs em si. Acho que tem a ver com a parte de inferência mesmo. Melhor remover Gibbs sampling. O que você acha? Outra coisa: Fala que entrevistou experts para preencher o questionário. Por isso incluí "surveys" e "interviews", mas talvez o foco seja no questionário mesmo, né? Melhor remover "interviews"?
</t>
      </text>
    </comment>
    <comment authorId="10" xr:uid="{1ae8ea43-4170-42a8-93ba-eef685430480}" ref="K107">
      <text>
        <t xml:space="preserve">[Threaded comment]
 Your version of Excel allows you to read this threaded comment; however, any edits to it will get removed if the file is opened in a newer version of Excel. Learn more: https://go.microsoft.com/fwlink/?linkid=870924
Comment:
	Confirmar com Mirko se survey é relacionamento ou evaluation.
</t>
      </text>
    </comment>
    <comment authorId="11" xr:uid="{1b2f5051-c2ce-4bbe-9e5f-0b0091adfb2e}" ref="M59">
      <text>
        <t xml:space="preserve">[Threaded comment]
 Your version of Excel allows you to read this threaded comment; however, any edits to it will get removed if the file is opened in a newer version of Excel. Learn more: https://go.microsoft.com/fwlink/?linkid=870924
Comment:
	Eu adicionaria aqui "Literature Review", dado que eles se baseiam em outros estudos pra definir as probabilidades... por exemplo, eles apontam pra brahamsson and Koskela [8], Little [13] e Jørgensen
et al. [39], [40], [41]. Além disso, eles não usaram só o RNM method, eles usaram outros tipos de distribuição de probabilidade como normal distribution e lognormal
Reply:
	E eu colocaria a Q2.1 como 1.0 pra esse artigo
Reply:
	que pode acabar incluindo o artigo...
</t>
      </text>
    </comment>
    <comment authorId="12" xr:uid="{1b5ff622-b985-4247-931d-475cef57234a}" ref="E63">
      <text>
        <t xml:space="preserve">[Threaded comment]
 Your version of Excel allows you to read this threaded comment; however, any edits to it will get removed if the file is opened in a newer version of Excel. Learn more: https://go.microsoft.com/fwlink/?linkid=870924
Comment:
	Ver se Mirko concorda com a validação
</t>
      </text>
    </comment>
    <comment authorId="13" xr:uid="{1e5a946f-dd54-4ccb-ae1f-9ccf04ddeb93}" ref="E132">
      <text>
        <t xml:space="preserve">[Threaded comment]
 Your version of Excel allows you to read this threaded comment; however, any edits to it will get removed if the file is opened in a newer version of Excel. Learn more: https://go.microsoft.com/fwlink/?linkid=870924
Comment:
	Você poderia só verificar rapidamente este artigo e ver se concorda com minhas extrações, por favor?
Reply:
	A estrtura é baseada num "quality model". Com relação a QA, eu acho que Q1.1, Q1.2 e Q1.3 deveriam ser 1.. ta bem explicado como a rede foi construída em cima de um modelo de qualidade simples... mudanças no codigo podem gerar faltas (e eles explicam o que pode influenciar a probabilidade de faltas).. e essas faltas podem ser detectadas por testes.. essa é a base pra priorização deles. Inclusive, eles falam dos estados "indiretamente" qndo dizem que P(ce) pode ser 0 ou 1, ou então pode ser definido por meio de uma função (ChangeIntensity(e))
</t>
      </text>
    </comment>
    <comment authorId="14" xr:uid="{1ecfdafb-dccc-4ea9-afe7-a472980e0077}" ref="H90">
      <text>
        <t xml:space="preserve">[Threaded comment]
 Your version of Excel allows you to read this threaded comment; however, any edits to it will get removed if the file is opened in a newer version of Excel. Learn more: https://go.microsoft.com/fwlink/?linkid=870924
Comment:
	Fiquei na dúvida se exclui ou não. Executa o modelo criando cenários e compara os resultados com a literatura. Seria uma validação? expert ou data-driven?
</t>
      </text>
    </comment>
    <comment authorId="15" xr:uid="{20d204e0-336f-47be-83fd-081fa2e5d1cc}" ref="H30">
      <text>
        <t xml:space="preserve">[Threaded comment]
 Your version of Excel allows you to read this threaded comment; however, any edits to it will get removed if the file is opened in a newer version of Excel. Learn more: https://go.microsoft.com/fwlink/?linkid=870924
Comment:
	Diz que usou uma interview-evaluation approach, mas não dá pra identificar minimamente para que partes da estrutura. Inferi que as entrevistas poderiam ser usadas para variáveis e relacionamentos.
</t>
      </text>
    </comment>
    <comment authorId="16" xr:uid="{211d9b29-e62a-43f1-bafa-1d832481df16}" ref="P148">
      <text>
        <t xml:space="preserve">[Threaded comment]
 Your version of Excel allows you to read this threaded comment; however, any edits to it will get removed if the file is opened in a newer version of Excel. Learn more: https://go.microsoft.com/fwlink/?linkid=870924
Comment:
	Não menciona explicitamente "model walkthrough", mas acho que caberia aqui. Ou então extrairia case study. O que acha? @mperkusich@gmail.com
Reply:
	igual o de cima.. predictive accuracy + expert review..  e caberia a classificação de case study (usability/usefulness) também
</t>
      </text>
    </comment>
    <comment authorId="17" xr:uid="{21e1f605-4d2f-454a-ab65-dc4bb71eb9c4}" ref="E115">
      <text>
        <t xml:space="preserve">[Threaded comment]
 Your version of Excel allows you to read this threaded comment; however, any edits to it will get removed if the file is opened in a newer version of Excel. Learn more: https://go.microsoft.com/fwlink/?linkid=870924
Comment:
	Perguntar a Mirko se entra risk-centric modeling nas variáveis e relacionamentos. @mperkusich@gmail.com
Reply:
	sim, faz sentido
</t>
      </text>
    </comment>
    <comment authorId="18" xr:uid="{22d69ba8-ddd5-439b-aa34-be2d8c76e9b2}" ref="M49">
      <text>
        <t xml:space="preserve">[Threaded comment]
 Your version of Excel allows you to read this threaded comment; however, any edits to it will get removed if the file is opened in a newer version of Excel. Learn more: https://go.microsoft.com/fwlink/?linkid=870924
Comment:
	Fiquei na dúvida. Dados são coletados para realizar a validação dos modelos. Quanto mais dados são coletados, esses modelos são recalibrados para obter melhores predições. Assim, embora não esteja explícito, acredito que esse questionário seja utilizado para construir as CPTs. @mperkusich@gmail.com
Reply:
	ok
</t>
      </text>
    </comment>
    <comment authorId="19" xr:uid="{25628042-3269-4918-818c-05decc1e59bf}" ref="P63">
      <text>
        <t xml:space="preserve">[Threaded comment]
 Your version of Excel allows you to read this threaded comment; however, any edits to it will get removed if the file is opened in a newer version of Excel. Learn more: https://go.microsoft.com/fwlink/?linkid=870924
Comment:
	Acredito que tudo isso pode ser considerado como proof of concept. De acordo? @mperkusich@gmail.com
Reply:
	Não tem model walkthrough, nem predictive accuracy.. só simulação... mas nesse caso, quem seria "expert", dado que ta classificando como "expert-based validation"? acho que isso entra na pergunta que fiz acima de deixar claro o que ta sendo considerado como "proof of concept"... como n teve expert, seria um "author-as-expert" e a prova de conceito foi "simulations".
</t>
      </text>
    </comment>
    <comment authorId="20" xr:uid="{29ba9d28-0dd0-48ef-8c10-7cef16e83b80}" ref="I91">
      <text>
        <t xml:space="preserve">[Threaded comment]
 Your version of Excel allows you to read this threaded comment; however, any edits to it will get removed if the file is opened in a newer version of Excel. Learn more: https://go.microsoft.com/fwlink/?linkid=870924
Comment:
	Três estudos mencionaram fuzzy logic para definir os estados. Considerei aqui que a discretização foi automática, mas isso não ficou muito claro pra mim nos três estudos. Aqui, o número de bins foi determinado estatisticamente pelo coeficient de Dunt; houve uma ponderação se seria melhor usar 2 ou 3 grupos, o que sugere a intervenção de experts; pensei em definir o método como semi-automatic/automatic discretization, mas no final acabei considerando automatic nos três estudos. A gente pode deixar assim e dizer que o nível de automatização pode variar entre os estudos. O que acha? @mperkusich@gmail.com
Reply:
	concordo
</t>
      </text>
    </comment>
    <comment authorId="21" xr:uid="{2c0522f4-9139-47da-8759-15b8547c37b1}" ref="J4">
      <text>
        <t xml:space="preserve">[Threaded comment]
 Your version of Excel allows you to read this threaded comment; however, any edits to it will get removed if the file is opened in a newer version of Excel. Learn more: https://go.microsoft.com/fwlink/?linkid=870924
Comment:
	Aqui foi por inferência. Apliquei a mesma definição de focus group do artigo do IST (que é ampla): abrange workshops, expert-panels, brainstorming sessions, knowledge elicitation sessions, discussion meetings, etc).
</t>
      </text>
    </comment>
    <comment authorId="22" xr:uid="{2cf7d86a-b63e-4b9e-83b4-00beaa045284}" ref="I51">
      <text>
        <t xml:space="preserve">[Threaded comment]
 Your version of Excel allows you to read this threaded comment; however, any edits to it will get removed if the file is opened in a newer version of Excel. Learn more: https://go.microsoft.com/fwlink/?linkid=870924
Comment:
	Eu pensei em colocar aqui "weighted expressions", de acordo com o seguinte trecho: "The values for child nodes in these subnets are calculated using weighted expressions
(Fenton et al. 2007a):
&amp; weighted max—for ‘requirements creep’;
&amp; weighted min—for ‘spec and doc process effectiveness’;
&amp; weighted means—for all other child nodes." No entanto, esses conceitos fazem parte do Ranked Nodes method, inclusive cita o artigo do Fenton. Também pensei em colocar "ordinal values" porque outro trecho diz o seguinte: "Qualitative data are expressed on a five-point ordinal scale. The ordinal values used are:
Very High, High, Medium, Low, Very Low." Aqui já diz quais são os valores, mas não diz qual foi o método usado para identificá-los (ex. focus group, análise de dados históricos, etc.).
Assim, coloquei "not specified" pra identification of node values/states e "the Ranked Nodes method" pra CPT construction.
</t>
      </text>
    </comment>
    <comment authorId="23" xr:uid="{2d5ef4e9-3765-4294-a0f7-970f9693b582}" ref="M70">
      <text>
        <t xml:space="preserve">[Threaded comment]
 Your version of Excel allows you to read this threaded comment; however, any edits to it will get removed if the file is opened in a newer version of Excel. Learn more: https://go.microsoft.com/fwlink/?linkid=870924
Comment:
	Aqui eu fiquei na dúvida porque os autores usaram o dataset do COCOMO project pra construir as CPTs usando a ferramenta SERENE, mas originalmente os ratings e values foram derivados de experts (no estudo de Boehm). Fiquei na dúvida entre "expert elicitation" ou "learning from data using an automated tool". Como eles já pegaram o dataset pronto, optei pela segunda opção. @mperkusich@gmail.com
</t>
      </text>
    </comment>
    <comment authorId="24" xr:uid="{309670e4-24d6-4921-a08d-e628c872021d}" ref="N19">
      <text>
        <t xml:space="preserve">[Threaded comment]
 Your version of Excel allows you to read this threaded comment; however, any edits to it will get removed if the file is opened in a newer version of Excel. Learn more: https://go.microsoft.com/fwlink/?linkid=870924
Comment:
	Acho que fica implícito que foi expert review. Extraí aqui mas coloquei "zero" no quality assessment.
</t>
      </text>
    </comment>
    <comment authorId="25" xr:uid="{34591a1f-9064-45bd-98fe-e4fb448b19e5}" ref="K126">
      <text>
        <t xml:space="preserve">[Threaded comment]
 Your version of Excel allows you to read this threaded comment; however, any edits to it will get removed if the file is opened in a newer version of Excel. Learn more: https://go.microsoft.com/fwlink/?linkid=870924
Comment:
	Você concorda que o survey aqui foi usado para structure evaluation?
</t>
      </text>
    </comment>
    <comment authorId="26" xr:uid="{35166287-9976-4d90-832d-6eb87a458286}" ref="E101">
      <text>
        <t xml:space="preserve">[Threaded comment]
 Your version of Excel allows you to read this threaded comment; however, any edits to it will get removed if the file is opened in a newer version of Excel. Learn more: https://go.microsoft.com/fwlink/?linkid=870924
Comment:
	Aqui entraria risk-centric modeling (variáveis e relacionamentos)? Na planilha do IST não entrou, mas fiquei com a impressão de que poderia... @mperkusich@gmail.com
Reply:
	sim, até pelo titulo do artigo..  e a fig 3 deixa isso bem claro.. OK
</t>
      </text>
    </comment>
    <comment authorId="27" xr:uid="{35cfefef-a2eb-45c8-b4ef-9163136ef822}" ref="M32">
      <text>
        <t xml:space="preserve">[Threaded comment]
 Your version of Excel allows you to read this threaded comment; however, any edits to it will get removed if the file is opened in a newer version of Excel. Learn more: https://go.microsoft.com/fwlink/?linkid=870924
Comment:
	É suficiente mencionar isso como método? Ou exclui o artigo porque não aborda um pouco melhor a construção das tabelas?
</t>
      </text>
    </comment>
    <comment authorId="28" xr:uid="{35e9550d-6c8d-4482-a7fe-8498d9e00cad}" ref="I155">
      <text>
        <t xml:space="preserve">[Threaded comment]
 Your version of Excel allows you to read this threaded comment; however, any edits to it will get removed if the file is opened in a newer version of Excel. Learn more: https://go.microsoft.com/fwlink/?linkid=870924
Comment:
	Aqui também considerei Sturge's rule como discretização automática. Concorda?
Reply:
	ok
</t>
      </text>
    </comment>
    <comment authorId="29" xr:uid="{3639abf3-2392-4375-91c4-993151542dad}" ref="M152">
      <text>
        <t xml:space="preserve">[Threaded comment]
 Your version of Excel allows you to read this threaded comment; however, any edits to it will get removed if the file is opened in a newer version of Excel. Learn more: https://go.microsoft.com/fwlink/?linkid=870924
Comment:
	Como a estrutura foi criada por uma algoritmo de structure learning + expert-based structural constraints, eu inferi que as CPTs foram criadas automaticamente com uma ferramenta a partir dos dados do survey (obtidos de experts)
</t>
      </text>
    </comment>
    <comment authorId="30" xr:uid="{39138e39-bb6c-4c46-853a-d3c54275256f}" ref="H116">
      <text>
        <t xml:space="preserve">[Threaded comment]
 Your version of Excel allows you to read this threaded comment; however, any edits to it will get removed if the file is opened in a newer version of Excel. Learn more: https://go.microsoft.com/fwlink/?linkid=870924
Comment:
	Este é o único estudo usando AHP para construção da estrutura; No entanto, parameter estimation e model validation praticamente não são bem detalhadas. CPTs (expert elitiation); validation (não há validação; apenas descreve uso do modelo)
</t>
      </text>
    </comment>
    <comment authorId="31" xr:uid="{3e167498-9f68-4828-8628-eb23e78d5321}" ref="H46">
      <text>
        <t xml:space="preserve">[Threaded comment]
 Your version of Excel allows you to read this threaded comment; however, any edits to it will get removed if the file is opened in a newer version of Excel. Learn more: https://go.microsoft.com/fwlink/?linkid=870924
Comment:
	Focus group vai também? "Discussions" with experts.
</t>
      </text>
    </comment>
    <comment authorId="32" xr:uid="{3f39731f-a2e3-476e-8683-c18008f29d62}" ref="P154">
      <text>
        <t xml:space="preserve">[Threaded comment]
 Your version of Excel allows you to read this threaded comment; however, any edits to it will get removed if the file is opened in a newer version of Excel. Learn more: https://go.microsoft.com/fwlink/?linkid=870924
Comment:
	Eu tentei não excluir esse pq traz K2 como novo algoritmo para CPTs, mas confesso que a validação deixa a desejar. Forçaria muito a barra dizer que a BN foi validada usando model walkthrough (expert-based) Talvez proof of concept então?
</t>
      </text>
    </comment>
    <comment authorId="33" xr:uid="{3f81fb9e-6729-4ee1-bfc9-f25e555d1867}" ref="I39">
      <text>
        <t xml:space="preserve">[Threaded comment]
 Your version of Excel allows you to read this threaded comment; however, any edits to it will get removed if the file is opened in a newer version of Excel. Learn more: https://go.microsoft.com/fwlink/?linkid=870924
Comment:
	Faz sentido como método para identificar os estados/valores dos nós?
</t>
      </text>
    </comment>
    <comment authorId="34" xr:uid="{45b1a5fc-e76a-45b6-91b4-b5d41113d98c}" ref="P101">
      <text>
        <t xml:space="preserve">[Threaded comment]
 Your version of Excel allows you to read this threaded comment; however, any edits to it will get removed if the file is opened in a newer version of Excel. Learn more: https://go.microsoft.com/fwlink/?linkid=870924
Comment:
	Você acha que aqui poderia ser algo como proof of concept?
Reply:
	ok
</t>
      </text>
    </comment>
    <comment authorId="35" xr:uid="{45c99d30-95dd-4271-a685-01d6c3730129}" ref="N48">
      <text>
        <t xml:space="preserve">[Threaded comment]
 Your version of Excel allows you to read this threaded comment; however, any edits to it will get removed if the file is opened in a newer version of Excel. Learn more: https://go.microsoft.com/fwlink/?linkid=870924
Comment:
	Expert review? Modificou as CPTs
</t>
      </text>
    </comment>
    <comment authorId="36" xr:uid="{49088a31-8272-416d-9464-b3e8d8a2773a}" ref="P65">
      <text>
        <t xml:space="preserve">[Threaded comment]
 Your version of Excel allows you to read this threaded comment; however, any edits to it will get removed if the file is opened in a newer version of Excel. Learn more: https://go.microsoft.com/fwlink/?linkid=870924
Comment:
	Inicialmente, eu pensei em colocar predicitive accuracy, mas não há uma comparação entre os resultados do modelo e dados reais/históricos. Pelo que entendi há uma verificação dos resultados do modelo com os resultados da análise de um estudante. Daí acabei considerando como proof of concept (mostra resultados do modelo). Concorda? @mperkusich@gmail.com
Reply:
	Sim, esse até mais simples que o S33... esse foi apenas uma "demonstração conceitual"
</t>
      </text>
    </comment>
    <comment authorId="37" xr:uid="{4970ece3-3154-4205-9320-a1c973bee349}" ref="M129">
      <text>
        <t xml:space="preserve">[Threaded comment]
 Your version of Excel allows you to read this threaded comment; however, any edits to it will get removed if the file is opened in a newer version of Excel. Learn more: https://go.microsoft.com/fwlink/?linkid=870924
Comment:
	Não ficou muito claro que as CPTs foram construídas com base nas entrevistas. Inferi por conta dos "weights" para cada fator e seus relacionamentos. Concorda? @mperkusich@gmail.com
Reply:
	concordo, apesar de n ter detalhes de como saíram dos pesos para as CPTs
</t>
      </text>
    </comment>
    <comment authorId="38" xr:uid="{4fde394c-a144-4ab7-a92d-0bbf663a7108}" ref="P117">
      <text>
        <t xml:space="preserve">[Threaded comment]
 Your version of Excel allows you to read this threaded comment; however, any edits to it will get removed if the file is opened in a newer version of Excel. Learn more: https://go.microsoft.com/fwlink/?linkid=870924
Comment:
	Aqui coloquei "Proof of concept (experimental evaluation)", mas fiquei na dúvida se deveria ser expert-driven ou data-driven validation. Incluí em expert-driven pq no final do artigo diz que o método foi avaliado por seus autores/experts e eles não tinham dados reais. Extraí proof of concept (expert-based) com base nesse trecho: "Regarding the proposed methodological support, the level of automation generally varies between steps. For instance, the qualitative analysis depends on the human capabilities (stakeholders’ input and architects’ decision), which is different from the automated reasoning during runtime. Though extensive effort has been taken to ensure re-reproducibility of the method by providing systematic guidance, this would be subject to further empirical studies to determine the practicality of the method, where factors, such as availability of information, stakeholders’ experience would be examined. Though, we believe that the presented case study for evaluation exemplifies the working procedure of the approach and reflect the potential usability". Reflect the potential usability é uma opinião dos autores do modelo, portanto expert-based faz sentido aqui. O que acha? @mperkusich@gmail.com
Reply:
	concordo
</t>
      </text>
    </comment>
    <comment authorId="39" xr:uid="{50747c2f-ae00-4c36-9789-dfd03827b05c}" ref="M82">
      <text>
        <t xml:space="preserve">[Threaded comment]
 Your version of Excel allows you to read this threaded comment; however, any edits to it will get removed if the file is opened in a newer version of Excel. Learn more: https://go.microsoft.com/fwlink/?linkid=870924
Comment:
	Dados foram coletados por meio de entrevistas com experts para compor um dataset para validação. Fiquei na dúvida se esses dados foram usados para as CPTs também. Caso não tenham sido usados pras CPTs, acho que esse artigo deveria ficar de fora (porque não aborda parameter estimation).
</t>
      </text>
    </comment>
    <comment authorId="40" xr:uid="{53a10dc2-6473-4f36-917a-642a3fa7d722}" ref="M33">
      <text>
        <t xml:space="preserve">[Threaded comment]
 Your version of Excel allows you to read this threaded comment; however, any edits to it will get removed if the file is opened in a newer version of Excel. Learn more: https://go.microsoft.com/fwlink/?linkid=870924
Comment:
	Só extrair "expert elicitation" é suficiente?
</t>
      </text>
    </comment>
    <comment authorId="41" xr:uid="{56dc4c2b-2b35-4607-9fed-3b42e1e88add}" ref="P132">
      <text>
        <t xml:space="preserve">[Threaded comment]
 Your version of Excel allows you to read this threaded comment; however, any edits to it will get removed if the file is opened in a newer version of Excel. Learn more: https://go.microsoft.com/fwlink/?linkid=870924
Comment:
	Usa uma métrica de avaliação, o que sugere o uso de dados, mas o próprio artigo afirma que usou uma proof of concept e no final dá a entender que os autores avaliaram os resultados da avaliação experimental e acreditam que o modelo produzirá bons resultados em cenários reais. Por isso, vejo como uma abordagem expert-based. Faz sentido minha extração? @mperkusich@gmail.com
</t>
      </text>
    </comment>
    <comment authorId="42" xr:uid="{5704a4d2-1341-44e4-aa0d-04a8a4d7f345}" ref="M67">
      <text>
        <t xml:space="preserve">[Threaded comment]
 Your version of Excel allows you to read this threaded comment; however, any edits to it will get removed if the file is opened in a newer version of Excel. Learn more: https://go.microsoft.com/fwlink/?linkid=870924
Comment:
	O artigo cita AHP para parameter estimation, que seria um método novo até então. No entanto, AHP foi usado para root parents, ou seja, não é para conditional probability tables (CPTs). Alguns artigos explicam como as tabelas de root nodes foram criadas e como as CPTs de child/dependent nodes foram criadas. Eu acabei extraindo tudo, tanto para independent (unconditional) quanto para dependent (conditional). Tá ok, né? @mperkusich@gmail.com
Reply:
	ok
</t>
      </text>
    </comment>
    <comment authorId="43" xr:uid="{57ea6cf1-a6fe-430e-8c1a-55813d4ff256}" ref="E116">
      <text>
        <t xml:space="preserve">[Threaded comment]
 Your version of Excel allows you to read this threaded comment; however, any edits to it will get removed if the file is opened in a newer version of Excel. Learn more: https://go.microsoft.com/fwlink/?linkid=870924
Comment:
	Verificar se concorda com minha avaliação/extração em todas as atividades. Este foi o único artigo usando AHP para construir a estrutura, mas ficou de fora pelo quality assessment. Talvez você consiga "salvar" esse artigo. Pode ser que AHP tenha alguma influência nas CPTs e eu não consegui enxergar isso e atribuí 0.0.
Reply:
	Ele só fala que "The NPT probability entries are specified by:· Applying Bayes’ theorem.· Utilizing domain experts’ knowledge.· Using historical and empirical data about COTS products." e apresenta um exemplo na Tabela 7. De acordo com os critérios que a gente definiu, tem que ficar 0 mesmo. Ou seja, esse artigo é excluído pelo QA. Concordo com os dados extraídos.
</t>
      </text>
    </comment>
    <comment authorId="44" xr:uid="{58fefe61-0bf8-4009-82a5-8fee2f2077c3}" ref="P30">
      <text>
        <t xml:space="preserve">[Threaded comment]
 Your version of Excel allows you to read this threaded comment; however, any edits to it will get removed if the file is opened in a newer version of Excel. Learn more: https://go.microsoft.com/fwlink/?linkid=870924
Comment:
	Pra mim, pareceu proof of concept, mas fiquei na dúvida.
Reply:
	@mperkusich@gmail.com
Reply:
	o que vc ta definindo como "proof of concept"? de qquer forma, com ctz naõ teve model walkthrough"
</t>
      </text>
    </comment>
    <comment authorId="45" xr:uid="{5e2321f5-9975-40b1-9d1d-408ffe910ff7}" ref="P129">
      <text>
        <t xml:space="preserve">[Threaded comment]
 Your version of Excel allows you to read this threaded comment; however, any edits to it will get removed if the file is opened in a newer version of Excel. Learn more: https://go.microsoft.com/fwlink/?linkid=870924
Comment:
	Aqui fiquei na dúvida entre "simulated scenarios/model walkthrough" ou "proof of concept". Não consegui enxergar uma discussão avaliando se os resultados do modelo são compatíveis com as expectativas dos experts. É avaliado se o modelo atende a alguns requisitos, o que me faz pensar muito mais em uma prova de conceito. O que você acha? @mperkusich@gmail.com
Reply:
	acho que proof of concept... os cenarios foram levantados da literatura ne..
</t>
      </text>
    </comment>
    <comment authorId="46" xr:uid="{6419c633-a31d-47b2-8cf6-5ec6e0fd6874}" ref="M102">
      <text>
        <t xml:space="preserve">[Threaded comment]
 Your version of Excel allows you to read this threaded comment; however, any edits to it will get removed if the file is opened in a newer version of Excel. Learn more: https://go.microsoft.com/fwlink/?linkid=870924
Comment:
	Às vezes é complicado dizer se o processo é expert ou data-driven (ver coluna "justification"). "These probabilities can come from empirical data and/or expert opinion. Our model was populated with empirical data (provided by respondents of our survey), but as noted previously, its structure is based on expert opinion (i.e., literature review)."
</t>
      </text>
    </comment>
    <comment authorId="47" xr:uid="{66360691-8f1d-41f5-9c0c-7e6c20121c8b}" ref="M107">
      <text>
        <t xml:space="preserve">[Threaded comment]
 Your version of Excel allows you to read this threaded comment; however, any edits to it will get removed if the file is opened in a newer version of Excel. Learn more: https://go.microsoft.com/fwlink/?linkid=870924
Comment:
	Confirmar com Mirko se é isso mesmo.
</t>
      </text>
    </comment>
    <comment authorId="48" xr:uid="{6717d5aa-0ab7-4145-ac03-ae7627203143}" ref="J68">
      <text>
        <t xml:space="preserve">[Threaded comment]
 Your version of Excel allows you to read this threaded comment; however, any edits to it will get removed if the file is opened in a newer version of Excel. Learn more: https://go.microsoft.com/fwlink/?linkid=870924
Comment:
	Market-basket analysis faz sentido, né?
</t>
      </text>
    </comment>
    <comment authorId="49" xr:uid="{6c2aafd0-bbf2-4498-a55f-cf4f7f47dd95}" ref="M34">
      <text>
        <t xml:space="preserve">[Threaded comment]
 Your version of Excel allows you to read this threaded comment; however, any edits to it will get removed if the file is opened in a newer version of Excel. Learn more: https://go.microsoft.com/fwlink/?linkid=870924
Comment:
	É suficiente extrair apenas "expert elicitation" como método? Excluir paper?
</t>
      </text>
    </comment>
    <comment authorId="50" xr:uid="{70178d15-0835-41dd-ab19-7703858cbf11}" ref="M122">
      <text>
        <t xml:space="preserve">[Threaded comment]
 Your version of Excel allows you to read this threaded comment; however, any edits to it will get removed if the file is opened in a newer version of Excel. Learn more: https://go.microsoft.com/fwlink/?linkid=870924
Comment:
	Também considerei fuzzy logic como semiautomático aqui. Os estudos, a meu ver, não deixam muito claro se a automatização foi 100%, então eu optei por um meio termo. O que acha?
Reply:
	eu deixaria como automatico, apesar de n ta claro no texto.. mas parece-me que eles saíram dos dados até as CPTs automaticamente.. eu até pensei que as membership functions tinham sido elicitadas por experts, mas eles n falam isso
</t>
      </text>
    </comment>
    <comment authorId="51" xr:uid="{72af406b-a6c6-4919-9dfa-bec0999045ee}" ref="J34">
      <text>
        <t xml:space="preserve">[Threaded comment]
 Your version of Excel allows you to read this threaded comment; however, any edits to it will get removed if the file is opened in a newer version of Excel. Learn more: https://go.microsoft.com/fwlink/?linkid=870924
Comment:
	O artigo já indica/explica os relacionamentos sem mencionar como foram identificados.
</t>
      </text>
    </comment>
    <comment authorId="52" xr:uid="{741d62ca-6671-4a37-9aff-b0ba56ff6034}" ref="P51">
      <text>
        <t xml:space="preserve">[Threaded comment]
 Your version of Excel allows you to read this threaded comment; however, any edits to it will get removed if the file is opened in a newer version of Excel. Learn more: https://go.microsoft.com/fwlink/?linkid=870924
Comment:
	Ele valida com dados, mas também tem uma seção detalhada sobre como o modelo seria usado, por isso incluí aqui proof of concept; também menciona sensitivity analysis. @mperkusich@gmail.com
</t>
      </text>
    </comment>
    <comment authorId="53" xr:uid="{75874e86-76c8-464e-8f9e-d82464019a87}" ref="M68">
      <text>
        <t xml:space="preserve">[Threaded comment]
 Your version of Excel allows you to read this threaded comment; however, any edits to it will get removed if the file is opened in a newer version of Excel. Learn more: https://go.microsoft.com/fwlink/?linkid=870924
Comment:
	O artigo não traz muitos detalhes sobre a construção das CPTs. Por isso, eu ia excluir este artigo por achar que não atendia aos critérios do quality assessment. No entanto, resolvi inferir que a construção das CPTs foi com base nos dados (frequency counts). O que vocês acham?
</t>
      </text>
    </comment>
    <comment authorId="54" xr:uid="{762b1e38-add4-421c-8471-afef2ec94b98}" ref="I153">
      <text>
        <t xml:space="preserve">[Threaded comment]
 Your version of Excel allows you to read this threaded comment; however, any edits to it will get removed if the file is opened in a newer version of Excel. Learn more: https://go.microsoft.com/fwlink/?linkid=870924
Comment:
	Eu busquei o artigo de Lauria pra entender a metodologia. Acabei considerando como uma discretização automática, mas fiquei na dúvida. @mperkusich@gmail.com
Reply:
	Rapaz, Lauria et al. usou analise estatistica, mas esse aqui nao.. eu entendi que eles apontaram pra Lauria so pra justificar usar nós booleanos.. eu deixaria como "literature review"
</t>
      </text>
    </comment>
    <comment authorId="55" xr:uid="{785f21bb-6009-4ac3-90f0-b9597290b5cd}" ref="N39">
      <text>
        <t xml:space="preserve">[Threaded comment]
 Your version of Excel allows you to read this threaded comment; however, any edits to it will get removed if the file is opened in a newer version of Excel. Learn more: https://go.microsoft.com/fwlink/?linkid=870924
Comment:
	Na sua opinião, dá pra inferir que usou expert review pra CPT evaluation?
</t>
      </text>
    </comment>
    <comment authorId="56" xr:uid="{79181cfa-f675-4983-be86-b6f9e62a7d11}" ref="M26">
      <text>
        <t xml:space="preserve">[Threaded comment]
 Your version of Excel allows you to read this threaded comment; however, any edits to it will get removed if the file is opened in a newer version of Excel. Learn more: https://go.microsoft.com/fwlink/?linkid=870924
Comment:
	Pelo que entendi, a entrevista foi uma "forma de aplicar/definir as funções" para o ranked nodes. Fiquei na dúvida se extraia "interviews" ou se apenas "ranked nodes method" seria suficiente.
</t>
      </text>
    </comment>
    <comment authorId="57" xr:uid="{7deba15b-9b6d-42ac-b795-eee838ebd165}" ref="Q61">
      <text>
        <t xml:space="preserve">[Threaded comment]
 Your version of Excel allows you to read this threaded comment; however, any edits to it will get removed if the file is opened in a newer version of Excel. Learn more: https://go.microsoft.com/fwlink/?linkid=870924
Comment:
	"Fitness measures" pode ser considerado sinônimo de "statistical measures"???
</t>
      </text>
    </comment>
    <comment authorId="58" xr:uid="{80c56dfc-4c3d-48ed-86a3-8f96036eb5a6}" ref="R108">
      <text>
        <t xml:space="preserve">[Threaded comment]
 Your version of Excel allows you to read this threaded comment; however, any edits to it will get removed if the file is opened in a newer version of Excel. Learn more: https://go.microsoft.com/fwlink/?linkid=870924
Comment:
	isso aqui ta errado.. é de outro artigo
</t>
      </text>
    </comment>
    <comment authorId="59" xr:uid="{8bee9b78-5c5d-457b-85d1-68821a218c3d}" ref="N25">
      <text>
        <t xml:space="preserve">[Threaded comment]
 Your version of Excel allows you to read this threaded comment; however, any edits to it will get removed if the file is opened in a newer version of Excel. Learn more: https://go.microsoft.com/fwlink/?linkid=870924
Comment:
	Ver opinião de mirko
</t>
      </text>
    </comment>
    <comment authorId="60" xr:uid="{8ed6295c-2d33-4a62-a589-48561eb22c21}" ref="K48">
      <text>
        <t xml:space="preserve">[Threaded comment]
 Your version of Excel allows you to read this threaded comment; however, any edits to it will get removed if the file is opened in a newer version of Excel. Learn more: https://go.microsoft.com/fwlink/?linkid=870924
Comment:
	Coloquei expert review, já que a estrutura foi modificada, mas poderia estar forçando demais a barra. O que acha?
</t>
      </text>
    </comment>
    <comment authorId="61" xr:uid="{8eea2306-50c3-4597-a5fd-7c8b1bd2055a}" ref="N3">
      <text>
        <t xml:space="preserve">[Threaded comment]
 Your version of Excel allows you to read this threaded comment; however, any edits to it will get removed if the file is opened in a newer version of Excel. Learn more: https://go.microsoft.com/fwlink/?linkid=870924
Comment:
	Ou dá pra inferir que foi "expert review"?
</t>
      </text>
    </comment>
    <comment authorId="62" xr:uid="{8f7b7b4c-00b8-4155-a55b-c142351f2520}" ref="M122">
      <text>
        <t xml:space="preserve">[Threaded comment]
 Your version of Excel allows you to read this threaded comment; however, any edits to it will get removed if the file is opened in a newer version of Excel. Learn more: https://go.microsoft.com/fwlink/?linkid=870924
Comment:
	Verificar com Mirko
</t>
      </text>
    </comment>
    <comment authorId="63" xr:uid="{8fde6491-e166-49b0-97e3-d5357bfb10c6}" ref="J137">
      <text>
        <t xml:space="preserve">[Threaded comment]
 Your version of Excel allows you to read this threaded comment; however, any edits to it will get removed if the file is opened in a newer version of Excel. Learn more: https://go.microsoft.com/fwlink/?linkid=870924
Comment:
	Acabei considerando literature review para os relacionamentos também, mas não fica explícito no texto.
</t>
      </text>
    </comment>
    <comment authorId="64" xr:uid="{921ca7a0-9da1-468d-acd0-0610fc765706}" ref="M32">
      <text>
        <t xml:space="preserve">[Threaded comment]
 Your version of Excel allows you to read this threaded comment; however, any edits to it will get removed if the file is opened in a newer version of Excel. Learn more: https://go.microsoft.com/fwlink/?linkid=870924
Comment:
	Coloquei zero no quality assessment. Pra mim, expert elicitation ou automated learning não acrescenta nada sobre a construção das tabelas.
</t>
      </text>
    </comment>
    <comment authorId="65" xr:uid="{926aec11-d42b-4ddb-b28d-7415c2103068}" ref="P83">
      <text>
        <t xml:space="preserve">[Threaded comment]
 Your version of Excel allows you to read this threaded comment; however, any edits to it will get removed if the file is opened in a newer version of Excel. Learn more: https://go.microsoft.com/fwlink/?linkid=870924
Comment:
	Apresenta alguns case studies mas, a meu ver, tem o objetivo de mostrar o uso da abordagem ao invés de ter uma validação rigorosa. Por isso coloquei proof of concept.
Reply:
	Concordo.
</t>
      </text>
    </comment>
    <comment authorId="66" xr:uid="{931eae02-491c-4acc-b283-121f5ecd8624}" ref="M91">
      <text>
        <t xml:space="preserve">[Threaded comment]
 Your version of Excel allows you to read this threaded comment; however, any edits to it will get removed if the file is opened in a newer version of Excel. Learn more: https://go.microsoft.com/fwlink/?linkid=870924
Comment:
	Aqui considerei fuzzy logic como um método semiautomático pras probabilidades dos entry nodes. Concorda? @mperkusich@gmail.com
Reply:
	ok
</t>
      </text>
    </comment>
    <comment authorId="67" xr:uid="{943bc753-33f4-4817-883c-6ca7b871a81f}" ref="M144">
      <text>
        <t xml:space="preserve">[Threaded comment]
 Your version of Excel allows you to read this threaded comment; however, any edits to it will get removed if the file is opened in a newer version of Excel. Learn more: https://go.microsoft.com/fwlink/?linkid=870924
Comment:
	Pra mim não ficou claro como as CPTs foram construídas. Os autores mencionam o uso de um survey para coletar dados de fatores ausentes nas metrics databases. Também falam que desenvolveram um método e ferramenta para a construção das CPTs, mas não são fornecidos mais detalhes. Por isso, avaliei como 0.0, uma vez que falha ao abordar as CPTs. Você pode só confirmar se realmente nenhum detalhe é fornecido sobre esse método?
</t>
      </text>
    </comment>
    <comment authorId="68" xr:uid="{946efdd9-898b-41fc-924c-bcb0605e138e}" ref="P66">
      <text>
        <t xml:space="preserve">[Threaded comment]
 Your version of Excel allows you to read this threaded comment; however, any edits to it will get removed if the file is opened in a newer version of Excel. Learn more: https://go.microsoft.com/fwlink/?linkid=870924
Comment:
	Essa foi a denominação que usei para a validação usada. Você concorda, faz sentido? @mperkusich@gmail.com
Reply:
	ok
</t>
      </text>
    </comment>
    <comment authorId="69" xr:uid="{96a0306a-782d-4d89-9e85-a8603bfc3fbf}" ref="M37">
      <text>
        <t xml:space="preserve">[Threaded comment]
 Your version of Excel allows you to read this threaded comment; however, any edits to it will get removed if the file is opened in a newer version of Excel. Learn more: https://go.microsoft.com/fwlink/?linkid=870924
Comment:
	Aqui fiquei na dúvida se focus group poderia entrar como método para CPTs. Fala em workshop no qual experts avaliam cenários e expert domain assessments a respeito desses cenários são usados para popular os BN nodes.
</t>
      </text>
    </comment>
    <comment authorId="70" xr:uid="{97538a8b-4186-4171-9995-ec50dd834380}" ref="M42">
      <text>
        <t xml:space="preserve">[Threaded comment]
 Your version of Excel allows you to read this threaded comment; however, any edits to it will get removed if the file is opened in a newer version of Excel. Learn more: https://go.microsoft.com/fwlink/?linkid=870924
Comment:
	Faz sentido?
</t>
      </text>
    </comment>
    <comment authorId="71" xr:uid="{978e8cfa-045c-4469-8d6f-a655f91c0a02}" ref="E83">
      <text>
        <t xml:space="preserve">[Threaded comment]
 Your version of Excel allows you to read this threaded comment; however, any edits to it will get removed if the file is opened in a newer version of Excel. Learn more: https://go.microsoft.com/fwlink/?linkid=870924
Comment:
	Acredito que seja bom analisar este paper da TSE e ver se você concorda com minha extração e avaliação.
</t>
      </text>
    </comment>
    <comment authorId="72" xr:uid="{98a7ea4e-dc98-4715-b5db-d1cabd6663e3}" ref="E151">
      <text>
        <t xml:space="preserve">[Threaded comment]
 Your version of Excel allows you to read this threaded comment; however, any edits to it will get removed if the file is opened in a newer version of Excel. Learn more: https://go.microsoft.com/fwlink/?linkid=870924
Comment:
	Acho que a estrutura e a validação dariam pra passar, mas sobre as tabelas só diz que usou experts + dados.
</t>
      </text>
    </comment>
    <comment authorId="73" xr:uid="{98ac2697-d268-4b0a-b1cb-711e95a63c04}" ref="P26">
      <text>
        <t xml:space="preserve">[Threaded comment]
 Your version of Excel allows you to read this threaded comment; however, any edits to it will get removed if the file is opened in a newer version of Excel. Learn more: https://go.microsoft.com/fwlink/?linkid=870924
Comment:
	Como a RQ1 do case study pergunta se os resultados do modelo são aceitáveis a partir da visão dos sujeitos envolvidos no estudo (experts), classifiquei como model walkthrough(simulated scenarios). Também extraí case study como método e destaquei entre parênteses o foco em "evaluation of model usefulness/usability". Considerei como uma avaliação de utilidade/usabilidade que pode ser considerada uma forma de validação baseada em experts. O que acha? @mperkusich@gmail.com
Reply:
	Model walkthrough não se encaixa nesse artigo, pois foram usados dados de projetos reais no case study. Então, seria predictive accuracy. Olha a definição par a "model waltrough" e "predictive accuracy" tiradas do livro de Emilia: "Model walk-through is a calibration that is done subjectively, where domain
experts use several hypothetical scenarios to check, for each of these scenarios,
whether the effort category that the model shows with the highest probability
matches the category they would have selected if estimating effort subjectively.
We see this activity as a way to enable domain experts to get a feel for the model,
and therefore we do not recommend that companies rely solely on this activity in
order to decide whether the model is ready for use.
Predictive accuracy entails the use of past data from completed projects, for
which total development effort is known, in order to check the model’s calibration.
We recommend that most of these completed projects—called the validation set—
be representative of the typical projects developed by the company
"
</t>
      </text>
    </comment>
    <comment authorId="74" xr:uid="{9b7f5ea3-5bc9-4088-ae03-5d24b4143789}" ref="E144">
      <text>
        <t xml:space="preserve">[Threaded comment]
 Your version of Excel allows you to read this threaded comment; however, any edits to it will get removed if the file is opened in a newer version of Excel. Learn more: https://go.microsoft.com/fwlink/?linkid=870924
Comment:
	Pra mim não ficou claro como as CPTs foram construídas. Os autores mencionam o uso de um survey para coletar dados de fatores ausentes nas metrics databases. Também falam que desenvolveram um método e ferramenta para a construção das CPTs (parecido com o WSA na minha opinião), mas não são fornecidos mais detalhes. Por isso, resolvi excluir o artigo, uma vez que falha ao abordar as CPTs.
</t>
      </text>
    </comment>
    <comment authorId="75" xr:uid="{9c2be1d7-5472-4916-bb20-59e0f7ecb98e}" ref="M101">
      <text>
        <t xml:space="preserve">[Threaded comment]
 Your version of Excel allows you to read this threaded comment; however, any edits to it will get removed if the file is opened in a newer version of Excel. Learn more: https://go.microsoft.com/fwlink/?linkid=870924
Comment:
	Fiquei na dúvida se deveria extrair apenas "EM algorithm". Os dados coletados via survey com experts serviram como entrada para o EM algorithm calcular os parâmetros.
</t>
      </text>
    </comment>
    <comment authorId="76" xr:uid="{9f86e879-1894-4093-88e9-b496cdf67e4f}" ref="E117">
      <text>
        <t xml:space="preserve">[Threaded comment]
 Your version of Excel allows you to read this threaded comment; however, any edits to it will get removed if the file is opened in a newer version of Excel. Learn more: https://go.microsoft.com/fwlink/?linkid=870924
Comment:
	Pedir para Mirko analisar. Usou simulação para coletar dados para construir as CPTs, mas não consegui identificar como esses dados são usados (parameter learning algorithm, frequency quantification from data using an automated tool...). Por isso atribuí 0.5 na construção das CPTs e extraí como método simulation experiments. O que você acha?
</t>
      </text>
    </comment>
    <comment authorId="77" xr:uid="{a0f04f41-43d1-40d0-bdef-8a3246eb9bdb}" ref="P126">
      <text>
        <t xml:space="preserve">[Threaded comment]
 Your version of Excel allows you to read this threaded comment; however, any edits to it will get removed if the file is opened in a newer version of Excel. Learn more: https://go.microsoft.com/fwlink/?linkid=870924
Comment:
	Caberia proof of concept aqui? O texto a seguir está na coluna que justifica a extração e fui eu que escrevi resumindo meu entendimento: The model was evaluated through a case study involving students and review by project managers: students identified risks on a web project; their risk data was input into the BN model; the inferred results from the BN were compared against: risks students had identified; risks identified by project managers. The BN helped surface additional risks, which were judged to be meaningful by experts. The goal is to check plausibility, usefulness, and completeness - not numerical accuracy. Eu fiquei na dúvida entre colocar proof of concept ou case study (evaluation of model usefulness/usability). O que acha? @mperkusich@gmail.com
Reply:
	eu acho que o foco foi mais no resultado final... eu tinha ficado na duvida entre "proof of concept" e "model walkthrough"... esqueça os estduantes (eu vejo como "acessório" aqui.. é uma QP adicional sobre utilidade pratica comparando BN x iniciantes, pra reforçar o argumento de que BN pode apoiar quem tem pouca experiência. mas n ajuda a validar calibrar/validar a RB)... eu ficaria com "proof of concept" so pq, pelo que entendi, os gerents de projeto n participaram da definição dos cenarios...
Reply:
	e acho que faz sentido vc botar " case study (evaluation of model usefulness/usability)" tambem.. por causa do lance com os alunos/iniciantes
</t>
      </text>
    </comment>
    <comment authorId="78" xr:uid="{aa85731d-d568-4908-83e2-7c8286c8398f}" ref="P101">
      <text>
        <t xml:space="preserve">[Threaded comment]
 Your version of Excel allows you to read this threaded comment; however, any edits to it will get removed if the file is opened in a newer version of Excel. Learn more: https://go.microsoft.com/fwlink/?linkid=870924
Comment:
	O artigo não menciona validação de forma explícita. Assim, fiquei na dúvida se a informação que extraí de fato representa uma validação do modelo. Caso NÃO, o artigo deve ser excluído por não ter abordado a fase de "model validation".
</t>
      </text>
    </comment>
    <comment authorId="79" xr:uid="{aedd350f-015e-4d4e-98f0-09809b35c2f5}" ref="M86">
      <text>
        <t xml:space="preserve">[Threaded comment]
 Your version of Excel allows you to read this threaded comment; however, any edits to it will get removed if the file is opened in a newer version of Excel. Learn more: https://go.microsoft.com/fwlink/?linkid=870924
Comment:
	Eu vi num artigo da Misirli que ela se referia a GLM para a estrutura, mas lendo esse artigo acho que aí tem a ver com as CPTs. Pelo que entendi, GLM pode ser considerado um framework estatístico genérico, que, pelo que entendi no estudo em questão, se trata de um modelo de regressão linear múltipla. Por isso que extraí GLM como método e na tese vou dizer que usaram análise de regressão linear (instância do GLM). Outra coisa: eu também incluí o MLE. O artigo menciona o termo maximum likelihood estimation; não ficou descrito explicitamente como um método para CPTs, mas apenas para determinar coeficientes. Classifiquei MLE como automatic method e GLM como semi-automatic (o estudo usou MLE para determinar os coeficientes, mas menciona que na ausência de dados podem ser determinados pelos experts). Concorda? @mperkusich@gmail.com
Reply:
	Concordo. Um ponto é que GLM pode ser usado pra estrutura tambem... nesse artigo, foi so pra CPT
</t>
      </text>
    </comment>
    <comment authorId="80" xr:uid="{aeedb14d-5f36-4701-b6ed-5ec43e82174d}" ref="J153">
      <text>
        <t xml:space="preserve">[Threaded comment]
 Your version of Excel allows you to read this threaded comment; however, any edits to it will get removed if the file is opened in a newer version of Excel. Learn more: https://go.microsoft.com/fwlink/?linkid=870924
Comment:
	Aplicou um structure learning algorithm usando dados de projetos coletados de experts. Assim, considerei survey with practitioners como método. Aqui caberia também risk-centric modeling nas variáveis e relacionamentos?
Reply:
	OK
</t>
      </text>
    </comment>
    <comment authorId="81" xr:uid="{af474961-7973-4c8b-b514-61650d618dae}" ref="P139">
      <text>
        <t xml:space="preserve">[Threaded comment]
 Your version of Excel allows you to read this threaded comment; however, any edits to it will get removed if the file is opened in a newer version of Excel. Learn more: https://go.microsoft.com/fwlink/?linkid=870924
Comment:
	Podemos considerar a validação como "model walkthrough"? Compara os resultados da BN com reports avaliados por experts. @mperkusich@gmail.com
Reply:
	como usa dados de projeto real, eu classificaria como "predictive accuracy".. e como experts validaram, eu botaria nessa coluna "Expert review".. tem cara de um estudo de caso que envolveu ambos os tipos de validação, como o S8
</t>
      </text>
    </comment>
    <comment authorId="82" xr:uid="{b07c4d94-b819-4ec7-9fff-b990978301b8}" ref="H117">
      <text>
        <t xml:space="preserve">[Threaded comment]
 Your version of Excel allows you to read this threaded comment; however, any edits to it will get removed if the file is opened in a newer version of Excel. Learn more: https://go.microsoft.com/fwlink/?linkid=870924
Comment:
	Aqui fiquei na dúvida se devia ou não excluir. Ao apresentar a abordagem proposta, alguns "possíveis" métodos que "poderiam" ser utilizados para construir a estrutura são mencionados, mas no case study, onde de fato o modelo é criado, não detalha que método foi usado. Apenas descreve a estrutura (por exemplo, que atributos foram considerados), que foi construída por experts/architects. As tabelas foram criadas a partir de dados gerados por simulation experiments e a validação pra mim não ficou clara. Concordam em excluir?
</t>
      </text>
    </comment>
    <comment authorId="83" xr:uid="{b284ca9b-7db9-4a7b-8a11-ad6b0f8836b6}" ref="J152">
      <text>
        <t xml:space="preserve">[Threaded comment]
 Your version of Excel allows you to read this threaded comment; however, any edits to it will get removed if the file is opened in a newer version of Excel. Learn more: https://go.microsoft.com/fwlink/?linkid=870924
Comment:
	Aqui eu incluí "survey with practitioners" porque os dados coletados para structure learning e parameter estimation se referem a outsourced projects. Pelo que entendi, ao invés de dados históricos, são dados provenientes de respondentes, então aqui o survey configura como um expert-based método pra construção da estrutura. Confirmar também se "risk-centric modeling" se encaixa aqui (nas variáveis e relacionamentos).
Reply:
	OK, mas pq vc não botou "interviews" também? Na seção IV B., diz "Meanwhile, our interviews with experts indicate that therequirement complexity risks of project will affect
customer risks and software engineering risks will affect
the project outcome.
"
</t>
      </text>
    </comment>
    <comment authorId="84" xr:uid="{b4cd6b60-9b18-40a6-8651-f63ad05987bd}" ref="Q49">
      <text>
        <t xml:space="preserve">[Threaded comment]
 Your version of Excel allows you to read this threaded comment; however, any edits to it will get removed if the file is opened in a newer version of Excel. Learn more: https://go.microsoft.com/fwlink/?linkid=870924
Comment:
	Sempre que compara as predições do modelo (predicted distribution) com dados reais (actual distribution), eu considerei como sendo "predictive accuracy/outcome adequacy"
</t>
      </text>
    </comment>
    <comment authorId="85" xr:uid="{bfbe0b7d-e02b-4274-83b8-d59b0aef6e69}" ref="P61">
      <text>
        <t xml:space="preserve">[Threaded comment]
 Your version of Excel allows you to read this threaded comment; however, any edits to it will get removed if the file is opened in a newer version of Excel. Learn more: https://go.microsoft.com/fwlink/?linkid=870924
Comment:
	Faz sentido?
</t>
      </text>
    </comment>
    <comment authorId="86" xr:uid="{c1e2a5c3-4eea-4102-9e33-2cd8f02df754}" ref="P4">
      <text>
        <t xml:space="preserve">[Threaded comment]
 Your version of Excel allows you to read this threaded comment; however, any edits to it will get removed if the file is opened in a newer version of Excel. Learn more: https://go.microsoft.com/fwlink/?linkid=870924
Comment:
	Concorda com os métodos extraídos?
Reply:
	Não consegui acessar o artigo. Tu tem aí?
</t>
      </text>
    </comment>
    <comment authorId="87" xr:uid="{c2ba8518-71c2-4aea-aa3e-b6c30f36791b}" ref="E122">
      <text>
        <t xml:space="preserve">[Threaded comment]
 Your version of Excel allows you to read this threaded comment; however, any edits to it will get removed if the file is opened in a newer version of Excel. Learn more: https://go.microsoft.com/fwlink/?linkid=870924
Comment:
	Você poderia verificar se concorda com minha extração em todas as atividades, por favor?
</t>
      </text>
    </comment>
    <comment authorId="88" xr:uid="{c2d5c3c7-37d7-470e-93c3-75b464c3006b}" ref="I41">
      <text>
        <t xml:space="preserve">[Threaded comment]
 Your version of Excel allows you to read this threaded comment; however, any edits to it will get removed if the file is opened in a newer version of Excel. Learn more: https://go.microsoft.com/fwlink/?linkid=870924
Comment:
	Dá pra inferir isso do texto ou força muito a barra?
</t>
      </text>
    </comment>
    <comment authorId="89" xr:uid="{c4a7f5e5-66c8-41e1-a8fe-43d08dd96244}" ref="M51">
      <text>
        <t xml:space="preserve">[Threaded comment]
 Your version of Excel allows you to read this threaded comment; however, any edits to it will get removed if the file is opened in a newer version of Excel. Learn more: https://go.microsoft.com/fwlink/?linkid=870924
Comment:
	Aqui eu incluí "survey with practitioners (questionnaire)" como método usado pra construir as CPTs, mas tem um trecho no artigo que diz que os dados reportados no artigo, coletado via questionários com experts, foram usados para validação do modelo apenas. "This causal model was not developed from the data reported in this paper. The data
presented here were available for us after the model was developed. Thus, we used them
only to validate the model."
</t>
      </text>
    </comment>
    <comment authorId="90" xr:uid="{c912fd29-df63-438d-b60e-dedf1ac0412c}" ref="E86">
      <text>
        <t xml:space="preserve">[Threaded comment]
 Your version of Excel allows you to read this threaded comment; however, any edits to it will get removed if the file is opened in a newer version of Excel. Learn more: https://go.microsoft.com/fwlink/?linkid=870924
Comment:
	Fiquei com dúvida neste artigo, principalmente nas CPTs. Dá uma verificada e vê se concorda comigo, por favor. @mperkusich@gmail.com
</t>
      </text>
    </comment>
    <comment authorId="91" xr:uid="{cb0a3e97-2a2f-47e6-8817-a0e37721cd1a}" ref="E59">
      <text>
        <t xml:space="preserve">[Threaded comment]
 Your version of Excel allows you to read this threaded comment; however, any edits to it will get removed if the file is opened in a newer version of Excel. Learn more: https://go.microsoft.com/fwlink/?linkid=870924
Comment:
	Acredito que seria bom Mirko analisar esse paper e ver se concorda com minha avaliação/extração (é um artigo da TSE que ficou de fora de acordo com a minha avaliação)
</t>
      </text>
    </comment>
    <comment authorId="92" xr:uid="{cbb02280-b9a0-4391-835f-3ddd87ddc542}" ref="E96">
      <text>
        <t xml:space="preserve">[Threaded comment]
 Your version of Excel allows you to read this threaded comment; however, any edits to it will get removed if the file is opened in a newer version of Excel. Learn more: https://go.microsoft.com/fwlink/?linkid=870924
Comment:
	Pedir para Mirko verificar as extrações/avaliações.
Reply:
	ok
</t>
      </text>
    </comment>
    <comment authorId="93" xr:uid="{cca1dce1-57ae-4644-96bf-03ae8c36f8a0}" ref="M19">
      <text>
        <t xml:space="preserve">[Threaded comment]
 Your version of Excel allows you to read this threaded comment; however, any edits to it will get removed if the file is opened in a newer version of Excel. Learn more: https://go.microsoft.com/fwlink/?linkid=870924
Comment:
	Vou deixar aqui "expert elicitation", mas acredito que a gente não vai listar isso entre os métodos pra construção de CPTs por ser vago demais
</t>
      </text>
    </comment>
    <comment authorId="94" xr:uid="{cfc6d4b7-f644-4593-9142-54b9a8bcb623}" ref="E93">
      <text>
        <t xml:space="preserve">[Threaded comment]
 Your version of Excel allows you to read this threaded comment; however, any edits to it will get removed if the file is opened in a newer version of Excel. Learn more: https://go.microsoft.com/fwlink/?linkid=870924
Comment:
	Artigo da Expert Systems que ficou de fora porque já mostra a rede pronta sem dar muitos detalhes de como chegou nela (mostra fatores incluídos, estados possíveis de alguns fatores, mas não fica claro como foi feito). Caso queria dar uma conferida
Reply:
	Eu acho que o QA foi muito rigoroso aqui. Eu acho que com relação a estrutura, ta razoavel a explicação. Eles dizem que se basearam na IEEE Std 1219-1993 , mas que tinha ficado com muitas varíaveis (60+). Então, eles simplificaram pra focar nas macrofases. Concordo que eles foram muito vagos e não explicaram bem como foi o processo de "classificação" das infos do padrão IEEE pra rede nem da interação com um especialista. Na estrutura, ficou claro que se basearam no padrão IEEE e parece que consulturam um specialist (qndo ele dizem que "In the present work, we have confined
ourselves to a set of factors that can be measured and
pointed out as minimum by specialists".. faz soar que eles consultaram alguém). Com relação às probabilidades, eles indiretamente dizem que elicitaram de 1 specialist ("the probabilities above were denoted by specialists from a single company")
Reply:
	eu botaria 0.5 em Q1.1, Q1.2, Q1.3 e Q2.1. No resto, zero. No final das contas, acabou sendo excluído
</t>
      </text>
    </comment>
    <comment authorId="95" xr:uid="{d038c861-04a1-4b7d-a526-27894702d720}" ref="E154">
      <text>
        <t xml:space="preserve">[Threaded comment]
 Your version of Excel allows you to read this threaded comment; however, any edits to it will get removed if the file is opened in a newer version of Excel. Learn more: https://go.microsoft.com/fwlink/?linkid=870924
Comment:
	Verificar possibilidade de incluir (K2 para CPTs)
</t>
      </text>
    </comment>
    <comment authorId="96" xr:uid="{d087e6af-a0dd-4f0a-a0eb-e6475e284226}" ref="M54">
      <text>
        <t xml:space="preserve">[Threaded comment]
 Your version of Excel allows you to read this threaded comment; however, any edits to it will get removed if the file is opened in a newer version of Excel. Learn more: https://go.microsoft.com/fwlink/?linkid=870924
Comment:
	Aqui eu fiquei na dúvida em que método extrair, por isso incluí "extrapolating the distributions based on expert samples". Faz sentido extrair isso como método pras CPTs? Tem outro nome pra isso?
Reply:
	Eu botaria "Probabilities Extrapolation".. algo do tipo.. E eu acho que vale a pena fazer uma classificacao mais cuidados aqui e agrupar algumas tecnicas.. por exemplo, isso aqui se encixaria como "semi-automatic method" (ou "filling-up method") junto com ranked nodes method e Weighted Sum Algorithm (WSA)
</t>
      </text>
    </comment>
    <comment authorId="97" xr:uid="{d243b10a-bb9e-4e5c-88e3-4639e0c889a9}" ref="P149">
      <text>
        <t xml:space="preserve">[Threaded comment]
 Your version of Excel allows you to read this threaded comment; however, any edits to it will get removed if the file is opened in a newer version of Excel. Learn more: https://go.microsoft.com/fwlink/?linkid=870924
Comment:
	Aqui tenho dúvida que método extrair. O modelo é usado para auxiliar DCA sessions (diagnostic inference). Pelo que entendi, na validação feita na indústria, os experts identificam as causas dos problemas e verificam as causas apontadas pelo modelo. Como envolveu experts achei que caberia model walkthrough. Podem confirmar se é isso mesmo? Outra coisa: não sei se "usability/usefulness evaluation" caberia como expert-based validation com base no TAM. O que acham?
</t>
      </text>
    </comment>
    <comment authorId="98" xr:uid="{dad9b8a0-55ac-491c-90aa-49e6cc05d9ed}" ref="M117">
      <text>
        <t xml:space="preserve">[Threaded comment]
 Your version of Excel allows you to read this threaded comment; however, any edits to it will get removed if the file is opened in a newer version of Excel. Learn more: https://go.microsoft.com/fwlink/?linkid=870924
Comment:
	Usou simulação para coletar dados para construir as CPTs, mas não consegui identificar como esses dados são usados (parameter learning algorithm, frequency quantification from data using an automated tool...). Por isso atribuí 0.5 na construção das CPTs e extraí como método simulation experiments. O que você acha?
Reply:
	eu acho que seria 1.0. Eles não tinham dados, então usaram modelos para ter uma simulação realista e rodaram várias vezes pra gerar os dados. Depois, eles não usaram estatística e sim contagem simples de frequência. Eu usaria aqui outro termo, como e.g., "Frequency Estimation from Simulated Data"
</t>
      </text>
    </comment>
    <comment authorId="99" xr:uid="{e1dfa025-7e54-4e64-9ff0-7c6c74eed2e8}" ref="M39">
      <text>
        <t xml:space="preserve">[Threaded comment]
 Your version of Excel allows you to read this threaded comment; however, any edits to it will get removed if the file is opened in a newer version of Excel. Learn more: https://go.microsoft.com/fwlink/?linkid=870924
Comment:
	Faz sentido de acordo com o trecho extraído?
</t>
      </text>
    </comment>
    <comment authorId="100" xr:uid="{e2f55088-8dd0-4563-a53b-c16e85930484}" ref="E150">
      <text>
        <t xml:space="preserve">[Threaded comment]
 Your version of Excel allows you to read this threaded comment; however, any edits to it will get removed if the file is opened in a newer version of Excel. Learn more: https://go.microsoft.com/fwlink/?linkid=870924
Comment:
	Não diz como o DAG foi construído, só apresenta a estrutura pronta. Não detalha nenhum método de data gathering &amp; analysis para variáveis e relacionamentos, só consta"lifecycle model" como reasoning mechanisms. Assim, considerei como insatisfatória a parte de structure building. Dá pra ver que parameter estimation foi usando dados, mas não tem nenhuma outra informação. Também considerei insatisfatória a parte das CPTs.
</t>
      </text>
    </comment>
    <comment authorId="101" xr:uid="{e487e892-1467-49f0-95dc-4103950f670d}" ref="M137">
      <text>
        <t xml:space="preserve">[Threaded comment]
 Your version of Excel allows you to read this threaded comment; however, any edits to it will get removed if the file is opened in a newer version of Excel. Learn more: https://go.microsoft.com/fwlink/?linkid=870924
Comment:
	Concorda com a informação extraída? @mperkusich@gmail.com
Reply:
	ok
</t>
      </text>
    </comment>
    <comment authorId="102" xr:uid="{eb18084e-98cf-4339-9590-56e70626e571}" ref="Q137">
      <text>
        <t xml:space="preserve">[Threaded comment]
 Your version of Excel allows you to read this threaded comment; however, any edits to it will get removed if the file is opened in a newer version of Excel. Learn more: https://go.microsoft.com/fwlink/?linkid=870924
Comment:
	Concorda com a informação extraída? @mperkusich@gmail.com
</t>
      </text>
    </comment>
    <comment authorId="103" xr:uid="{eca8a36f-42e7-4397-b202-1f3f063cf361}" ref="E73">
      <text>
        <t xml:space="preserve">[Threaded comment]
 Your version of Excel allows you to read this threaded comment; however, any edits to it will get removed if the file is opened in a newer version of Excel. Learn more: https://go.microsoft.com/fwlink/?linkid=870924
Comment:
	Este artigo da TSE pra mim foi complexo. Não consegui identificar bem os métodos utilizados; é como se eles tivessem partido sempre de "assumptions", por isso coloquei not specified pra várias atividades da construção da BN. Por exemplo, eles já fornecem uma lista pronta de variáveis sem dizer como foram identificadas e definem todas como Boolean por uma questão de simplificação. Você pode verificar este artigo e ver se concorda com minha extração, por favor?
Reply:
	Denso pra caramba mesmo o artigo. Eles usam a BN pra modelar a confiança dado que vc tem duas fontes de conhecimento. Por exemplo, se eu tenho um sistema e eu quero saber se a qualidade ta OK. Para isso, eu tenho dois "legs": teste e prova formal. Daí, o ponto é, por exemplo, dado que eu já fiz a prova formal, se eu testar, eu aumento a confiança da declaração "o sistema está OK"? Pra mim, surge um novo tipo de reasoning model aqui... seria "argumentation model", e isso define a topologia da rede (nos + relacionamentos), deixando o QA para Q1.1 e 1.3 = 1.0. Sobre os estados, eu entendi que eles foram só de boolean... e a explicação foi "simplificar"... acho que 0.5 na Q1.2 (0 seria se n falassem nada sobre os estados...). e as TPNs tao bem detalhadas, mas eles não se basearam em dados... foi baseado em modelagem teórica (sem experts, sem literatura).. enfim, o Q2.1 seria 1.0. É um artigo fora da curva e complexo de ler mesmo
</t>
      </text>
    </comment>
    <comment authorId="104" xr:uid="{f1ff2183-dc70-4928-b9de-8bd3dc9da219}" ref="I122">
      <text>
        <t xml:space="preserve">[Threaded comment]
 Your version of Excel allows you to read this threaded comment; however, any edits to it will get removed if the file is opened in a newer version of Excel. Learn more: https://go.microsoft.com/fwlink/?linkid=870924
Comment:
	Embora fuzzy logic apareça na seção de parameter estimation, um dos objetivos é definir um número de clusters e a respectiva faixa de valores que os nós podem assumir. Eu não estou conseguindo mais baixar o artigo. Como ele diz que aplicou fuzzy logic para as probabilidades de directed measured input criteria e experts para os demais nós, então inferi que fuzzy logic foi uma abordagem automática para a definição dos estados. Pelos trechos que eu extraí do artigo, é razoável ? @mperkusich@gmail.com
Reply:
	Ta correto. isso aqui justifica: "To do so, we use an empirical approach that tries many clusterings with different number of clusters and measures the
quality of each clustering by means of Dunn’s partition coefficient. Trauwaert
[1988] shows that this coefficient helps determining the optimum number of
clusters. " os states/values aqui, ele chama de "clusters"
</t>
      </text>
    </comment>
    <comment authorId="105" xr:uid="{f4bd8f21-f680-4aec-9a95-121281b4455a}" ref="E146">
      <text>
        <t xml:space="preserve">[Threaded comment]
 Your version of Excel allows you to read this threaded comment; however, any edits to it will get removed if the file is opened in a newer version of Excel. Learn more: https://go.microsoft.com/fwlink/?linkid=870924
Comment:
	Pra mim, só descreve um exemplo de aplicação para fins de demonstração do modelo. Não consegui enxergar se os resultados do modelo são comparados com expert judgment ou dados. Por isso exclui. Se puderem confirmar...
</t>
      </text>
    </comment>
    <comment authorId="106" xr:uid="{f4ec8d8e-4843-4721-a34a-89a09ca9a765}" ref="M4">
      <text>
        <t xml:space="preserve">[Threaded comment]
 Your version of Excel allows you to read this threaded comment; however, any edits to it will get removed if the file is opened in a newer version of Excel. Learn more: https://go.microsoft.com/fwlink/?linkid=870924
Comment:
	Dá a entender que as CPTs foram contruídas manualmente a partir dos dados coletados de experts, por isso coloquei frequency quantification."This dataset was collected by recording the backlog each day after
a meeting. The dataset was used to calculate conditional probabilities."  Além disso, existem algumas fórmulas para as probabilidades de alguns nós, por isso coloquei "direct function (e.g., sum, formula). Não sei se seria necessário extrair isso. O que vocês acham?
Reply:
	Não consegui acessar o artigo. Tu tem aí?
</t>
      </text>
    </comment>
    <comment authorId="107" xr:uid="{f5a4d69d-86c2-4cba-a560-e591129d7f02}" ref="M114">
      <text>
        <t xml:space="preserve">[Threaded comment]
 Your version of Excel allows you to read this threaded comment; however, any edits to it will get removed if the file is opened in a newer version of Excel. Learn more: https://go.microsoft.com/fwlink/?linkid=870924
Comment:
	O algoritmo proposto na página 8 deveria entrar como método para construção das CPTs? Pelo que entendi, ele pega os valores das probabilidades da BN e utiliza para outra finalidade, por isso não incluí aqui. Caso você ache que deveria entrar, como você denominaria o método? @mperkusich@gmail.com
Reply:
	OK. Esse método de "variable elimination" eu n sei nem pra que eles botaram no artigo.. ate onde sei, qquer ferramenta de BN implementa isso.. é um metodo de inferencia
</t>
      </text>
    </comment>
    <comment authorId="108" xr:uid="{f6bb5505-700f-45c3-936a-92c9b555d8aa}" ref="H4">
      <text>
        <t xml:space="preserve">[Threaded comment]
 Your version of Excel allows you to read this threaded comment; however, any edits to it will get removed if the file is opened in a newer version of Excel. Learn more: https://go.microsoft.com/fwlink/?linkid=870924
Comment:
	Adotei um conceito amplo para literature review (como no artigo do IST), podendo significar que os pesquisadores realizaram uma abordagem sistemática (SLR), ou apenas usaram como suporte a literatura sobre o domínio em questão (e.g., findings/information from empirical studies) ou standards/reports/guidelines.
</t>
      </text>
    </comment>
    <comment authorId="109" xr:uid="{f7ba5ba8-0787-4dff-ad4b-a8575608e225}" ref="K114">
      <text>
        <t xml:space="preserve">[Threaded comment]
 Your version of Excel allows you to read this threaded comment; however, any edits to it will get removed if the file is opened in a newer version of Excel. Learn more: https://go.microsoft.com/fwlink/?linkid=870924
Comment:
	Verificar com Mirko se esses métodos funcionam como structure evaluation ou relationships
</t>
      </text>
    </comment>
    <comment authorId="110" xr:uid="{f9de9a83-fd77-43e0-9d11-c28b63bf63fe}" ref="J11">
      <text>
        <t xml:space="preserve">[Threaded comment]
 Your version of Excel allows you to read this threaded comment; however, any edits to it will get removed if the file is opened in a newer version of Excel. Learn more: https://go.microsoft.com/fwlink/?linkid=870924
Comment:
	Não menciona explicitamente focus group. Extraí por inferência e porque muitos dos artigos de Emilia usam focus group.
</t>
      </text>
    </comment>
    <comment authorId="111" xr:uid="{fe28bfc0-652b-436f-8371-38f847f08fa0}" ref="E121">
      <text>
        <t xml:space="preserve">[Threaded comment]
 Your version of Excel allows you to read this threaded comment; however, any edits to it will get removed if the file is opened in a newer version of Excel. Learn more: https://go.microsoft.com/fwlink/?linkid=870924
Comment:
	Eu achei complexo o problema ao qual a BN foi aplicada. Você pode só olhar rapidamente pra ver se concorda com as avaliações/extrações, por favor?
Reply:
	Pelo que entendi, o modelo foi baseado no KWIC problem que foi discutido em [25], [11] e [33]. E pelo que entendi, foi baseado nesses estudos que eles extraíram as variáveis, estados e relacionamentos. Eles citam alguns exemplos ao final da sec. 3.2 de como decisões de design influenciam atributos de qualidade (eu entendi que eles tiraram isso de uma análise de [25], [11], [33]). Agora, com relação às probabilidades, eles explicaram que adaptaram o método de Boehm pra risk mgmt [3], mas não dizem da onde tiraram os valores para as sentenças ao final da pg. 704. Dado isso, eu diria que Identification of nodes, values e relationships, seria "literature review" com valor 0.5 (não ta explícito). Para as probabilidades, eu deixaria como vc fez.
</t>
      </text>
    </comment>
  </commentList>
</comments>
</file>

<file path=xl/sharedStrings.xml><?xml version="1.0" encoding="utf-8"?>
<sst xmlns="http://schemas.openxmlformats.org/spreadsheetml/2006/main" count="3775" uniqueCount="1403">
  <si>
    <t>Quality assessment criteria</t>
  </si>
  <si>
    <t>Structure building</t>
  </si>
  <si>
    <t>Q1</t>
  </si>
  <si>
    <t>Is the construction of the BN structure appropriately described?</t>
  </si>
  <si>
    <t>Q1.1</t>
  </si>
  <si>
    <t>Did the researchers detail how the model variables/factors were identified?</t>
  </si>
  <si>
    <t>Q1.2</t>
  </si>
  <si>
    <t>Did the researchers detail how the node values/states were defined?</t>
  </si>
  <si>
    <t>Q1.3</t>
  </si>
  <si>
    <t>Did the researchers detail how the relationships among the model variables/factors were identified?</t>
  </si>
  <si>
    <t>Q1.4</t>
  </si>
  <si>
    <t>Did the researchers detail how the BN structure was evaluated?</t>
  </si>
  <si>
    <t>Parameter estimation</t>
  </si>
  <si>
    <t>Q2</t>
  </si>
  <si>
    <t>Is the estimation of the BN parameters appropriately described?</t>
  </si>
  <si>
    <t>Q2.1</t>
  </si>
  <si>
    <t>Study ID</t>
  </si>
  <si>
    <t>Did the researchers detail how the CPTs were constructed?</t>
  </si>
  <si>
    <t>Q2.2</t>
  </si>
  <si>
    <t>Did the researchers detail how the CPTs were evaluated?</t>
  </si>
  <si>
    <t>Model validation</t>
  </si>
  <si>
    <t>Q3</t>
  </si>
  <si>
    <t>Is the BN validation appropriately described?</t>
  </si>
  <si>
    <t>Q3.1</t>
  </si>
  <si>
    <t>Did the researchers detail how the model was validated using an expert-driven and/or data-driven approach?</t>
  </si>
  <si>
    <t>Paper ID</t>
  </si>
  <si>
    <t>Scoring levels</t>
  </si>
  <si>
    <t>Item type</t>
  </si>
  <si>
    <t>Score</t>
  </si>
  <si>
    <t>Authors</t>
  </si>
  <si>
    <t>Interpretation</t>
  </si>
  <si>
    <t>Title</t>
  </si>
  <si>
    <t>0.0</t>
  </si>
  <si>
    <t>No relevant information is provided, or the description is too vague to enable replication of the BN construction process.</t>
  </si>
  <si>
    <t>Journal/Conference</t>
  </si>
  <si>
    <t>0.5</t>
  </si>
  <si>
    <t>Partial information is provided, lacking sufficient detail for straightforward replication.</t>
  </si>
  <si>
    <t>1.0</t>
  </si>
  <si>
    <t>Publication year</t>
  </si>
  <si>
    <t>The activity is clearly and comprehensively described, with sufficient detail to allow replication of the approach with minimal ambiguity.</t>
  </si>
  <si>
    <t>Q1 - Structure building</t>
  </si>
  <si>
    <r>
      <rPr>
        <rFont val="Arial"/>
        <color theme="1"/>
      </rPr>
      <t xml:space="preserve">The </t>
    </r>
    <r>
      <rPr>
        <rFont val="Arial"/>
        <b/>
        <color theme="1"/>
      </rPr>
      <t>overall quality score</t>
    </r>
    <r>
      <rPr>
        <rFont val="Arial"/>
        <color theme="1"/>
      </rPr>
      <t xml:space="preserve"> for a study is the sum of the three normalized phase scores:  </t>
    </r>
    <r>
      <rPr>
        <rFont val="Arial"/>
        <b/>
        <color theme="1"/>
      </rPr>
      <t xml:space="preserve">0.25xSQ1 + 0.5xSQ2 + SQ3 </t>
    </r>
  </si>
  <si>
    <t>SQ1 = Q1.1 + Q1.2 + Q1.3 + Q1.4</t>
  </si>
  <si>
    <t>SQ2 = Q2.1 + Q2.2</t>
  </si>
  <si>
    <t>SQ3 = Q3.1</t>
  </si>
  <si>
    <t>Q2 - Parameter estimation</t>
  </si>
  <si>
    <t>Protocol Study ID</t>
  </si>
  <si>
    <t>Q3 - Model validation</t>
  </si>
  <si>
    <t>Overall score</t>
  </si>
  <si>
    <t>S1</t>
  </si>
  <si>
    <t>P1</t>
  </si>
  <si>
    <t>Conference Paper</t>
  </si>
  <si>
    <t>Saraiva RM,Perkusich M,Almeida H,Perkusich A</t>
  </si>
  <si>
    <t>A process to calculate the uncertainty of software metrics-based models using Bayesian networks</t>
  </si>
  <si>
    <t>SEKE</t>
  </si>
  <si>
    <t>PS1</t>
  </si>
  <si>
    <t>Identification of nodes/variables</t>
  </si>
  <si>
    <t>Identification of node values/states</t>
  </si>
  <si>
    <t>Identification of relationships</t>
  </si>
  <si>
    <t>Structure evaluation</t>
  </si>
  <si>
    <t>Excerpt supporting data extraction for structure building</t>
  </si>
  <si>
    <t>CPT construction</t>
  </si>
  <si>
    <t>CPT evaluation</t>
  </si>
  <si>
    <t>Excerpt supporting data extraction for parameter estimation</t>
  </si>
  <si>
    <t>Expert-based validation</t>
  </si>
  <si>
    <t>Data-driven validation</t>
  </si>
  <si>
    <t>Excerpt supporting data extraction for model validation</t>
  </si>
  <si>
    <t>Interviews, abstraction sheets, GQM paradigm</t>
  </si>
  <si>
    <t>Expert-derived categories/thresholds, automatic discretization</t>
  </si>
  <si>
    <t>Not specified</t>
  </si>
  <si>
    <r>
      <rPr>
        <rFont val="Arial"/>
        <color theme="1"/>
        <sz val="10.0"/>
      </rPr>
      <t>["</t>
    </r>
    <r>
      <rPr>
        <rFont val="Arial"/>
        <b/>
        <color theme="1"/>
        <sz val="10.0"/>
      </rPr>
      <t>To select the metrics, we use the GQM [1] paradigm</t>
    </r>
    <r>
      <rPr>
        <rFont val="Arial"/>
        <color theme="1"/>
        <sz val="10.0"/>
      </rPr>
      <t>. First, it is necessary to</t>
    </r>
    <r>
      <rPr>
        <rFont val="Arial"/>
        <b/>
        <color theme="1"/>
        <sz val="10.0"/>
      </rPr>
      <t xml:space="preserve"> identify the project context</t>
    </r>
    <r>
      <rPr>
        <rFont val="Arial"/>
        <color theme="1"/>
        <sz val="10.0"/>
      </rPr>
      <t xml:space="preserve"> (i.e., application domain and development process) from the domain experts. For instance, </t>
    </r>
    <r>
      <rPr>
        <rFont val="Arial"/>
        <b/>
        <color theme="1"/>
        <sz val="10.0"/>
      </rPr>
      <t>semi-structured interviews with project leaders might be performed.</t>
    </r>
    <r>
      <rPr>
        <rFont val="Arial"/>
        <color theme="1"/>
        <sz val="10.0"/>
      </rPr>
      <t xml:space="preserve"> With the context defined, the next step is to apply the GQM process with the goal of capturing the experience of the viewpoints and selecting the software metrics. For this purpose, </t>
    </r>
    <r>
      <rPr>
        <rFont val="Arial"/>
        <b/>
        <color theme="1"/>
        <sz val="10.0"/>
      </rPr>
      <t>abstraction sheets must be used as knowledge acquisition instrument during interviews</t>
    </r>
    <r>
      <rPr>
        <rFont val="Arial"/>
        <color theme="1"/>
        <sz val="10.0"/>
      </rPr>
      <t xml:space="preserve"> [3]. A set of goals is defined as G = g1 gG , where gi represents a project goal. For each goal, an abstraction sheet, which is composed of four quadrants, must be used. A set of questions, Q, and metrics, M, must be extracted from the first quadrant, which corresponds to the quality focus. qi Qandmi M represent, respectively, a question and a metric related to a project goal. The second quadrant corresponds to the variation factors, which are factors that impact the quality focus, considering the defined goal. More questions q and metrics m can be extracted from this quadrant. The third quadrant corresponds to the possible values of the extracted metrics from the first quadrant. These values are important because they demonstrate the usefulness of the measurement process. By analyzing them, we can detect discrepancies between expectations and realities. Finally, the last quadrant of the abstraction sheet corresponds to the impact of the variation factors on the extracted metrics from the first quadrant. The description of this impact serves as motivation for the inclusion of the variation factor in the abstraction sheet. If the project leader does not know how to inform the impact of a variation factor, this factor should be excluded from the sheet. </t>
    </r>
    <r>
      <rPr>
        <rFont val="Arial"/>
        <b/>
        <color theme="1"/>
        <sz val="10.0"/>
      </rPr>
      <t>Given that each question must be associated with at least one goal, a set of relationships between goals and questions, T, should be created. t(g q) means the goal g and question q are related. An hierarchical structure example of the GQM model is illustrated in Figure 2</t>
    </r>
    <r>
      <rPr>
        <rFont val="Arial"/>
        <color theme="1"/>
        <sz val="10.0"/>
      </rPr>
      <t xml:space="preserve">. For the example shown in Figure 2, the given goal is to “Analyze the software product with respect to its quality for the purpose of characterization from the developer’s point of view”. For quality focus, the question “How many unwanted behaviors does the product have?” was defined. For the variation factor, the question “What is the quality of the test?” was defined. An example of an abstraction sheet is illustrated in Figure 3. By analyzing first quadrant of the abstraction sheet presented in Figure 3, it is possible to identify metrics such as number of detected failures, proportion of critical/uncritical failures and number of detected faults. Given that the goal, questions and metrics for the quality of focus are defined, the Bayesian network can be built. </t>
    </r>
    <r>
      <rPr>
        <rFont val="Arial"/>
        <b/>
        <color theme="1"/>
        <sz val="10.0"/>
      </rPr>
      <t>For our approach, all node should be modelled as ranked. If a metric is collected using a numerical scale, thresholds must be def ined to convert it into an ordinal scale. For this purpose, statistics-based approach [17] can be used or data must be collected from domain experts</t>
    </r>
    <r>
      <rPr>
        <rFont val="Arial"/>
        <color theme="1"/>
        <sz val="10.0"/>
      </rPr>
      <t>."]</t>
    </r>
  </si>
  <si>
    <t>Ranked Nodes method</t>
  </si>
  <si>
    <r>
      <rPr>
        <rFont val="Arial"/>
        <color theme="1"/>
        <sz val="10.0"/>
      </rPr>
      <t>["After the construction of the directed acyclic graph, the NPT of the goal node must be defined. Assuming that the goal was modeled as a ranked node, we can create a truth table to collect data from a domain expert and define the NPT. For the given example, given that there is a one-to-one relationship between g and q, the truth table is not necessary and the NPT must be calibrated as an identity matrix, in which the diagonal elements are 1 and the remaining are 0."] ["</t>
    </r>
    <r>
      <rPr>
        <rFont val="Arial"/>
        <b/>
        <color theme="1"/>
        <sz val="10.0"/>
      </rPr>
      <t>Given the concept of variance of ranked nodes</t>
    </r>
    <r>
      <rPr>
        <rFont val="Arial"/>
        <color theme="1"/>
        <sz val="10.0"/>
      </rPr>
      <t xml:space="preserve">, we can model the confidence in the validity of a set of metrics defined to answer a question. The greater the confidence that a set of metrics is valid to represent an attribute, the smaller that variance. To define the variance, the given rules of thumb should be used: Rule 1: If the metric follows 100% of the validation criteria related to it, the variance must be equal to 5x10 4, the smallest value possible in AgenaRisk; Rule 2: If the metric follows between 50% and 99% of the validation criteria related to it, the variance must be equal to 5x10 3; Rule3: If the metric follows between 1% and 49% of the validation criteria related to it, the variance must be equal to 5x10 2; Rule 4: If the metric does not follow any validation criteria related to it, the variance must be equal to 5x10 1. These intervals are recommendations for the first calibration of the Bayesian network and are restricted to AgenaRisk, which is currently the only software that supports </t>
    </r>
    <r>
      <rPr>
        <rFont val="Arial"/>
        <b/>
        <color theme="1"/>
        <sz val="10.0"/>
      </rPr>
      <t>ranked nodes</t>
    </r>
    <r>
      <rPr>
        <rFont val="Arial"/>
        <color theme="1"/>
        <sz val="10.0"/>
      </rPr>
      <t xml:space="preserve">. Another approach is to use the validation criteria as a reference and elicit knowledge from the domain expert to calibrate the variance. Furthermore, it is possible to, after applying the model, refine the calibration of the NPTs given knowledge from experts and collected data. If a given node q has more than one parent node (i.e., more than one metric), the described rules should be applied considering the sum of the validation criteria for each metric. </t>
    </r>
    <r>
      <rPr>
        <rFont val="Arial"/>
        <b/>
        <color theme="1"/>
        <sz val="10.0"/>
      </rPr>
      <t>The next step is to finalize the calibration of the NPT by, as presented in [9], defining a function to model the central tendency of the distribution that represents the NPT. As described in Section 2, there are four possible functions: WMEAN, WMIN, WMAX and MIXMINMAX. To define the functions, weights and variance, knowledge must be elicited from the experts using the approach presented by Fenton et al. [9] or da Silva et al. [5]."]</t>
    </r>
  </si>
  <si>
    <t>Simulated scenarios</t>
  </si>
  <si>
    <r>
      <rPr>
        <rFont val="Arial"/>
        <color theme="1"/>
        <sz val="10.0"/>
      </rPr>
      <t xml:space="preserve">["We validated the resulting Bayesian networks in ten </t>
    </r>
    <r>
      <rPr>
        <rFont val="Arial"/>
        <b/>
        <color theme="1"/>
        <sz val="10.0"/>
      </rPr>
      <t>simulated scenarios</t>
    </r>
    <r>
      <rPr>
        <rFont val="Arial"/>
        <color theme="1"/>
        <sz val="10.0"/>
      </rPr>
      <t>. For all cases, we assumed that the first step of the proposed process was successfully executed. Due to space limitations, we only present the results of one scenario. This scenario describes a simple product quality model, where the goal is “Effectiveness of unit test’, the question is “How many unwanted behaviors does the product have?’ and the metrics are number of detected failures and number of detected faults. In this case, given that the goal of using the metrics number of opened faults and number of static analysis warnings is to assist on decision-making during the development ofthe software, the advantage highlighted is Decision Informing. There are 11 validation criteria associated with this advantage. On the other hand, say that the metric number of opened faults conforms to 8 out of 11 criteria and the metric number of static analysis warnings conforms to 5. Given this, together, both metrics conform to 13 out 22 validation criteria (i.e., 59.09%). Therefore, the second rule will be followed and the variance of the node Unwanted behaviors is 5x10 3. To calibrate the NPT, we used the WMIN function, because if any of the given metrics are Very low, the answer to the corresponding question will tend to Very low. On the other hand, we considered number of opened faults as more important than number of static analysis warnings. Therefore, we defined them, respectively, with weights 2 and 1. We show an example of the calculated results for this scenario in Figure 4. By analyzing Figure 4, it is possible to notice that, given the validity of the metrics used to answer the question, the confidence in the decision regarding the goal is acceptable. In case it was not, the probability of the goal would tend to be more uniform, meaning that a reliable decision could not be taken given the constructed model."]</t>
    </r>
  </si>
  <si>
    <t>S2</t>
  </si>
  <si>
    <t>P2</t>
  </si>
  <si>
    <t>Journal Article</t>
  </si>
  <si>
    <t>Weflen E,MacKenzie CA,Rivero IV</t>
  </si>
  <si>
    <t>An influence diagram approach to automating lead time estimation in Agile Kanban project management</t>
  </si>
  <si>
    <t>Expert Systems with Applications</t>
  </si>
  <si>
    <t>Literature review</t>
  </si>
  <si>
    <t>Expert-derived categories/thresholds</t>
  </si>
  <si>
    <t>PS2</t>
  </si>
  <si>
    <r>
      <rPr>
        <rFont val="Arial"/>
        <color theme="1"/>
        <sz val="10.0"/>
      </rPr>
      <t xml:space="preserve">["3.2. Model development The model is generated by first </t>
    </r>
    <r>
      <rPr>
        <rFont val="Arial"/>
        <b/>
        <color theme="1"/>
        <sz val="10.0"/>
      </rPr>
      <t>identifying the six factors that help determine the true nature of how a task will progress toward exiting the backlog</t>
    </r>
    <r>
      <rPr>
        <rFont val="Arial"/>
        <color theme="1"/>
        <sz val="10.0"/>
      </rPr>
      <t xml:space="preserve">: (i) the task’s initial backlog position, (ii) new tasks added to the backlog, (iii) tasks canceled from the backlog, (iv) reprioritization of backlog tasks, (v) the effort required to complete the backlog tasks measured in story points, and (vi) the rate at which a team is completing work measured in story points per day, often referred to as velocity. </t>
    </r>
    <r>
      <rPr>
        <rFont val="Arial"/>
        <b/>
        <color theme="1"/>
        <sz val="10.0"/>
      </rPr>
      <t>These factors were identified in our review of the literature and were evaluated by a Kanban project team at our industry partner Andersen Corporation (Bayport, Minnesota US). Links are formed between these nodes to represent how they influence each other, leading to the acyclic graph shown in Fig. 3</t>
    </r>
    <r>
      <rPr>
        <rFont val="Arial"/>
        <color theme="1"/>
        <sz val="10.0"/>
      </rPr>
      <t xml:space="preserve">. </t>
    </r>
    <r>
      <rPr>
        <rFont val="Arial"/>
        <b/>
        <color theme="1"/>
        <sz val="10.0"/>
      </rPr>
      <t>Following the procedure outlined in Section 2.2, this graphical model will be transformed into a mathematic model consisting primarily of conditional probability calculations associated with the dependencies identified in Fig. 3.</t>
    </r>
    <r>
      <rPr>
        <rFont val="Arial"/>
        <color theme="1"/>
        <sz val="10.0"/>
      </rPr>
      <t xml:space="preserve"> Further reading on the formal mathematical model of influence diagrams can be found in the referenced research presented in this section. In Section 4.2, the calculated conditional probabilities for each node are presented in table form. The output of the model will be a probabilistic estimate of the time required for the task to move from its starting position in the backlog to the backlog exit where it will become WIP. This lead time will be influenced by and inform the team’s decision of where to initially position the task within the backlog. "] ["4.2. Populating the model The software Netica was used to transform the influence diagram from Fig. 3 into a quantitative model. As seen in Fig. 4, the model contains the same nodes and relationships, as in Fig. 3. However, </t>
    </r>
    <r>
      <rPr>
        <rFont val="Arial"/>
        <b/>
        <color theme="1"/>
        <sz val="10.0"/>
      </rPr>
      <t xml:space="preserve">Fig. 4 depicts the possible states of each node for a task at position 5 in the backlog. By collecting and monitoring team data and entering the data into each respective node, the distributions are unique to each Kanban team. For the backlog position decision node, bins with intervals of five were chosen because they provided a balance between providing the team with enough resolution to discuss the estimates with stakeholders while reducing complexity in the data analysis required for the downstream nodes. Because this is a decision node, no probabilities are used, and the user selects the backlog position (5, 10, 15, 20, or 25), with Fig. 4 showing position five selected. </t>
    </r>
    <r>
      <rPr>
        <rFont val="Arial"/>
        <color theme="1"/>
        <sz val="10.0"/>
      </rPr>
      <t xml:space="preserve">The data for the number of story points given the task’s Backlog Position was collected for the different backlog positions. Table 1 contains the average number of story points for each project ahead of the new task. The values in this table are in the form of percentages, so there is a 17% probability that a task in the fifth position has four projects ahead of it, each with an average value of story points of eight. In the duration of our data collection efforts, all of the new tasks added to the backlog were prioritized below task 25, and no tasks were removed from the backlog. This led to the New Tasks Added and Tasks Canceled nodes both showing a 100% probability that these events will occur zero times. </t>
    </r>
    <r>
      <rPr>
        <rFont val="Arial"/>
        <b/>
        <color theme="1"/>
        <sz val="10.0"/>
      </rPr>
      <t>The project team we worked with</t>
    </r>
    <r>
      <rPr>
        <rFont val="Arial"/>
        <color theme="1"/>
        <sz val="10.0"/>
      </rPr>
      <t xml:space="preserve"> expressed that this was unusual and that on occasion they will prioritize a task higher in the backlog, and they do sporadically remove tasks. However, these events did not occur in our data collection time period. In this situation, the team could use expert judgment to estimate probabilities for different values, collect more data until these rare events are captured, or they could leave the node in its current condition. We chose the latter in this instance because if these events are rare, they likely do not have much bearing on the estimated lead time for this team. Each project team will have different practices, and there could be teams that would utilize these nodes more heavily. </t>
    </r>
    <r>
      <rPr>
        <rFont val="Arial"/>
        <b/>
        <color theme="1"/>
        <sz val="10.0"/>
      </rPr>
      <t>The states for Reprioritized Backlog consist of the number of positions that a task is moved backward, which can be 0, 1, 3, 5, 10, or 20 positions. Because this node has an arrow from the backlog position node, these values consist of probabilities conditioned on the backlog position</t>
    </r>
    <r>
      <rPr>
        <rFont val="Arial"/>
        <color theme="1"/>
        <sz val="10.0"/>
      </rPr>
      <t>.(...)"]</t>
    </r>
  </si>
  <si>
    <t>Frequency quantification from historical/empirical data, direct function (e.g., sum, formula)</t>
  </si>
  <si>
    <t>Expert review</t>
  </si>
  <si>
    <t>P3</t>
  </si>
  <si>
    <t>Weflen, E., Korniejczuk, K., Lau, S., Kryk, S., MacKenzie, C., &amp; Rivero, I. V.</t>
  </si>
  <si>
    <t>Application of Bayesian belief network for agile kanban backlog estimation</t>
  </si>
  <si>
    <t>IISE Annual Conference and Expo 2018</t>
  </si>
  <si>
    <r>
      <rPr>
        <rFont val="Arial"/>
        <color theme="1"/>
        <sz val="10.0"/>
      </rPr>
      <t xml:space="preserve">["4.1. Team data collection In order for the model to provide value to the Kanban team, effective data collection is needed. </t>
    </r>
    <r>
      <rPr>
        <rFont val="Arial"/>
        <b/>
        <color theme="1"/>
        <sz val="10.0"/>
      </rPr>
      <t>Data similar to that gathered by teams practicing story point estimation will be able to adequately populate the Average Backlog Item Size and Average Team Daily Velocity nodes, but more detailed data collection is required for the other nodes.</t>
    </r>
    <r>
      <rPr>
        <rFont val="Arial"/>
        <color theme="1"/>
        <sz val="10.0"/>
      </rPr>
      <t xml:space="preserve"> However, an influence diagram allows the user to populate the probabilities in each node using different techniques, including model-based methods or expert-judgment. For example, a distribution could be fit to historical data and used to smooth the distributions entered into the model. Alternatively, the deep learning model suggested by Choetkiertikul et al. (2018) for estimating the number of points in user stories based on natural language processing could be used to populate the story size data actively. If a team does not have data such as how frequently a new task will be added, the team may be able to populate that influence diagram using an expert judgment technique such as the Delphi based planning poker method frequently used for story point estimation or continuously add new data to the model. For each uncertainty node in Fig. 3, </t>
    </r>
    <r>
      <rPr>
        <rFont val="Arial"/>
        <b/>
        <color theme="1"/>
        <sz val="10.0"/>
      </rPr>
      <t xml:space="preserve">data was collected from a Kanban team at Andersen Corporation. Data were collected for: the amount of story points assigned to individual tasks, the quantity and location in the backlog of tasks canceled, the quantity and location of reprioritized tasks, the sum of story points completed each day, and the number of new tasks added to the backlog and where they were prioritized. This dataset was collected by recording the backlog each day after a meeting. The dataset was used to calculate conditional probabilities. </t>
    </r>
    <r>
      <rPr>
        <rFont val="Arial"/>
        <color theme="1"/>
        <sz val="10.0"/>
      </rPr>
      <t xml:space="preserve">This </t>
    </r>
    <r>
      <rPr>
        <rFont val="Arial"/>
        <b/>
        <color theme="1"/>
        <sz val="10.0"/>
      </rPr>
      <t>manual process</t>
    </r>
    <r>
      <rPr>
        <rFont val="Arial"/>
        <color theme="1"/>
        <sz val="10.0"/>
      </rPr>
      <t xml:space="preserve"> was time-consuming and tedious, with each additional node in the model greatly expanding the amount of </t>
    </r>
    <r>
      <rPr>
        <rFont val="Arial"/>
        <b/>
        <color theme="1"/>
        <sz val="10.0"/>
      </rPr>
      <t>data that needed to be collected and analyzed for conditional probabilities</t>
    </r>
    <r>
      <rPr>
        <rFont val="Arial"/>
        <color theme="1"/>
        <sz val="10.0"/>
      </rPr>
      <t xml:space="preserve">. This is one reason we suggest a relatively simple model with a minimal number of nodes. </t>
    </r>
    <r>
      <rPr>
        <rFont val="Arial"/>
        <b/>
        <color theme="1"/>
        <sz val="10.0"/>
      </rPr>
      <t xml:space="preserve">There may be value in automating the data collection and calculation of conditional probabilities, reducing the need for teams to manually manipulate data. </t>
    </r>
    <r>
      <rPr>
        <rFont val="Arial"/>
        <color theme="1"/>
        <sz val="10.0"/>
      </rPr>
      <t xml:space="preserve">(...) </t>
    </r>
    <r>
      <rPr>
        <rFont val="Arial"/>
        <b/>
        <color theme="1"/>
        <sz val="10.0"/>
      </rPr>
      <t>Data were collected for six weeks at Andersen Corporation to estimate the probabilities for each uncertainty seen in Fig. 4</t>
    </r>
    <r>
      <rPr>
        <rFont val="Arial"/>
        <color theme="1"/>
        <sz val="10.0"/>
      </rPr>
      <t>. "] ["4.2. Populating the model The software Netica was used to transform the influence diagram from Fig. 3 into a quantitative model. As seen in Fig. 4, the model contains the same nodes and relationships, as in Fig. 3. However, Fig. 4 depicts the possible states of each node for a task at position 5 in the backlog. By collecting and monitoring team data and entering the data into each respective node, the distributions are unique to each Kanban team. (...) T</t>
    </r>
    <r>
      <rPr>
        <rFont val="Arial"/>
        <b/>
        <color theme="1"/>
        <sz val="10.0"/>
      </rPr>
      <t>he data for the number of story points given the task’s Backlog Position was collected for the different backlog positions.</t>
    </r>
    <r>
      <rPr>
        <rFont val="Arial"/>
        <color theme="1"/>
        <sz val="10.0"/>
      </rPr>
      <t xml:space="preserve"> Table 1 contains the average number of story points for each project ahead of the new task. The values in this table are in the form of percentages, so there is a 17% probability that a task in the fifth position has four projects ahead of it, each with an average value of story points of eight. In the duration of our data collection efforts, all of the new tasks added to the backlog were prioritized below task 25, and no tasks were removed from the backlog. This led to the New Tasks Added and Tasks Canceled nodes both showing a 100% probability that these events will occur zero times. The project team we worked with expressed that this was unusual and that on occasion they will prioritize a task higher in the backlog, and they do sporadically remove tasks. However, these events did not occur in our data collection time period.</t>
    </r>
    <r>
      <rPr>
        <rFont val="Arial"/>
        <b/>
        <color theme="1"/>
        <sz val="10.0"/>
      </rPr>
      <t xml:space="preserve"> In this situation, the team could use expert judgment to estimate probabilities for different values, collect more data until these rare events are captured, or they could leave the node in its current condition. We chose the latter in this instance because if these events are rare, they likely do not have much bearing on the estimated lead time for this team.</t>
    </r>
    <r>
      <rPr>
        <rFont val="Arial"/>
        <color theme="1"/>
        <sz val="10.0"/>
      </rPr>
      <t xml:space="preserve"> Each project team will have different practices, and there could be teams that would utilize these nodes more heavily. The states for Reprioritized Backlog consist of the number of positions that a task is moved backward, which can be 0, 1, 3, 5, 10, or 20 positions. Because this node has an arrow from the backlog position node, these values consist of probabilities conditioned on the backlog position. Table 2 shows these conditional probabilities. It is apparent that there is a high probability of the task being reprioritized for this team. It is observed that a task prioritized in the fifth position has an 83% probability that other tasks will be reprioritized in front of it before it exits the backlog, while the current story point estimation technique assumes that zero tasks will be moved ahead of the tasks being estimated. In addition, there is a 17% chance that 5–10 items are reprioritized ahead of this task, which means that the current lead time estimates would account for less than half of the work content being completed, resulting in overly optimistic estimates. This is not a large issue for teams using current techniques with Scrum since they hold their backlog mostly constant for the duration of their sprint. However, when the current technique is applied to Kanban teams who reprioritize more frequently, it could increase the inaccuracy of the estimates. The application of a Bayesian network allows us to account for this reprioritization into our initial estimate. The values for the Average Task Size node are presented in Table 3. The values for the average task size ahead of the task we are estimating the lead time for range from 8 to 14 for tasks in position five, but have a narrower range of 10–11 for all other positions. This matches our expectation that as tasks move further down the backlog, the variability will decrease. This data set has distributions that appear sparse and may have benefited from additional data collection. Another option would be to fit a distribution to the data collected or to use expert judgment to fill out the distributions. </t>
    </r>
    <r>
      <rPr>
        <rFont val="Arial"/>
        <b/>
        <color theme="1"/>
        <sz val="10.0"/>
      </rPr>
      <t>The Virtual Backlog Position node is calculated using Equation 2. This node estimates the number of story points that will need to be completed before work starts on the new task. This deterministic node simplifies the calculation of the lead time in the final outcome node. VirtualPosition=(BacklogPosition+NewTasksAdded TasksCanceled)*AvgTaskSize (2)</t>
    </r>
    <r>
      <rPr>
        <rFont val="Arial"/>
        <color theme="1"/>
        <sz val="10.0"/>
      </rPr>
      <t xml:space="preserve"> To determine how many days until work begins on a backlogged item, the team sets the value of the decision node Backlog Position. By entering the decision made by the team of where to prioritize the task in the backlog into this node, </t>
    </r>
    <r>
      <rPr>
        <rFont val="Arial"/>
        <b/>
        <color theme="1"/>
        <sz val="10.0"/>
      </rPr>
      <t>the distribution of probabilities for the lead time is calculated using Equation 3 in the final outcome node Days Until Work Starts on Task.</t>
    </r>
    <r>
      <rPr>
        <rFont val="Arial"/>
        <color theme="1"/>
        <sz val="10.0"/>
      </rPr>
      <t xml:space="preserve"> Even though the lead time for a task to exit the backlog is a deterministic function of two variables, Average Team Daily Velocity is an uncertainty and Virtual Position is derived from other uncertainties, meaning the lead time will also be uncertain. </t>
    </r>
    <r>
      <rPr>
        <rFont val="Arial"/>
        <b/>
        <color theme="1"/>
        <sz val="10.0"/>
      </rPr>
      <t>LeadTime= Virtual Position AverageDailyVelocity (3)</t>
    </r>
    <r>
      <rPr>
        <rFont val="Arial"/>
        <color theme="1"/>
        <sz val="10.0"/>
      </rPr>
      <t xml:space="preserve"> Fig. 4 shows the model for a task prioritized at the fifth position in the backlog. If the user were to select the tenth position in the decision node, the distributions in each of the downstream nodes, including the lead times, would change for this position. This output can be utilized by the project team to communicate to customers an estimate of when work will start on their requested task, or decide where to place a task within the backlog. The Netica model in Fig. 4 shows the probability of each lead time as a probability mass function or histogram, which may not be the most helpful way for a user to think about lead times. We will next present these results in the form of a cumulative distribution function (CDF) and discuss tactics for communicating and understanding this representation." ] ["4.3. Sensitivity analysis (...) </t>
    </r>
    <r>
      <rPr>
        <rFont val="Arial"/>
        <b/>
        <color theme="1"/>
        <sz val="10.0"/>
      </rPr>
      <t>The average size of each task, measured in story points, is varied between 7 and 14. This results in the second largest range of lead times. If a team finds that the estimates are not matching the actual lead time values, it will make sense for the team to gather better data for the Average Task Size node after the Average Team Daily Velocity node.</t>
    </r>
    <r>
      <rPr>
        <rFont val="Arial"/>
        <color theme="1"/>
        <sz val="10.0"/>
      </rPr>
      <t xml:space="preserve"> "]</t>
    </r>
  </si>
  <si>
    <t>Proof of concept, sensitivity analysis</t>
  </si>
  <si>
    <t>S3</t>
  </si>
  <si>
    <t>P4</t>
  </si>
  <si>
    <r>
      <rPr>
        <rFont val="Arial"/>
        <color theme="1"/>
        <sz val="10.0"/>
      </rPr>
      <t xml:space="preserve">["Fig. 4 shows the model for a task prioritized at the fifth position in the backlog. </t>
    </r>
    <r>
      <rPr>
        <rFont val="Arial"/>
        <b/>
        <color theme="1"/>
        <sz val="10.0"/>
      </rPr>
      <t xml:space="preserve">If the user were to select the tenth position in the decision node, the distributions in each of the downstream nodes, including the lead times, would change for this position. This output can be utilized by the project team to communicate to customers an estimate of when work will start on their requested task, or decide where to place a task within the backlog. </t>
    </r>
    <r>
      <rPr>
        <rFont val="Arial"/>
        <color theme="1"/>
        <sz val="10.0"/>
      </rPr>
      <t xml:space="preserve">The Netica model in Fig. 4 shows the probability of each lead time as a probability mass function or histogram, which may not be the most helpful way for a user to think about lead times. We will next present these results in the form of a cumulative distribution function (CDF) and discuss tactics for communicating and understanding this representation. 4.2.1. Lead time estimates </t>
    </r>
    <r>
      <rPr>
        <rFont val="Arial"/>
        <b/>
        <color theme="1"/>
        <sz val="10.0"/>
      </rPr>
      <t>Utilizing the probabilities provided at the final consequence node by fixing the backlog position each of the decision points: 5, 10, 15, 20, and 25, five discrete CDFs were created and are presented in Fig. 5. The x- axis indicates the number of days until the task starts. The y-axis indicates the probability that the task begins within the number of business days specified by the x-axis. Fig. 5 shows that as the position in the backlog increases, the lead time for the task to exit the backlog increases. Since more tasks are required to be completed before work on the task of interest begins, the lead time is expected to increase as the backlog position increases. The results also demonstrate the uncertainty that is inherent when placing a task in the backlog. For example, if a customer requires work to start on a task within 26 days, placing the task in position five would ensure 100% probability that the task will be on time while placing the task in position 15 would ensure an 80% probability of being delivered on time, and position 25 would only provide a 10% probability that work will start on the task in the desired timeframe. The stakeholder’s risk tolerance around the completion date for the task must be balanced against competing demands on the team and the relative importance of other tasks in the backlog. The team and stakeholder can use the information presented in Fig. 5 to guide their discussion around the decision of where in the backlog the task should be placed.</t>
    </r>
    <r>
      <rPr>
        <rFont val="Arial"/>
        <color theme="1"/>
        <sz val="10.0"/>
      </rPr>
      <t xml:space="preserve"> The project team may be able to produce risk tolerance thresholds for certain customers or for classifications of tasks. </t>
    </r>
    <r>
      <rPr>
        <rFont val="Arial"/>
        <b/>
        <color theme="1"/>
        <sz val="10.0"/>
      </rPr>
      <t xml:space="preserve">For example, this team may set a guideline that quality issues should be completed within 21 days, and set a threshold of 90% probability of completion in this timeframe. Fig. 5 can be referenced to see that this team would need to place these quality issues no further back than position 10 in the backlog in order to meet these criteria. Different lead times and thresholds for completion could be set for different types of tasks. If there is a requirement that safety issues are completed within 12 days, safety issues would need to be placed no further back than position 5 in order to ensure at least a 90% chance of meeting this requirement. </t>
    </r>
    <r>
      <rPr>
        <rFont val="Arial"/>
        <color theme="1"/>
        <sz val="10.0"/>
      </rPr>
      <t xml:space="preserve">Putting documentation issues in position 20 may be appropriate because there is a 70% probability that these issues will be completed within 31 days. The actual values for these thresholds would depend on the environment of the team and can be managed on a case by case basis. By doing this, the team could automate some decisions around the placement of certain types of tasks, in turn reducing the effort and time required for making decisions. This influence diagram may also be used to provide updated estimates to stakeholders as their tasks progress through the backlog. A team may set an automated update to task stakeholders when milestones"] ["I4.3. </t>
    </r>
    <r>
      <rPr>
        <rFont val="Arial"/>
        <b/>
        <color theme="1"/>
        <sz val="10.0"/>
      </rPr>
      <t xml:space="preserve">Sensitivity analysis </t>
    </r>
    <r>
      <rPr>
        <rFont val="Arial"/>
        <color theme="1"/>
        <sz val="10.0"/>
      </rPr>
      <t xml:space="preserve">It can be helpful for a team to understand how sensitive the lead time is to changes in the values of the nodes in the influence diagram. The sensitivity analysis will provide the team with a better sense of the accuracy of their estimates as variables change. For example, if a team member is sick for a week, it would be useful to understand if this will lead to a major or minor change in the actual lead times for tasks. In addition, knowing which factors have a large influence can help us determine where it may be helpful to collect more data in order to improve our forecasts. </t>
    </r>
    <r>
      <rPr>
        <rFont val="Arial"/>
        <b/>
        <color theme="1"/>
        <sz val="10.0"/>
      </rPr>
      <t xml:space="preserve">A sensitivity analysis is conducted to determine how the 80% quantile changes as variables in the influence diagram change. </t>
    </r>
    <r>
      <rPr>
        <rFont val="Arial"/>
        <color theme="1"/>
        <sz val="10.0"/>
      </rPr>
      <t>In the base-case situation, when the backlog position node is set at position 15, the 80% quantile equals 30 days. This means that there is an 80% probability the task will begin in 30 days or less. Each of the five uncertainty nodes is varied one at a time to a minimum and maximum values, and the 80% quantile for the lead time is calculated for each of these minimum and maximum values, as seen in Table 5. Fig. 6 depicts these results in a tornado diagram when the task is held constant at position 15. Fig. 6 shows that our Bayesian network model of Agile Kanban backlog lead-times is most sensitive to the team’s average velocity, especially if the average velocity is at its lowest value of 3 points per day. "]</t>
    </r>
  </si>
  <si>
    <t>Mendes E,Rodriguez P,Freitas V,Baker S,Atoui MA</t>
  </si>
  <si>
    <t>Towards improving decision making and estimating the value of decisions in value-based software engineering: the VALUE framework</t>
  </si>
  <si>
    <t>Software Quality Journal</t>
  </si>
  <si>
    <t>P5</t>
  </si>
  <si>
    <t>Mendes E,Turhan B,Rodríguez P,Freitas V</t>
  </si>
  <si>
    <t>Estimating the value of decisions relating to managing and developing software-intensive products and projects</t>
  </si>
  <si>
    <t>PROMISE</t>
  </si>
  <si>
    <t>Interviews, grounded theory, focus group, value model</t>
  </si>
  <si>
    <t>Focus group, value model, learning from data using an automated tool, divorcing</t>
  </si>
  <si>
    <t>PS3</t>
  </si>
  <si>
    <t>Focus group</t>
  </si>
  <si>
    <t>P6</t>
  </si>
  <si>
    <t>Mendes E,Perkusich M,Freitas V,Nunes J</t>
  </si>
  <si>
    <t>Using Bayesian Network to estimate the value of decisions within the context of Value-Based Software Engineering</t>
  </si>
  <si>
    <t>EASE</t>
  </si>
  <si>
    <t>P7</t>
  </si>
  <si>
    <t>Mendes E,Freitas V,Perkusich M,Nunes J,Ramos F,Costa A,Saraiva R,Freire A</t>
  </si>
  <si>
    <t>Using Bayesian Network to Estimate the Value of Decisions within the Context of Value-Based Software Engineering: A Multiple Case Study</t>
  </si>
  <si>
    <t>International Journal of Software Engineering and Knowledge Engineering</t>
  </si>
  <si>
    <r>
      <rPr>
        <rFont val="Arial"/>
        <color theme="1"/>
        <sz val="10.0"/>
      </rPr>
      <t xml:space="preserve">["We employed a qualitative approach to </t>
    </r>
    <r>
      <rPr>
        <rFont val="Arial"/>
        <b/>
        <color theme="1"/>
        <sz val="10.0"/>
      </rPr>
      <t>explicitate (elicit) value factors</t>
    </r>
    <r>
      <rPr>
        <rFont val="Arial"/>
        <color theme="1"/>
        <sz val="10.0"/>
      </rPr>
      <t xml:space="preserve">, because it provided a detailed exploration of the phenomenon under study, gaining access to different stakeholders’ views in their own context and using their own natural language. Value factors were elicited in two phases: Phase I: </t>
    </r>
    <r>
      <rPr>
        <rFont val="Arial"/>
        <b/>
        <color theme="1"/>
        <sz val="10.0"/>
      </rPr>
      <t>we conducted individual semi-structured interviews</t>
    </r>
    <r>
      <rPr>
        <rFont val="Arial"/>
        <color theme="1"/>
        <sz val="10.0"/>
      </rPr>
      <t xml:space="preserve"> with each of the three key stakeholders abovementioned. Each interview lasted for about 1 h. Once transcribed, they were </t>
    </r>
    <r>
      <rPr>
        <rFont val="Arial"/>
        <b/>
        <color theme="1"/>
        <sz val="10.0"/>
      </rPr>
      <t>analysed using coding techniques</t>
    </r>
    <r>
      <rPr>
        <rFont val="Arial"/>
        <color theme="1"/>
        <sz val="10.0"/>
      </rPr>
      <t xml:space="preserve"> and resulted in an</t>
    </r>
    <r>
      <rPr>
        <rFont val="Arial"/>
        <b/>
        <color theme="1"/>
        <sz val="10.0"/>
      </rPr>
      <t xml:space="preserve"> initial list of value factors</t>
    </r>
    <r>
      <rPr>
        <rFont val="Arial"/>
        <color theme="1"/>
        <sz val="10.0"/>
      </rPr>
      <t xml:space="preserve">. Phase II: we complemented the elicitation process with </t>
    </r>
    <r>
      <rPr>
        <rFont val="Arial"/>
        <b/>
        <color theme="1"/>
        <sz val="10.0"/>
      </rPr>
      <t>focus group meetings</t>
    </r>
    <r>
      <rPr>
        <rFont val="Arial"/>
        <color theme="1"/>
        <sz val="10.0"/>
      </rPr>
      <t xml:space="preserve"> aimed to agree upon the core set of value factors as per all stakeholders’ viewpoints."] ["</t>
    </r>
    <r>
      <rPr>
        <rFont val="Arial"/>
        <b/>
        <color theme="1"/>
        <sz val="10.0"/>
      </rPr>
      <t>Interviews</t>
    </r>
    <r>
      <rPr>
        <rFont val="Arial"/>
        <color theme="1"/>
        <sz val="10.0"/>
      </rPr>
      <t xml:space="preserve"> were voice recorded, transcribed and then </t>
    </r>
    <r>
      <rPr>
        <rFont val="Arial"/>
        <b/>
        <color theme="1"/>
        <sz val="10.0"/>
      </rPr>
      <t>analysed using the Grounded Theory principles</t>
    </r>
    <r>
      <rPr>
        <rFont val="Arial"/>
        <color theme="1"/>
        <sz val="10.0"/>
      </rPr>
      <t xml:space="preserve"> (Urquhart 2012)."] ["After aggregating all the value factors (and eliminating duplicates), </t>
    </r>
    <r>
      <rPr>
        <rFont val="Arial"/>
        <b/>
        <color theme="1"/>
        <sz val="10.0"/>
      </rPr>
      <t>we conducted focus group meetings with the key stakeholders, where we (i) reviewed each value factor, determining whether it was really important to the stakeholders; (ii) dropped those factors that were considered less important and (iii) discussed if the factors and their categories had a clear meaning and were conveniently named. The focus group sessions focused on eliminating ambiguity and agreeing upon a common terminology; (iv) checked for any categories that could be combined and (v) ensured that all the relevant value factors were included</t>
    </r>
    <r>
      <rPr>
        <rFont val="Arial"/>
        <color theme="1"/>
        <sz val="10.0"/>
      </rPr>
      <t xml:space="preserve">."] ["In addition, </t>
    </r>
    <r>
      <rPr>
        <rFont val="Arial"/>
        <b/>
        <color theme="1"/>
        <sz val="10.0"/>
      </rPr>
      <t>the key stakeholders also agreed upon a way to measure each value factor. They chose ‘impact’, measured using a three-point ordinal scale—positive, neutral or negative. This measure was defined for later use with the Value tool during a pilot study attended by two of the three key stakeholders (Sect. 5).</t>
    </r>
    <r>
      <rPr>
        <rFont val="Arial"/>
        <color theme="1"/>
        <sz val="10.0"/>
      </rPr>
      <t xml:space="preserve"> </t>
    </r>
    <r>
      <rPr>
        <rFont val="Arial"/>
        <b/>
        <color theme="1"/>
        <sz val="10.0"/>
      </rPr>
      <t>The impact measure’s interpretation is as follows: If a given feature (e.g. Feature A) is implemented in product B’s next release, what is the impact (positive/neutral/negative) that its inclusion in product B will have upon each of the value factors (e.g. customer satisfaction)?</t>
    </r>
    <r>
      <rPr>
        <rFont val="Arial"/>
        <color theme="1"/>
        <sz val="10.0"/>
      </rPr>
      <t xml:space="preserve">"]["6.1 </t>
    </r>
    <r>
      <rPr>
        <rFont val="Arial"/>
        <b/>
        <color theme="1"/>
        <sz val="10.0"/>
      </rPr>
      <t xml:space="preserve">Structure building </t>
    </r>
    <r>
      <rPr>
        <rFont val="Arial"/>
        <color theme="1"/>
        <sz val="10.0"/>
      </rPr>
      <t xml:space="preserve">As described in Sect. 3, we are employing the EKEBN process to build company-specific value estimation BNs. The BN model’s structure comprises factors and their cause-and-effect relationships. Most of these factors represent the value factors elicited from key stakeholders from the company for which the BN model is to be built. Further, every value estimation model will also introduce an additional factor called overall value, which represents the estimated overall value of a decision scenario. Other additional factors may also be optionally added to a BN’s structure, as seen in the example value BN model shown in Fig. 11. This is a common solution when looking to reduce the number of probabilities to be elicited and/or to keep the model’s structure simpler (Mendes 2014; Mendes and Mosley 2008). Figure 11 shows a suggested value BN model for company A, including (i) all 21 value factors already detailed in Sect. 4; (ii) a factor called overall value, which ultimately aims to provide a probability distribution associated with the overall value of a decision and (iii) five additional factors that are not part of the original 21 value factors; these additional factors were introduced for two main reasons: (a) to make the model’s structure look simpler, when compared to having all the arcs from the 21 value factors pointing towards overall value (see 12) and b) to resemble the same approach that was used with a very basic BN example presented during our meetings with company A and the other industry partners to explain the use of BNs for estimating the overall value of decisions (this example is shown in Fig. 13). 6.2 </t>
    </r>
    <r>
      <rPr>
        <rFont val="Arial"/>
        <b/>
        <color theme="1"/>
        <sz val="10.0"/>
      </rPr>
      <t>Steps to build the BN model’s structure</t>
    </r>
    <r>
      <rPr>
        <rFont val="Arial"/>
        <color theme="1"/>
        <sz val="10.0"/>
      </rPr>
      <t xml:space="preserve"> First choice </t>
    </r>
    <r>
      <rPr>
        <rFont val="Arial"/>
        <b/>
        <color theme="1"/>
        <sz val="10.0"/>
      </rPr>
      <t>The BN model’s structure (value factors to be parent nodes, value factors to be child nodes, other possible structure ‘simplification’ nodes; all relationships between nodes) is defined in meetings with the key stakeholders</t>
    </r>
    <r>
      <rPr>
        <rFont val="Arial"/>
        <color theme="1"/>
        <sz val="10.0"/>
      </rPr>
      <t xml:space="preserve">. OR Second choice </t>
    </r>
    <r>
      <rPr>
        <rFont val="Arial"/>
        <b/>
        <color theme="1"/>
        <sz val="10.0"/>
      </rPr>
      <t>Use steps 1 to 4 below as a detailed mechanism to build the model’s structure. Note that we are using herein as possible states to measure the impact of decisions the same ones that were decided upon by company A, i.e. positive, neutral and negative. Step 1. Arrange the data, as shown in Table 2, for the range of decision-making meetings that are to be considered for model-building. All the data comes from the Decisions Database (see Fig. 3 in Sect. 3). Such data will be saved into an excel file, for use by BN structure learning algorithms (Mendes and Mosley 2008)</t>
    </r>
    <r>
      <rPr>
        <rFont val="Arial"/>
        <color theme="1"/>
        <sz val="10.0"/>
      </rPr>
      <t xml:space="preserve">. </t>
    </r>
    <r>
      <rPr>
        <rFont val="Arial"/>
        <b/>
        <color theme="1"/>
        <sz val="10.0"/>
      </rPr>
      <t>Step 2</t>
    </r>
    <r>
      <rPr>
        <rFont val="Arial"/>
        <color theme="1"/>
        <sz val="10.0"/>
      </rPr>
      <t xml:space="preserve">. Once the matrix is ready, we will use the same solution employed in Mendes and Mosley (2008), where </t>
    </r>
    <r>
      <rPr>
        <rFont val="Arial"/>
        <b/>
        <color theme="1"/>
        <sz val="10.0"/>
      </rPr>
      <t>two BN tools—Hugin and PowerSoft—were used for structure building</t>
    </r>
    <r>
      <rPr>
        <rFont val="Arial"/>
        <color theme="1"/>
        <sz val="10.0"/>
      </rPr>
      <t xml:space="preserve">. The variables to use in this step are only the value factors (grey-shaded area in Table 2), and our goal is to identify the suggested relationships (arcs) that both BN tools will provide, based on the input data. </t>
    </r>
    <r>
      <rPr>
        <rFont val="Arial"/>
        <b/>
        <color theme="1"/>
        <sz val="10.0"/>
      </rPr>
      <t>Step 3</t>
    </r>
    <r>
      <rPr>
        <rFont val="Arial"/>
        <color theme="1"/>
        <sz val="10.0"/>
      </rPr>
      <t xml:space="preserve">. Also similarly to what was done in Mendes and Mosley (2008), </t>
    </r>
    <r>
      <rPr>
        <rFont val="Arial"/>
        <b/>
        <color theme="1"/>
        <sz val="10.0"/>
      </rPr>
      <t>the suggested relationships will be validated with the company’s DEs (key stakeholders) via focus groups meetings.</t>
    </r>
    <r>
      <rPr>
        <rFont val="Arial"/>
        <color theme="1"/>
        <sz val="10.0"/>
      </rPr>
      <t xml:space="preserve"> Note that prior to this validation, we will also add to the BN model’s structure a node called overall value, so DEs can also determine which value factors should be this node’s parents."] ["</t>
    </r>
    <r>
      <rPr>
        <rFont val="Arial"/>
        <b/>
        <color theme="1"/>
        <sz val="10.0"/>
      </rPr>
      <t>Other additional factors may also be optionally added to a BN’s structure, as seen in the example value BN model shown in Fig. 11. This is a common solution when looking to reduce the number of probabilities to be elicited and/or to keep the model’s structure simpler</t>
    </r>
    <r>
      <rPr>
        <rFont val="Arial"/>
        <color theme="1"/>
        <sz val="10.0"/>
      </rPr>
      <t xml:space="preserve"> (Mendes 2014; Mendes and Mosley 2008)."]</t>
    </r>
  </si>
  <si>
    <t>Frequency quantification from historical/empirical data (for parent nodes), focus group, Weighted Sum Algorithm (WSA) method (for child nodes)</t>
  </si>
  <si>
    <t>S4</t>
  </si>
  <si>
    <t>P8</t>
  </si>
  <si>
    <t>Mendes E,Pollino C,Mosley N</t>
  </si>
  <si>
    <t>Building an expert-based web effort estimation model using Bayesian networks</t>
  </si>
  <si>
    <r>
      <rPr>
        <rFont val="Arial"/>
        <color theme="1"/>
        <sz val="10.0"/>
      </rPr>
      <t xml:space="preserve">["Note that the way in which we will obtain the probabilities for the parent and child nodes differs as follows: 6.3.1 </t>
    </r>
    <r>
      <rPr>
        <rFont val="Arial"/>
        <b/>
        <color theme="1"/>
        <sz val="10.0"/>
      </rPr>
      <t>Parent nodes</t>
    </r>
    <r>
      <rPr>
        <rFont val="Arial"/>
        <color theme="1"/>
        <sz val="10.0"/>
      </rPr>
      <t xml:space="preserve"> The value factors chosen by company A’s key stakeholders (domain experts —DEs) to be parent nodes will have their probabilities calculated as follows. Let us assume that one of the value factors selected by company A’s DEs to be a parent node is factor V1 (see Table 2). Therefore, the probability of V1’s state being positive (k: positive in Table 2) is the total number of cells in column V1 where k: positive divided by the total number of cells in column V1.</t>
    </r>
    <r>
      <rPr>
        <rFont val="Arial"/>
        <b/>
        <color theme="1"/>
        <sz val="10.0"/>
      </rPr>
      <t>This means that all the parent nodes’ probabilities correspond to the frequencies with which stakeholders have chosen the states positive, neutral or negative</t>
    </r>
    <r>
      <rPr>
        <rFont val="Arial"/>
        <color theme="1"/>
        <sz val="10.0"/>
      </rPr>
      <t xml:space="preserve"> when selecting features and taking into account the impact of their selection upon value factor V1. We are employing here data that corresponds to DEs’ domain expertise as reflected in their decisions (positive, neutral, negative) during decision-making meetings. Figure 14 shows the outcome from this step using real data from the pilot study at company A (based on the data shown in Table 3). Note that all of these calculations are done outside the Value tool. 6.3.2 </t>
    </r>
    <r>
      <rPr>
        <rFont val="Arial"/>
        <b/>
        <color theme="1"/>
        <sz val="10.0"/>
      </rPr>
      <t>Child nodes</t>
    </r>
    <r>
      <rPr>
        <rFont val="Arial"/>
        <color theme="1"/>
        <sz val="10.0"/>
      </rPr>
      <t xml:space="preserve"> There are three main challenges relating to the uncertainty quantification of child nodes, as follows: (i) the data gathered in the decisions database (Fig. 3) would need to be large and quite diverse to offer a sufficient range of combinations so to learn probabilities for all the childs’ different states.This was the problem faced by Mendes and Mosley (2008) when learning probabilities for child nodes directly from data. (ii) There may be additional factors that the DEs (key stakeholders) may decide to add to the model, which were not elicited previously, and for which there is no existing data in the decisions database (one such example is factor ‘Customer Satisfaction’ in Fig. 14). (iii) Within the context of this research, none of the DEs from any of the participating companies can commit their time to elicit all the probabilities for the child nodes’ CPTs and for other additional nodes’ CPTs, as these child CPTs may require hundreds and even thousands of probability quantifications (Jensen, 1996; van der Gaag et al. 1999). </t>
    </r>
    <r>
      <rPr>
        <rFont val="Arial"/>
        <b/>
        <color theme="1"/>
        <sz val="10.0"/>
      </rPr>
      <t>We are using herein the same semi-automatic method (SAM) we have employed previously—the WSA—and also an existing tool that implements this method. The WSA requires very little input from DEs to generate CPTs semi-automatically.</t>
    </r>
    <r>
      <rPr>
        <rFont val="Arial"/>
        <color theme="1"/>
        <sz val="10.0"/>
      </rPr>
      <t xml:space="preserve">"] ["Further, as part of Baker and Mendes’ (2010) work, Baker has also implemented a prototype application with their solution, to be used in combination with an existing BN tool (Baker 2009). This prototype application is being used herein to show how to apply the WSA method to obtain probabilities for child nodes’ CPTs semi-automatically. Figure 15 shows a screenshot from the WSA prototype tool providing the following information: 1. Listing on the left-hand side of the BN nodes that are the child nodes for the example value estimation BN model shown in Fig. 14; 2. Displaying the CPT for the node cost efficiency. </t>
    </r>
    <r>
      <rPr>
        <rFont val="Arial"/>
        <b/>
        <color theme="1"/>
        <sz val="10.0"/>
      </rPr>
      <t>In this example, a DE would be asked to provide probabilities for the combination of parents’ states that are more meaningful to them (compatible), based on their expertise.</t>
    </r>
    <r>
      <rPr>
        <rFont val="Arial"/>
        <color theme="1"/>
        <sz val="10.0"/>
      </rPr>
      <t xml:space="preserve"> Node cost efficiency has five parents (‘delivery cost’, ‘maintenance cost’, ‘operational cost’, ‘support cost’ and ‘development effort’). Starting from delivery cost, and working through until reaching development effort, </t>
    </r>
    <r>
      <rPr>
        <rFont val="Arial"/>
        <b/>
        <color theme="1"/>
        <sz val="10.0"/>
      </rPr>
      <t>a DE would first choose the states (positive, neutral, negative) that seem more compatible to them and finally enter the probabilities for cost efficiency to be positive, neutral and negative, given each chosen parental configuration.</t>
    </r>
    <r>
      <rPr>
        <rFont val="Arial"/>
        <color theme="1"/>
        <sz val="10.0"/>
      </rPr>
      <t xml:space="preserve"> An example of a parental configuration is delivery cost = positive, maintenance cost = positive, operational cost = neutral, support cost = neutral and development effort = positive). </t>
    </r>
    <r>
      <rPr>
        <rFont val="Arial"/>
        <b/>
        <color theme="1"/>
        <sz val="10.0"/>
      </rPr>
      <t>This DE also has to enter a weight for each one of the parent nodes (has to add up to 1) indicating their importance upon their child node’s probabilities. Once both steps are done, the CPT is generated using the WSA</t>
    </r>
    <r>
      <rPr>
        <rFont val="Arial"/>
        <color theme="1"/>
        <sz val="10.0"/>
      </rPr>
      <t xml:space="preserve"> Eq. 2 (see Appendix). Please also see Baker (2009) for further details on the WSA method. Finally, with the WSA, a DE would need to provide only 45 probabilities, rather than 729 probabilities."] ["(...) Further, as will be explained in the next section, the validation of the BN model can also include the </t>
    </r>
    <r>
      <rPr>
        <rFont val="Arial"/>
        <b/>
        <color theme="1"/>
        <sz val="10.0"/>
      </rPr>
      <t>direct manual change of probability values as part of the model’s calibration step</t>
    </r>
    <r>
      <rPr>
        <rFont val="Arial"/>
        <color theme="1"/>
        <sz val="10.0"/>
      </rPr>
      <t xml:space="preserve">."] ["Step 2 aims to check every individual assessment made by the stakeholders against the probabilities suggested by the value BN model for node overall value. </t>
    </r>
    <r>
      <rPr>
        <rFont val="Arial"/>
        <b/>
        <color theme="1"/>
        <sz val="10.0"/>
      </rPr>
      <t>If any result does not match, then the model is immediately re-calibrated. This is a similar approach to the one used by Mendes (2012, 2014). Re-calibration means the direct change of probability quantifications in CPTs, in order to provide a matching outcome</t>
    </r>
    <r>
      <rPr>
        <rFont val="Arial"/>
        <color theme="1"/>
        <sz val="10.0"/>
      </rPr>
      <t xml:space="preserve">."] ["– Add-on value estimation model for use in decision-making meetings This part corresponds to the use of the value BN model as part of the decision-making process and also </t>
    </r>
    <r>
      <rPr>
        <rFont val="Arial"/>
        <b/>
        <color theme="1"/>
        <sz val="10.0"/>
      </rPr>
      <t>to carry out focus-group meetings with key stakeholders to obtain feedback about its use and perhaps need for modifications/recalibration</t>
    </r>
    <r>
      <rPr>
        <rFont val="Arial"/>
        <color theme="1"/>
        <sz val="10.0"/>
      </rPr>
      <t>."]</t>
    </r>
  </si>
  <si>
    <t>Model walkthrough</t>
  </si>
  <si>
    <t>Outcome adequacy</t>
  </si>
  <si>
    <t>P9</t>
  </si>
  <si>
    <t>Mendes E</t>
  </si>
  <si>
    <t>Using knowledge elicitation to improve Web effort estimation: Lessons from six industrial case studies</t>
  </si>
  <si>
    <t>ICSE</t>
  </si>
  <si>
    <r>
      <rPr>
        <rFont val="Arial"/>
        <color theme="1"/>
        <sz val="10.0"/>
      </rPr>
      <t>["</t>
    </r>
    <r>
      <rPr>
        <rFont val="Arial"/>
        <b/>
        <color theme="1"/>
        <sz val="10.0"/>
      </rPr>
      <t>Model walkthrough</t>
    </r>
    <r>
      <rPr>
        <rFont val="Arial"/>
        <color theme="1"/>
        <sz val="10.0"/>
      </rPr>
      <t xml:space="preserve">, which is a method employed in numerous fields such as medicine, decision analytic modelling and social sciences (Kopec et al. 2010; Sargent 2013; Weinstein et al. 2003; Penaloza et al. 2015) and aims to obtain a subjective assessment on how good stakeholders “feel” a model is, at face value, with regard to providing/measuring what it is supposed to provide/measure (Drost 2011). Herein, this means that if the BN’s outputs for overall value (probabilities given to each of the three states positive, neutral and negative) seem plausible to stakeholders, for all the different what-if scenarios they use, this would suggest that the BN model’s output ‘at face value’ matches what these stakeholders ‘feel’ should be the case. However, note that a model that has face validity does not mean the same as a model that has been ‘shown/demonstrated’ to work. This is why we have an additional method also being used—outcome adequacy is explained next. </t>
    </r>
    <r>
      <rPr>
        <rFont val="Arial"/>
        <b/>
        <color theme="1"/>
        <sz val="10.0"/>
      </rPr>
      <t xml:space="preserve">Outcome adequacy </t>
    </r>
    <r>
      <rPr>
        <rFont val="Arial"/>
        <color theme="1"/>
        <sz val="10.0"/>
      </rPr>
      <t>uses a validation set containing a subset of real case scenarios from past decision-making meetings not used for model building, to assess, for each case, the frequency with which the state (e.g. positive, neutral, negative) for the BN model’s node overall value with the highest probability matches the state identified via vote counting for that case. Whenever the model does not comply with the vote counting result, it is manually recalibrated."]</t>
    </r>
  </si>
  <si>
    <t>P10</t>
  </si>
  <si>
    <t>Mendes E,Mosley N</t>
  </si>
  <si>
    <t>Bayesian network models for Web effort prediction: A comparative study</t>
  </si>
  <si>
    <t>IEEE Transactions on Software Engineering</t>
  </si>
  <si>
    <t>P11</t>
  </si>
  <si>
    <t>E. Mendes</t>
  </si>
  <si>
    <t>Knowledge representation using Bayesian networks: A case study in Web effort estimation</t>
  </si>
  <si>
    <t>WICT</t>
  </si>
  <si>
    <t>P12</t>
  </si>
  <si>
    <t>Mendes, E.</t>
  </si>
  <si>
    <t>The use of Bayesian networks for web effort estimation: further investigation</t>
  </si>
  <si>
    <t>International Conference on Web Engineering, Proceedings of ICWE’08</t>
  </si>
  <si>
    <t>Literature review, selection of variables from a dataset, focus group</t>
  </si>
  <si>
    <t>Literature review, focus group, d-separation, divorcing</t>
  </si>
  <si>
    <t>P13</t>
  </si>
  <si>
    <t>Mendes, E. , Abu Talib, M. , Counsell, S.</t>
  </si>
  <si>
    <t>Applying knowledge elicitation to improve web effort estimation: a case study</t>
  </si>
  <si>
    <t>PS4</t>
  </si>
  <si>
    <t>2012 IEEE 36th Annual Computer Software and Applications Conference, COMPSAC ’12</t>
  </si>
  <si>
    <t>P14</t>
  </si>
  <si>
    <t>E Mendes</t>
  </si>
  <si>
    <t>Building a web effort estimation model through knowledge elicitation</t>
  </si>
  <si>
    <t>International Conference on Enterprise Information Systems</t>
  </si>
  <si>
    <r>
      <rPr>
        <rFont val="Arial"/>
        <color theme="1"/>
        <sz val="10.0"/>
      </rPr>
      <t xml:space="preserve">["As will be detailed later, </t>
    </r>
    <r>
      <rPr>
        <rFont val="Arial"/>
        <b/>
        <color theme="1"/>
        <sz val="10.0"/>
      </rPr>
      <t>existing literature in Web effort estimation, and knowledge from the DEs were employed to elicit the Web effort BNs’ structures</t>
    </r>
    <r>
      <rPr>
        <rFont val="Arial"/>
        <color theme="1"/>
        <sz val="10.0"/>
      </rPr>
      <t xml:space="preserve">. Throughout this step </t>
    </r>
    <r>
      <rPr>
        <rFont val="Arial"/>
        <b/>
        <color theme="1"/>
        <sz val="10.0"/>
      </rPr>
      <t>the KE also evaluates the structure of the BN</t>
    </r>
    <r>
      <rPr>
        <rFont val="Arial"/>
        <color theme="1"/>
        <sz val="10.0"/>
      </rPr>
      <t xml:space="preserve">, done in two stages. </t>
    </r>
    <r>
      <rPr>
        <rFont val="Arial"/>
        <b/>
        <color theme="1"/>
        <sz val="10.0"/>
      </rPr>
      <t>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t>
    </r>
    <r>
      <rPr>
        <rFont val="Arial"/>
        <color theme="1"/>
        <sz val="10.0"/>
      </rPr>
      <t xml:space="preserve"> [7],[21]."] [" In order to identify the</t>
    </r>
    <r>
      <rPr>
        <rFont val="Arial"/>
        <b/>
        <color theme="1"/>
        <sz val="10.0"/>
      </rPr>
      <t xml:space="preserve"> fundamental factors</t>
    </r>
    <r>
      <rPr>
        <rFont val="Arial"/>
        <color theme="1"/>
        <sz val="10.0"/>
      </rPr>
      <t xml:space="preserve"> that the DEs took into account when preparing a project quote </t>
    </r>
    <r>
      <rPr>
        <rFont val="Arial"/>
        <b/>
        <color theme="1"/>
        <sz val="10.0"/>
      </rPr>
      <t>we used the set of variables from the Tukutuku dataset</t>
    </r>
    <r>
      <rPr>
        <rFont val="Arial"/>
        <color theme="1"/>
        <sz val="10.0"/>
      </rPr>
      <t xml:space="preserve"> [18] as a starting point (see Table II). We first sketched them out on a white board, each one inside an oval shape, and then explained what each one meant within the context of the Tukutuku project. Our previous experience eliciting BNs in other domains (e.g. ecology, resource estimation) suggested that it was best to start with a few factors (even if they were not to be reused by the DE), rather than to use a “blank canvas” as a starting point [19]."] ["</t>
    </r>
    <r>
      <rPr>
        <rFont val="Arial"/>
        <b/>
        <color theme="1"/>
        <sz val="10.0"/>
      </rPr>
      <t>Once the Tukutuku variables had been sketched out and explained, the next step was to remove all variables that were not relevant for the DEs, followed by adding to the white board any additional variables (factors) suggested by them. This entire process was documented using digital voice recorders and also text editors. We also documented descriptions and rationale for each factor proposed by the DEs. The factors proposed were indeed influenced by DEs’ hunches and insights; however DEs decisions and choices were also very much influenced by their solid previous experience managing Web projects, and estimating development effort. Next, we identified the possible states that each factor would take. All states were discrete. Whenever a factor represented a measure of effort (e.g. Total effort), we also documented the effort range corresponding to each state, to avoid any future ambiguity. For example, to one of the participating Web companies, ‘very low’ Total effort corresponded to 4+ to 10 person hours, etc.</t>
    </r>
    <r>
      <rPr>
        <rFont val="Arial"/>
        <color theme="1"/>
        <sz val="10.0"/>
      </rPr>
      <t xml:space="preserve"> Once all states were identified and thoroughly documented, it was time to elicit the </t>
    </r>
    <r>
      <rPr>
        <rFont val="Arial"/>
        <b/>
        <color theme="1"/>
        <sz val="10.0"/>
      </rPr>
      <t>cause and effect relationships.</t>
    </r>
    <r>
      <rPr>
        <rFont val="Arial"/>
        <color theme="1"/>
        <sz val="10.0"/>
      </rPr>
      <t xml:space="preserve"> As a starting point to this task </t>
    </r>
    <r>
      <rPr>
        <rFont val="Arial"/>
        <b/>
        <color theme="1"/>
        <sz val="10.0"/>
      </rPr>
      <t>we used a simple medical example from [25] (see Figure 3). This example clearly introduces one of the most important points to consider when identifying cause and effect relationships – timeline of events.</t>
    </r>
    <r>
      <rPr>
        <rFont val="Arial"/>
        <color theme="1"/>
        <sz val="10.0"/>
      </rPr>
      <t xml:space="preserve"> If smoking is to be a cause of lung cancer, it is important that the cause precedes the effect. This may sound obvious with regard to the example used; however, it is our view that the use of this simple example significantly helped the DEs understand the notion of cause and effect, and how this related to Web effort estimation and the BNs being elicited. Once the cause and effect relationships were identified, we worked on the elicitation of probabilities to quantify each of the cause and effect relationships previously identified. In all four cases, there was an iterative process between the structural development and parameter elicitation steps. "] ["</t>
    </r>
    <r>
      <rPr>
        <rFont val="Arial"/>
        <b/>
        <color theme="1"/>
        <sz val="10.0"/>
      </rPr>
      <t>Once the BN structure is assumed to be close to final the KE may still need to optimise this structure to reduce the number of probabilities that need to be elicited or learnt for the network. If optimisation is needed, techniques that change the causal structure (e.g. divorcing [7]) are employed.</t>
    </r>
    <r>
      <rPr>
        <rFont val="Arial"/>
        <color theme="1"/>
        <sz val="10.0"/>
      </rPr>
      <t xml:space="preserve"> "]</t>
    </r>
  </si>
  <si>
    <t>Weighted Sum Algorithm (WSA) method</t>
  </si>
  <si>
    <r>
      <rPr>
        <rFont val="Arial"/>
        <color theme="1"/>
        <sz val="10.0"/>
      </rPr>
      <t xml:space="preserve">["Once the cause and effect relationships were identified, </t>
    </r>
    <r>
      <rPr>
        <rFont val="Arial"/>
        <b/>
        <color theme="1"/>
        <sz val="10.0"/>
      </rPr>
      <t>we worked on the elicitation of probabilities to quantify each of the cause and effect relationships previously identified. In all four cases, there was an iterative process between the structural development and parameter elicitation steps</t>
    </r>
    <r>
      <rPr>
        <rFont val="Arial"/>
        <color theme="1"/>
        <sz val="10.0"/>
      </rPr>
      <t xml:space="preserve">."] ["Second: Time constraints. Depending on the complexity of the BN model, the elicitation of probabilities can be very time consuming and last several months. At the start of the research project we did not have the means to provide the automatic generation of probabilities, so all probabilities had to be </t>
    </r>
    <r>
      <rPr>
        <rFont val="Arial"/>
        <b/>
        <color theme="1"/>
        <sz val="10.0"/>
      </rPr>
      <t>elicited manually based on expert knowledge</t>
    </r>
    <r>
      <rPr>
        <rFont val="Arial"/>
        <color theme="1"/>
        <sz val="10.0"/>
      </rPr>
      <t xml:space="preserve">. This was a drawback, given that the time needed to develop a full-fledged model became prohibitive to some companies. As a consequence, out of the initial set of 10 NZ participating companies, only five remained until the full completion of their BN models. Motivated by this issue, we also investigated mechanisms to enable the automatic generation of probability tables. A solution was devised and used with two NZ companies that participated more recently in this research. This solution comprised the comparison between different probability generation algorithms and expert-driven probabilities. Therefore we needed first to have completed the probability elicitation and validation of several BN models so to have a basis for comparison with the proposed algorithms. </t>
    </r>
    <r>
      <rPr>
        <rFont val="Arial"/>
        <b/>
        <color theme="1"/>
        <sz val="10.0"/>
      </rPr>
      <t>A tool was implemented as a result of this work; further details can be found in [2][3]</t>
    </r>
    <r>
      <rPr>
        <rFont val="Arial"/>
        <color theme="1"/>
        <sz val="10.0"/>
      </rPr>
      <t>."] Such references address the Weighted Sum Algorithm (WSA).</t>
    </r>
  </si>
  <si>
    <t>Predictive accuracy</t>
  </si>
  <si>
    <t>P15</t>
  </si>
  <si>
    <t>PS5</t>
  </si>
  <si>
    <t>S5</t>
  </si>
  <si>
    <t>P17</t>
  </si>
  <si>
    <t>Improving software effort estimation using an expert-centred approach</t>
  </si>
  <si>
    <t>Human-Centered Software Engineering: 4th International Conference, HCSE 2012</t>
  </si>
  <si>
    <t>Mendes, E., Vaz, V. T., &amp; Muradas, F.</t>
  </si>
  <si>
    <r>
      <rPr>
        <rFont val="Arial"/>
        <color theme="1"/>
        <sz val="10.0"/>
      </rPr>
      <t>["Detailed Model Validation:</t>
    </r>
    <r>
      <rPr>
        <rFont val="Arial"/>
        <b/>
        <color theme="1"/>
        <sz val="10.0"/>
      </rPr>
      <t xml:space="preserve"> Both Model walkthrough and Predictive accuracy were used to validate all six Web Effort BN models</t>
    </r>
    <r>
      <rPr>
        <rFont val="Arial"/>
        <color theme="1"/>
        <sz val="10.0"/>
      </rPr>
      <t>, where the former was the first type of validation to be employed in all cases. DEs used different scenarios to check whether the node Total_effort would provide the highest probability to the effort state that corresponded to the DE’s own suggestion. However, it was also necessary to use data from past projects, for which total effort was known, in order to check the model’s calibration. Table I details the number of projects used by each company as validation set. In all cases, DEs were asked to use as validation set a range of projects presenting different sizes and levels of complexity, and being representative of the types of projects developed by their Web company. For each project in a validation set, evidence was entered in the BN model, and the effort range corresponding to the highest probability provided for ‘Total Effort’ was compared to that project’s actual effort. Whenever actual effort did not fall within the effort range associated with the category with the highest probability, there was a mismatch; this meant that some probabilities needed to be adjusted. In order to know which nodes to target first we used a Sensitivity Analysis report, which provided the effect of each parent node upon a given query node. Within our context, the query node was ‘Total Effort’. Whenever probabilities were adjusted, we re-entered the evidence for each of the projects in the validation set that had already been used in the validation step to ensure that the calibration already carried out had not been affected. This was done to ensure that each calibration would always be an improvement upon the previous one. Once all projects were used to calibrate a model, the DE(s) assumed that the Validation step was complete. "]</t>
    </r>
  </si>
  <si>
    <t>An expert-based requirements effort estimation model using bayesian networks</t>
  </si>
  <si>
    <t>Software Quality. The Future of Systems-and Software Development: 8th International Conference, SWQD 2016</t>
  </si>
  <si>
    <t>["Later, another four BN models were created, all using a single model structure elicited by the DE and probabilities obtained by automatically fitting this structure to the same two training sets and tools previously used. The variables used in all BN models were the ones from the Tukutuku database."]</t>
  </si>
  <si>
    <t>P16</t>
  </si>
  <si>
    <t>Cost estimation of web applications through knowledge elicitation</t>
  </si>
  <si>
    <t>Enterprise Information Systems: 13th International Conference, ICEIS 2011</t>
  </si>
  <si>
    <t>PS6</t>
  </si>
  <si>
    <t>S6</t>
  </si>
  <si>
    <t>P18</t>
  </si>
  <si>
    <t>["As will be detailed later, existing literature in Web effort estimation, and knowledge from a domain expert were employed to elicit the Web effort BN’s structure. Throughout this sub-process the knowledge engineer(s) also evaluate(s) the BN’s structure,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it complies with the causality assumptions."] ["As a starting point, in order to aid the DE in identifying the fundamental factors that the DE took into account when preparing a quote for a new Web project, we used the set of variables from the Tukutuku dataset1 [8].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of those that the DE did not find relevant, or to modify existing variables to suit the DE´s experience, followed by adding to the whiteboard any new additional variables (factors) suggested by the DE. We also documented descriptions for each of the factors suggested and modified. Next, we identified the states that each factor would take. All states were discrete. Whenever a factor represented a measure of effort (e.g. Total effort), we also documented the effort range corresponding to each state, to avoid any future ambiguity. For example, ‘very low’ Total effort corresponded to 4+ to 10 person hours, etc. Once all states were identified and documented, it was time to elicit the cause and effect relationships."]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 understand the notion of cause and effect, and how this related to Web effort estimation and the BN being elicited. Once the cause and effect relationships were identified the Web effort causal structure was as follows (see Figure 4). Note that Figure 4 is not a BN based solely on the Tukutuku measures. During this process the nodes ´Final Effort Estimate´ and ´Total Effort Estimate´ were each reached by a large number of relationships; therefore this structure needed to be simplified in order to reduce the number of probabilities to be elicited. New nodes were suggested by the KE (names ending in ‘_O’, see Figure 4), and validated by the DE. "] ["Once the BN structure is assumed to be close to final knowledge engineers may still need to optimise this structure to reduce the number of probabilities that need to be elicited or learnt for the network. If optimisation is needed then techniques that change the causal structure (e.g. divorcing [3]) and the use of parametric probability distributions (e.g. noisy-OR gates [1]) are employed."]</t>
  </si>
  <si>
    <t>Using expert-based bayesian networks as decision support systems to improve project management of healthcare software projects</t>
  </si>
  <si>
    <t>International Conference on Software Engineering and Applications</t>
  </si>
  <si>
    <t>["Within the context of this work the BNs’ structures were obtained using data from the Tukutuku database and current knowledge from a DE who is the director of a well-established Web company in Auckland (New Zealand)."] ["Later, another two BN models were created, all using a single model structure elicited by a DE, and probabilities obtained by automatically fitting this structure to the same two training sets and tool previously used. The variables used in all BN models were the ones available in the Tukutuku database."]</t>
  </si>
  <si>
    <t>PS7</t>
  </si>
  <si>
    <t>S7</t>
  </si>
  <si>
    <t>P23</t>
  </si>
  <si>
    <t>M. Perkusich, K. Gorgonio, H. Almeida, and A. Perkusich</t>
  </si>
  <si>
    <t>Assisting the continuous improvement of scrum projects using metrics and bayesian networks</t>
  </si>
  <si>
    <t>Journal of Software: Evolution and Process</t>
  </si>
  <si>
    <t>["As will be detailed later, existing literature in Web effort estimation, and knowledge from the domain expert were employed to elicit the Web effort BN’s structure. Throughout this step the knowledge engineer also evaluates the structure of the BN,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 [6],[18]. Once the BN structure is assumed to be close to final knowledge engineers may still need to optimise this structure to reduce the number of probabilities that need to be elicited or learnt for the network. If optimisation is needed, techniques that change the causal structure (e.g. divorcing [6]) are employed."] ["In order to identify the fundamental factors that the DE took into account when preparing a project quote we used the set of variables from the Tukutuku dataset [15] as a starting point (see Table 1).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variables that were not relevant for the DEs, followed by adding to the white board any additional variables (factors) suggested by them. We also documented descriptions for each of the factors suggested. Next, we identified the states that each factor would take. All states were discrete. Whenever a factor represented a measure of effort (e.g. Total effort), we also documented the effort range corresponding to each state, to avoid any future ambiguity. For example, ‘Extremely low’ Total effort corresponded to 0+ to 8 person hours, etc."] ["Once all states were identified and documented, it was time to elicit the cause and effect relationships. As a starting point to this task we used a simple medical example from [6] (see Figure 3).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 understand the notion of cause and effect, and how this related to Web effort estimation and the BN being elicited."] ["Once the cause and effect relationships were identified, the original BN structure needed to be simplified in order to reduce the number of probabilities to be elicited. New nodes were suggested by the DE. "]</t>
  </si>
  <si>
    <t>PS8</t>
  </si>
  <si>
    <t>S8</t>
  </si>
  <si>
    <t>P24</t>
  </si>
  <si>
    <t>P19</t>
  </si>
  <si>
    <t>A. Freire, M. Perkusich, R. Saraiva, H. Almeida, and A. Perkusich</t>
  </si>
  <si>
    <t>Perkusich, M. B., Guimarães, G., Gorgônio, K. C., Almeida, H. O., &amp; Perkusich, A.</t>
  </si>
  <si>
    <t>A bayesian networks-based approach to assess and improve the teamwork quality of agile teams</t>
  </si>
  <si>
    <t>Information and Software Technology</t>
  </si>
  <si>
    <t>Evaluating a Bayesian Network to Predict Customer Satisfaction in Scrum Software Development Projects: An Empirical Study with One Company</t>
  </si>
  <si>
    <t>["As will be detailed later, existing literature in Web effort estimation, and knowledge from the domain expert were employed to elicit the Web effort BN’s structure. Throughout this step the knowledge engineer(s) also evaluate(s) the structure of the BN,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 (Jensen, 1996; Pearl, 1988).  Once the BN structure is assumed to be close to final knowledge engineers may still need to optimise this structure to reduce the number of probabilities that need to be elicited or learnt for the network. If optimisation is needed, techniques that change the causal structure (e.g. divorcing (Jensen, 1996)) are employed. "] ["In order to identify the fundamental factors that the DEs took into account when preparing a project quote we used the set of variables from the Tukutuku dataset (Mendes et al., 2005) as a starting point.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variables that were not relevant for the DEs, followed by adding to the white board any additional variables (factors) suggested by them. We also documented descriptions for each of the factors suggested. Next, we identified the states that each factor would take. All states were discrete. Whenever a factor represented a measure of effort (e.g. Total effort), we also documented the effort range corresponding to each state, to avoid any future ambiguity. For example, ‘very low’ Total effort corresponded to 4+ to 10 person hours, etc. Once all states were identified and documented, it was time to elicit the cause and effect relationships. As a starting point to this task we used a simple medical example from (Jensen, 1996) (see Figure 2).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DEs understand the notion of cause and effect, and how this related to Web effort estimation and the BN being elicited. Once the cause and effect relationships were identified, the original BN structure needed to be simplified in order to reduce the number of probabilities to be elicited. New nodes were suggested by the KE (names ending in ‘_O’), and validated by the DEs. The DEs also made a few more changes to some of the relationships. At this point the DEs seemed happy with the BN’s causal structure and the work on eliciting the probabilities was initiated."]</t>
  </si>
  <si>
    <t>PS9</t>
  </si>
  <si>
    <t>S10</t>
  </si>
  <si>
    <t>P27</t>
  </si>
  <si>
    <t>P20</t>
  </si>
  <si>
    <t>Perkusich M,Gorgonioy K,Almeidaz H,Perkusich A</t>
  </si>
  <si>
    <t>Willamy R,Nunesy J,Perkusichz M,Freirex A,Saraiva R,Almeidak H,Perkusich A</t>
  </si>
  <si>
    <t>A framework to build Bayesian networks to assess scrum-based software development methods</t>
  </si>
  <si>
    <t>A method to build Bayesian networks based on artifacts and metrics to assess agile projects</t>
  </si>
  <si>
    <t>P21</t>
  </si>
  <si>
    <t>M. Perkusich, H. O. de Almeida, and A. Perkusich</t>
  </si>
  <si>
    <t>A model to detect problems on scrum-based software development projects</t>
  </si>
  <si>
    <t>SAC</t>
  </si>
  <si>
    <t>["As will be detailed later, existing literature in Web effort estimation, and knowledge from the domain expert were employed to elicit the Web effort BN’s structure. Throughout this step the knowledge engineer(s) also evaluate(s) the structure of the BN, done in two stages. The first entails checking whether: variables and their values have a clear meaning; all relevant variables have been included; variables are named conveniently; all states are appropriate (exhaustive and exclusive); a check for any states that can be combined. The second stage entails reviewing the BN’s graph structure (causal structure) to ensure that any identified d-separation dependencies comply with the types of variables used and causality assumptions. D-separation dependencies are used to identify variables influenced by evidence coming from other variables in the BN [5, 17]. Once the BN structure is assumed to be close to final knowledge engineers may still need to optimise this structure to reduce the number of probabilities that need to be elicited or learnt for the network. If optimisation is needed, techniques that change the causal structure (e.g. divorcing [5]) are employed. "] ["In order to identify the fundamental factors that the DEs took into account when preparing a project quote we used the set of variables from the Tukutuku dataset [14] as a starting point (see Table 1). We first sketched them out on a white board, each one inside an oval shape, and then explained what each one meant within the context of the Tukutuku project. Our previous experience eliciting BNs in other domains (e.g. ecology) suggested that it was best to start with a few factors (even if they were not to be reused by the DE), rather than to use a “blank canvas” as a starting point. Once the Tukutuku variables had been sketched out and explained, the next step was to remove all variables that were not relevant for the DEs, followed by adding to the white board any additional variables (factors) suggested by them. We also documented descriptions for each of the factors suggested. Next, we identified the states that each factor would take. All states were discrete. Whenever a factor represented a measure of effort (e.g. Total effort), we also documented the effort range corresponding to each state, to avoid any future ambiguity. For example, ‘very low’ Total effort corresponded to 4+ to 10 person hours, etc. "] ["Once all states were identified and documented, it was time to elicit the cause and effect relationships. As a starting point to this task we used a simple medical example from [5] (see Fig. 3). This example clearly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DEs understand the notion of cause and effect, and how this related to Web effort estimation and the BN being elicited. "] ["Once the cause and effect relationships were identified, the original BN structure needed to be simplified in order to reduce the number of probabilities to be elicited. New nodes were suggested by the KE (names ending in ‘_O’), and validated by the Des (see Fig. 4). The DEs also made a few more changes to some of the relationships. At this point the DEs seemed happy with the BN’s causal structure and the work on eliciting the probabilities was initiated. "]</t>
  </si>
  <si>
    <t>PS10</t>
  </si>
  <si>
    <t>S12</t>
  </si>
  <si>
    <t>P30</t>
  </si>
  <si>
    <t>Turic, M., Celar, S., Dragicevic, S., &amp; Vickovic, L.</t>
  </si>
  <si>
    <t>Advanced Bayesian Network for Task Effort Estimation in Agile Software Development</t>
  </si>
  <si>
    <t>P22</t>
  </si>
  <si>
    <t>Applied Sciences</t>
  </si>
  <si>
    <t>Perkusich, M., Soares, G., Almeida, H., &amp; Perkusich, A.</t>
  </si>
  <si>
    <t>A procedure to detect problems of processes in software development projects using Bayesian networks</t>
  </si>
  <si>
    <t>Interviews, grounded theory, focus group</t>
  </si>
  <si>
    <t>Focus group, divorcing</t>
  </si>
  <si>
    <t>PS11</t>
  </si>
  <si>
    <t>S14</t>
  </si>
  <si>
    <t>P32</t>
  </si>
  <si>
    <t>Kumar, C., &amp; Yadav, D. K.</t>
  </si>
  <si>
    <t>Software defects estimation using metrics of early phases of software development life cycle</t>
  </si>
  <si>
    <t>nternational Journal of System Assurance Engineering and Management</t>
  </si>
  <si>
    <r>
      <rPr>
        <rFont val="Arial"/>
        <color rgb="FF000000"/>
        <sz val="10.0"/>
      </rPr>
      <t xml:space="preserve">["As will be detailed later, </t>
    </r>
    <r>
      <rPr>
        <rFont val="Arial"/>
        <b/>
        <color rgb="FF000000"/>
        <sz val="10.0"/>
      </rPr>
      <t>knowledge from the domain experts</t>
    </r>
    <r>
      <rPr>
        <rFont val="Arial"/>
        <color rgb="FF000000"/>
        <sz val="10.0"/>
      </rPr>
      <t xml:space="preserve"> were employed to elicit the BN’s structure. Throughout this step the </t>
    </r>
    <r>
      <rPr>
        <rFont val="Arial"/>
        <b/>
        <color rgb="FF000000"/>
        <sz val="10.0"/>
      </rPr>
      <t>BN’s structure was also evaluated to check whether variables and their values had a clear meaning; all relevant variables have been included; variables are named conveniently; all states are appropriate (exhaustive and exclusive).</t>
    </r>
    <r>
      <rPr>
        <rFont val="Arial"/>
        <color rgb="FF000000"/>
        <sz val="10.0"/>
      </rPr>
      <t xml:space="preserve"> Sometimes a BN’s structure may also need to be </t>
    </r>
    <r>
      <rPr>
        <rFont val="Arial"/>
        <b/>
        <color rgb="FF000000"/>
        <sz val="10.0"/>
      </rPr>
      <t>optimized to reduce the number of probabilities</t>
    </r>
    <r>
      <rPr>
        <rFont val="Arial"/>
        <color rgb="FF000000"/>
        <sz val="10.0"/>
      </rPr>
      <t xml:space="preserve"> that need to be elicited or learnt for the network. </t>
    </r>
    <r>
      <rPr>
        <rFont val="Arial"/>
        <b/>
        <color rgb="FF000000"/>
        <sz val="10.0"/>
      </rPr>
      <t>As will be detailed later, this was the case herein</t>
    </r>
    <r>
      <rPr>
        <rFont val="Arial"/>
        <color rgb="FF000000"/>
        <sz val="10.0"/>
      </rPr>
      <t>."] ["</t>
    </r>
    <r>
      <rPr>
        <rFont val="Arial"/>
        <b/>
        <color rgb="FF000000"/>
        <sz val="10.0"/>
      </rPr>
      <t>Before starting the model elicitation, preliminary interviews, using an adapted questionnaire from [9], were carried out with several company members</t>
    </r>
    <r>
      <rPr>
        <rFont val="Arial"/>
        <color rgb="FF000000"/>
        <sz val="10.0"/>
      </rPr>
      <t xml:space="preserve">, including requirements analysts and project managers. The objective of such interviews was twofold: (i) to select participants for the study; and (ii) </t>
    </r>
    <r>
      <rPr>
        <rFont val="Arial"/>
        <b/>
        <color rgb="FF000000"/>
        <sz val="10.0"/>
      </rPr>
      <t>to identify the initial set of factors identified as relevant for requirements effort estimation</t>
    </r>
    <r>
      <rPr>
        <rFont val="Arial"/>
        <color rgb="FF000000"/>
        <sz val="10.0"/>
      </rPr>
      <t xml:space="preserve">. This initial set of factors was used as input during the </t>
    </r>
    <r>
      <rPr>
        <rFont val="Arial"/>
        <b/>
        <color rgb="FF000000"/>
        <sz val="10.0"/>
      </rPr>
      <t>knowledge elicitation meetings</t>
    </r>
    <r>
      <rPr>
        <rFont val="Arial"/>
        <color rgb="FF000000"/>
        <sz val="10.0"/>
      </rPr>
      <t>, since our previous experience eliciting BNs in other domains (e.g. ecology) suggested that it was best to start the elicitation with a few factors, rather than to use a “blank canvas” as a starting point. We interviewed a total of 10 requirements analysts and five project managers. Each interview was conducted individually, with one company member and the first author."] ["</t>
    </r>
    <r>
      <rPr>
        <rFont val="Arial"/>
        <b/>
        <color rgb="FF000000"/>
        <sz val="10.0"/>
      </rPr>
      <t>In order to identify the initial set of factors</t>
    </r>
    <r>
      <rPr>
        <rFont val="Arial"/>
        <color rgb="FF000000"/>
        <sz val="10.0"/>
      </rPr>
      <t xml:space="preserve"> considered important by the requirements analysts and project managers when estimating requirements effort, the second author </t>
    </r>
    <r>
      <rPr>
        <rFont val="Arial"/>
        <b/>
        <color rgb="FF000000"/>
        <sz val="10.0"/>
      </rPr>
      <t>analyzed the interviews</t>
    </r>
    <r>
      <rPr>
        <rFont val="Arial"/>
        <color rgb="FF000000"/>
        <sz val="10.0"/>
      </rPr>
      <t xml:space="preserve"> using principles from </t>
    </r>
    <r>
      <rPr>
        <rFont val="Arial"/>
        <b/>
        <color rgb="FF000000"/>
        <sz val="10.0"/>
      </rPr>
      <t>Grounded Theory</t>
    </r>
    <r>
      <rPr>
        <rFont val="Arial"/>
        <color rgb="FF000000"/>
        <sz val="10.0"/>
      </rPr>
      <t xml:space="preserve"> (GT) [14] method, in which she has a lot of experience."] ["Each code represented a factor to be used as part of the Structure building step. All the factors were displayed in a white board, and explained to the participants. The next step was to</t>
    </r>
    <r>
      <rPr>
        <rFont val="Arial"/>
        <b/>
        <color rgb="FF000000"/>
        <sz val="10.0"/>
      </rPr>
      <t xml:space="preserve"> remove all the factors considered irrelevant</t>
    </r>
    <r>
      <rPr>
        <rFont val="Arial"/>
        <color rgb="FF000000"/>
        <sz val="10.0"/>
      </rPr>
      <t xml:space="preserve"> to the requirements analysts and project managers participating in the model elicitation, followed by </t>
    </r>
    <r>
      <rPr>
        <rFont val="Arial"/>
        <b/>
        <color rgb="FF000000"/>
        <sz val="10.0"/>
      </rPr>
      <t>adding to the white board any additional factors deemed relevant</t>
    </r>
    <r>
      <rPr>
        <rFont val="Arial"/>
        <color rgb="FF000000"/>
        <sz val="10.0"/>
      </rPr>
      <t xml:space="preserve">. We also documented descriptions for each of the factors suggested. Next, we identified the </t>
    </r>
    <r>
      <rPr>
        <rFont val="Arial"/>
        <b/>
        <color rgb="FF000000"/>
        <sz val="10.0"/>
      </rPr>
      <t>states that each factor would take</t>
    </r>
    <r>
      <rPr>
        <rFont val="Arial"/>
        <color rgb="FF000000"/>
        <sz val="10.0"/>
      </rPr>
      <t xml:space="preserve">, i.e., </t>
    </r>
    <r>
      <rPr>
        <rFont val="Arial"/>
        <b/>
        <color rgb="FF000000"/>
        <sz val="10.0"/>
      </rPr>
      <t>how each factor was to be measured. All states were discrete. Whenever a factor represented a measure of effort (e.g. Total Requirements Effort), we also documented the effort range corresponding to each state, to avoid any future ambiguity. For example, ‘low’ Total Requirements Effort corresponded to 0 + to 180 person hours, etc.</t>
    </r>
    <r>
      <rPr>
        <rFont val="Arial"/>
        <color rgb="FF000000"/>
        <sz val="10.0"/>
      </rPr>
      <t>"] ["</t>
    </r>
    <r>
      <rPr>
        <rFont val="Arial"/>
        <b/>
        <color rgb="FF000000"/>
        <sz val="10.0"/>
      </rPr>
      <t>Once all states were identified and documented</t>
    </r>
    <r>
      <rPr>
        <rFont val="Arial"/>
        <color rgb="FF000000"/>
        <sz val="10.0"/>
      </rPr>
      <t xml:space="preserve">, it was time to elicit the </t>
    </r>
    <r>
      <rPr>
        <rFont val="Arial"/>
        <b/>
        <color rgb="FF000000"/>
        <sz val="10.0"/>
      </rPr>
      <t>cause and effect relationships</t>
    </r>
    <r>
      <rPr>
        <rFont val="Arial"/>
        <color rgb="FF000000"/>
        <sz val="10.0"/>
      </rPr>
      <t xml:space="preserve">. As a starting point to this task we used the same example used in Mendes et al. [10] - </t>
    </r>
    <r>
      <rPr>
        <rFont val="Arial"/>
        <b/>
        <color rgb="FF000000"/>
        <sz val="10.0"/>
      </rPr>
      <t xml:space="preserve">a simple medical example from [6] (see Fig. 3). This example introduces one of the most important points to consider when identifying cause and effect relationships – timeline of events. If smoking is to be a cause of lung cancer, it is important that the cause precedes the effect. This may sound obvious with regard to the example used; however, it is our view that the use of this simple example significantly helped the project managers and requirements analysts understand the notion of cause and effect, and how this related to requirements effort estimation and the BN being elicited. </t>
    </r>
    <r>
      <rPr>
        <rFont val="Arial"/>
        <color rgb="FF000000"/>
        <sz val="10.0"/>
      </rPr>
      <t xml:space="preserve">"] ["Once the cause and effect relationships were identified, and after </t>
    </r>
    <r>
      <rPr>
        <rFont val="Arial"/>
        <b/>
        <color rgb="FF000000"/>
        <sz val="10.0"/>
      </rPr>
      <t>some minor changes to the original structure,</t>
    </r>
    <r>
      <rPr>
        <rFont val="Arial"/>
        <color rgb="FF000000"/>
        <sz val="10.0"/>
      </rPr>
      <t xml:space="preserve"> the final Requirements Effort BN’s causal structure was as follows (see Fig. 4). Note that Fig. 4 is not a BN based directly on Table 2. </t>
    </r>
    <r>
      <rPr>
        <rFont val="Arial"/>
        <b/>
        <color rgb="FF000000"/>
        <sz val="10.0"/>
      </rPr>
      <t>Some of the factors in Fig. 4 have a ‘(I)’ at the end of their names; this means that these factors were artificially introduced (I) in order to reduce the amount of probabilities to be elicited</t>
    </r>
    <r>
      <rPr>
        <rFont val="Arial"/>
        <color rgb="FF000000"/>
        <sz val="10.0"/>
      </rPr>
      <t>."]</t>
    </r>
  </si>
  <si>
    <r>
      <rPr>
        <rFont val="Arial"/>
        <color theme="1"/>
        <sz val="10.0"/>
      </rPr>
      <t>["</t>
    </r>
    <r>
      <rPr>
        <rFont val="Arial"/>
        <b/>
        <color theme="1"/>
        <sz val="10.0"/>
      </rPr>
      <t>All probabilities were created from scratch, and the probabilities elicitation, considering the original and the revisited model,</t>
    </r>
    <r>
      <rPr>
        <rFont val="Arial"/>
        <color theme="1"/>
        <sz val="10.0"/>
      </rPr>
      <t xml:space="preserve"> took 136 h (the three authors and one requirements analyst)."]</t>
    </r>
  </si>
  <si>
    <t>PS12</t>
  </si>
  <si>
    <t>S18</t>
  </si>
  <si>
    <t>P37</t>
  </si>
  <si>
    <t>Schulz T,Radliński Ł,Gorges T,Rosenstiel W</t>
  </si>
  <si>
    <r>
      <rPr>
        <rFont val="Arial"/>
        <color theme="1"/>
        <sz val="10.0"/>
      </rPr>
      <t>["</t>
    </r>
    <r>
      <rPr>
        <rFont val="Arial"/>
        <b/>
        <color theme="1"/>
        <sz val="10.0"/>
      </rPr>
      <t>Predictive accuracy</t>
    </r>
    <r>
      <rPr>
        <rFont val="Arial"/>
        <color theme="1"/>
        <sz val="10.0"/>
      </rPr>
      <t xml:space="preserve"> was the activity used to validate the Requirements Effort Prediction BN model. A validation set containing data on 11 projects was used. These projects were characterized by different sizes and levels of complexity, where all 11 projects were representative of the types and sizes of the requirements specification projects developed by CASNAV. For each project, evidence was entered in the BN model (an example is given in Fig. 6, where evidence is characterized by dark grey nodes with probabilities equal to 100% (1…)), and the effort range corresponding to the highest probability provided for ‘Total Requirements Effort’ was compared to that project’s actual requirements effort. Note that the CASNAV had also defined how to measure each of the factors part of their model. Whenever actual effort did not fall within the effort range associated with the category with the highest probability, there was a mismatch; this meant that some probabilities needed to be adjusted. In order to know which nodes to target first we used a Sensitivity Analysis report, which provided the effect of each parent node upon a given query node. Within our context, the query node was ‘Total Requirements Effort’. Whenever probabilities were adjusted, we re-entered the evidence for each of the projects in the validation set that had already been used in the validation step to ensure that the calibration already carried out had not affected. This was done to ensure that each calibration would always be an improved upon the previous one. Within the context of this work, some calibration was needed; in addition, the requirements project managers decided that all the factors related to effort should have an additional category, and also that the model could be simplified further. This resulted in the model shown in Fig. 5. The changes to the model are detailed in Table 4 below."]</t>
    </r>
  </si>
  <si>
    <t>Predicting the flow of defect correction effort using a Bayesian network model</t>
  </si>
  <si>
    <t>Empirical Software Engineering</t>
  </si>
  <si>
    <t>P25</t>
  </si>
  <si>
    <t>Freire AS,Da Silva RM,Perkusich M,Almeida H,Perkusich A</t>
  </si>
  <si>
    <t>A Bayesian Network Model to Assess Agile Teams' Teamwork Quality</t>
  </si>
  <si>
    <t>SBES</t>
  </si>
  <si>
    <t>Literature review, focus group, divorcing</t>
  </si>
  <si>
    <t>S9</t>
  </si>
  <si>
    <t>PS13</t>
  </si>
  <si>
    <t>S20</t>
  </si>
  <si>
    <t>P39</t>
  </si>
  <si>
    <t>Misirli AT,Bener AB</t>
  </si>
  <si>
    <t>Bayesian networks for evidence-based decision-making in software engineering</t>
  </si>
  <si>
    <t>P26</t>
  </si>
  <si>
    <t>Senathi A,Vinod G,Jadhav D</t>
  </si>
  <si>
    <r>
      <rPr>
        <rFont val="Arial"/>
        <color theme="1"/>
        <sz val="10.0"/>
      </rPr>
      <t xml:space="preserve">["As will be detailed later, </t>
    </r>
    <r>
      <rPr>
        <rFont val="Arial"/>
        <b/>
        <color theme="1"/>
        <sz val="10.0"/>
      </rPr>
      <t>existing literature in effort estimation, and knowledge from the domain experts were employed to elicit the Healthcare software effort BN’s structure</t>
    </r>
    <r>
      <rPr>
        <rFont val="Arial"/>
        <color theme="1"/>
        <sz val="10.0"/>
      </rPr>
      <t xml:space="preserve">. </t>
    </r>
    <r>
      <rPr>
        <rFont val="Arial"/>
        <b/>
        <color theme="1"/>
        <sz val="10.0"/>
      </rPr>
      <t>Throughout this step the author also evaluated the BN’s structure to check whether variables and their values have a clear meaning; all relevant variables have been included; variables are named conveniently; all states are appropriate (exhaustive and exclusive)</t>
    </r>
    <r>
      <rPr>
        <rFont val="Arial"/>
        <color theme="1"/>
        <sz val="10.0"/>
      </rPr>
      <t xml:space="preserve">. The BN structure may also need to be optimised to reduce the number of probabilities that need to be elicited or learnt for the network. Whenever this is the case, techniques that change the causal structure (e.g. </t>
    </r>
    <r>
      <rPr>
        <rFont val="Arial"/>
        <b/>
        <color theme="1"/>
        <sz val="10.0"/>
      </rPr>
      <t xml:space="preserve">divorcing </t>
    </r>
    <r>
      <rPr>
        <rFont val="Arial"/>
        <color theme="1"/>
        <sz val="10.0"/>
      </rPr>
      <t xml:space="preserve">(Jensen, 1996)) are employed.  "] ["Before starting the elicitation of the model, </t>
    </r>
    <r>
      <rPr>
        <rFont val="Arial"/>
        <b/>
        <color theme="1"/>
        <sz val="10.0"/>
      </rPr>
      <t>the seven project managers participating in the model elicitation &amp; validation were given an overview of BNs, and examples of “what-if” scenarios using a made-up BN. This, we believe, facilitated the entire process as the use of an example, and the brief explanation of each of the steps in the adapted KEBN process</t>
    </r>
    <r>
      <rPr>
        <rFont val="Arial"/>
        <color theme="1"/>
        <sz val="10.0"/>
      </rPr>
      <t xml:space="preserve">, provided a concrete understanding of what to expect. We also made it clear that the author was solely a facilitator of the process, and that the Healthcare company’s commitment was paramount for the success of the process. </t>
    </r>
    <r>
      <rPr>
        <rFont val="Arial"/>
        <b/>
        <color theme="1"/>
        <sz val="10.0"/>
      </rPr>
      <t>The entire process took 324 person hours to be completed, with seven projet managers participating at 12 3-hour slots, and two other project managers participating at other 12 3-hour slots</t>
    </r>
    <r>
      <rPr>
        <rFont val="Arial"/>
        <color theme="1"/>
        <sz val="10.0"/>
      </rPr>
      <t xml:space="preserve">."] ["In order to </t>
    </r>
    <r>
      <rPr>
        <rFont val="Arial"/>
        <b/>
        <color theme="1"/>
        <sz val="10.0"/>
      </rPr>
      <t>identify the fundamental factors that the project managers considered when preparing a project quote, and also taking into account that most of the projects managed were Web-development projects</t>
    </r>
    <r>
      <rPr>
        <rFont val="Arial"/>
        <color theme="1"/>
        <sz val="10.0"/>
      </rPr>
      <t xml:space="preserve">, we used, as suggested in (Mendes et al., 2009), the </t>
    </r>
    <r>
      <rPr>
        <rFont val="Arial"/>
        <b/>
        <color theme="1"/>
        <sz val="10.0"/>
      </rPr>
      <t>set of variables from the Tukutuku dataset</t>
    </r>
    <r>
      <rPr>
        <rFont val="Arial"/>
        <color theme="1"/>
        <sz val="10.0"/>
      </rPr>
      <t xml:space="preserve"> (Mendes et al., 2005) as a starting point (see Table 1). We first sketched them out on a white board, each one inside an oval shape, and then explained what each one meant.   </t>
    </r>
    <r>
      <rPr>
        <rFont val="Arial"/>
        <b/>
        <color theme="1"/>
        <sz val="10.0"/>
      </rPr>
      <t>Once the Tukutuku variables had been sketched out and explained, the next step was to remove all variables that were not relevant for the project managers, followed by adding to the white board any additional variables (factors) suggested by them. We also documented descriptions for each of the factors suggested</t>
    </r>
    <r>
      <rPr>
        <rFont val="Arial"/>
        <color theme="1"/>
        <sz val="10.0"/>
      </rPr>
      <t xml:space="preserve">. Next, </t>
    </r>
    <r>
      <rPr>
        <rFont val="Arial"/>
        <b/>
        <color theme="1"/>
        <sz val="10.0"/>
      </rPr>
      <t>we identified the states that each factor would take</t>
    </r>
    <r>
      <rPr>
        <rFont val="Arial"/>
        <color theme="1"/>
        <sz val="10.0"/>
      </rPr>
      <t xml:space="preserve">. </t>
    </r>
    <r>
      <rPr>
        <rFont val="Arial"/>
        <b/>
        <color theme="1"/>
        <sz val="10.0"/>
      </rPr>
      <t>All states were discrete. Whenever a factor represented a measure of effort (e.g. Total effort), we also documented the effort range corresponding to each state, to avoid any future ambiguity. For example, ‘very low’ Total effort corresponded to 4+ to 10 person hours, etc. Once all states were identified and documented,</t>
    </r>
    <r>
      <rPr>
        <rFont val="Arial"/>
        <color theme="1"/>
        <sz val="10.0"/>
      </rPr>
      <t xml:space="preserve"> </t>
    </r>
    <r>
      <rPr>
        <rFont val="Arial"/>
        <b/>
        <color theme="1"/>
        <sz val="10.0"/>
      </rPr>
      <t>it was time to elicit the cause and effect relationships. As a starting point to this task we used the same example used in (Mendes et al., 2009) - a simple medical example from (Jensen, 1996) (see Figure 3). This example clearly introduces one of the most important points to consider when identifying cause and effect relationships – timeline of events</t>
    </r>
    <r>
      <rPr>
        <rFont val="Arial"/>
        <color theme="1"/>
        <sz val="10.0"/>
      </rPr>
      <t>. If smoking is to be a cause of lung cancer, it is important that the cause precedes the effect. This may sound obvious with regard to the example used; however, it is our view that the use of</t>
    </r>
    <r>
      <rPr>
        <rFont val="Arial"/>
        <b/>
        <color theme="1"/>
        <sz val="10.0"/>
      </rPr>
      <t xml:space="preserve"> this simple example significantly helped the project managers understand the notion of cause and effect</t>
    </r>
    <r>
      <rPr>
        <rFont val="Arial"/>
        <color theme="1"/>
        <sz val="10.0"/>
      </rPr>
      <t>, and how this related to software effort estimation and the BN being elicited. "]</t>
    </r>
  </si>
  <si>
    <t>Software reliability based on software measures applying Bayesian technique</t>
  </si>
  <si>
    <t>IC3T</t>
  </si>
  <si>
    <r>
      <rPr>
        <rFont val="Arial"/>
        <color theme="1"/>
        <sz val="10.0"/>
      </rPr>
      <t xml:space="preserve">["At this point the project managers seemed happy with the BN’s causal structure and the work on eliciting the probabilities was initiated. </t>
    </r>
    <r>
      <rPr>
        <rFont val="Arial"/>
        <b/>
        <color theme="1"/>
        <sz val="10.0"/>
      </rPr>
      <t>All probabilities were created from scratch, and the probabilities elicitation took 72 hours (one project manager and the author).</t>
    </r>
    <r>
      <rPr>
        <rFont val="Arial"/>
        <color theme="1"/>
        <sz val="10.0"/>
      </rPr>
      <t xml:space="preserve"> The complete BN, including its probabilities, is shown in Figure 5. Figure 5 shows the BN using belief bars rather than labelled factors, so readers can see the probabilities that were elicited.  "]</t>
    </r>
  </si>
  <si>
    <t>PS14</t>
  </si>
  <si>
    <t>S21</t>
  </si>
  <si>
    <t>P40</t>
  </si>
  <si>
    <t>Berdún L,Díaz Pace JA,Amandi A,Campo M</t>
  </si>
  <si>
    <t>Assisting novice software designers by an expert designer agent</t>
  </si>
  <si>
    <r>
      <rPr>
        <rFont val="Arial"/>
        <color theme="1"/>
        <sz val="10.0"/>
      </rPr>
      <t xml:space="preserve">["4.2 Detailed Model Validation Both </t>
    </r>
    <r>
      <rPr>
        <rFont val="Arial"/>
        <b/>
        <color theme="1"/>
        <sz val="10.0"/>
      </rPr>
      <t>Model walkthrough and Predictive accuracy were used to validate the Effort Prediction BN model</t>
    </r>
    <r>
      <rPr>
        <rFont val="Arial"/>
        <color theme="1"/>
        <sz val="10.0"/>
      </rPr>
      <t>, where the former was the first type of validation to be employed. The project manager used ten different scenarios to check whether the factor Total_effort would provide the highest probability to the effort state that corresponded to the manager’s own suggestions. All scenarios were run successfully; however it was also necessary to use data from past projects, for which total effort was known, in order to check whether the model needed any further calibration. A validation set containing data on 22 projects was used. The project manager selected a range of projects presenting different sizes and levels of complexity, where all 22 projects were representative of the types and sizes of projects developed by the Healthcare Company.  For each project, evidence was entered in the BN model (an example is given in Figure 6, where evidence is characterised by dark grey nodes with probabilities equal to 100% (1…)), and the effort range corresponding to the highest probability provided for ‘Total Estimated Effort’ was compared to that project’s actual effort. The company had also defined the range of effort values associated with each of the categories used to measure ‘Total Estimated Effort’. In the case of the company described herein, High effort corresponded to 150 to 1500 person hours. Whenever actual effort did not fall within the effort range associated with the category with the highest probability, there was a mismatch; this meant that some probabilities needed to be adjusted. In order to know which nodes to target first we used a Sensitivity Analysis report, which provided the effect of each parent node upon a given query node. Within our context, the query node was ‘Total Estimated Effort’. Within the context of this work, hardly any calibration was needed. Whenever probabilities were adjusted, we reentered the evidence for each of the projects in the validation set that had already been used in the validation step to ensure that the calibration already carried out had not affected. This was done to ensure that each calibration would always be an improved upon the previous one. Within the scope of the model presented herein, of the 22 projects used for validation, only one required the model to be recalibrated. This means that for all the 21 projects remaining, the BN model presented the highest probability to the effort range that contained the actual effort for the project being used for validation. Once all 22 projects were used to validate the model the project manager assumed that the Validation step was complete. "]</t>
    </r>
  </si>
  <si>
    <t>["Further, it is worthy of mentioning that Kaizen we built by extracting knowledge available on the literature and tacit knowledge from industry experts following the ExpertBased Knowledge Engineering of Bayesian Networks methodology [9]."]</t>
  </si>
  <si>
    <t>PS15</t>
  </si>
  <si>
    <t>S23</t>
  </si>
  <si>
    <t>P42</t>
  </si>
  <si>
    <t>Amasaki S,Takagi Y,Mizuiso O,Kikuno T</t>
  </si>
  <si>
    <t>Constructing a Bayesian Belief Network to predict final quality in embedded system development</t>
  </si>
  <si>
    <t>IEICE Transactions on Information and Systems</t>
  </si>
  <si>
    <t>S11</t>
  </si>
  <si>
    <t>P28</t>
  </si>
  <si>
    <t>del Sagrado J,del Águila IM</t>
  </si>
  <si>
    <t>Stability prediction of the software requirements specification</t>
  </si>
  <si>
    <t>["To solve the first sub-problem of defining the DAG, we researched the literature from respected practitioners [17,6] to identify the initial elements of F and R. Afterwards, we presented the initial elements (key factors) to eleven experts and refined the sets of elements (key factors) during one-to-one discussions."] ["We used an incremental procedure to identify the elements of F and R. We identified high-level key factors on software development projects using Scrum and broke them down until we found independent variables that represented key factors that could be observed by a practitioner."] ["We considered that the highest-level factor for any project is the project progress. This way, we identified the name of the first element of F: Project progress."]</t>
  </si>
  <si>
    <t>PS16</t>
  </si>
  <si>
    <t>S24</t>
  </si>
  <si>
    <t>P44</t>
  </si>
  <si>
    <t>P29</t>
  </si>
  <si>
    <t>Song TH,Yoon KA,Bae DH</t>
  </si>
  <si>
    <t>An approach to probabilistic effort estimation for military avionics software maintenance by considering structural characteristics</t>
  </si>
  <si>
    <t>Dragicevic S,Celar S,Turic M</t>
  </si>
  <si>
    <t>APSEC</t>
  </si>
  <si>
    <t>Bayesian network model for task effort estimation in agile software development</t>
  </si>
  <si>
    <t>["To define the directed acyclic graph, first we identified the elements of F and R (i.e., the nodes and edges)."] ["To define the elements of F and R, the first step was to set Process quality as the output node. Afterwards, we researched the literature from respected practitioners (Cohn, 2009; Pichler, 2010;  Sutherland &amp; Schwaber, 2013) to decompose this node until we had nodes representing key software process factors that could be measured and easily observed."] ["Afterwards, the initial directed acyclic graph was presented to a group of eleven experts. They evaluated the directed acyclic graph and proposed some changes. For example, even though according to scrumguide the work validation should be executed during the Sprint Review meeting, in practice it is not the only situation where it occurs. Key clients are not available to participate in every Scrum Review meeting, but they give their feedback in separate meetings."]</t>
  </si>
  <si>
    <t>Journal of Systems and Software</t>
  </si>
  <si>
    <t>Literature review, top-down approach, Delphi technique, idioms</t>
  </si>
  <si>
    <t>PS17</t>
  </si>
  <si>
    <t>S25</t>
  </si>
  <si>
    <t>P46</t>
  </si>
  <si>
    <t>Gregoriades A,Sutcliffe A</t>
  </si>
  <si>
    <t>Scenario-based assessment of nonfunctional requirements</t>
  </si>
  <si>
    <t>S13</t>
  </si>
  <si>
    <t>P31</t>
  </si>
  <si>
    <t>Kumar C,Yadav DK</t>
  </si>
  <si>
    <t>A Probabilistic Software Risk Assessment and Estimation Model for Software Projects</t>
  </si>
  <si>
    <t>ICCN</t>
  </si>
  <si>
    <t>PS18</t>
  </si>
  <si>
    <t>S26</t>
  </si>
  <si>
    <t>P47</t>
  </si>
  <si>
    <t>Pérez-Miñana E,Gras JJ</t>
  </si>
  <si>
    <t>Improving fault prediction using Bayesian networks for the development of embedded software applications</t>
  </si>
  <si>
    <r>
      <rPr>
        <rFont val="Arial"/>
        <color theme="1"/>
        <sz val="10.0"/>
      </rPr>
      <t xml:space="preserve">["In this paper, </t>
    </r>
    <r>
      <rPr>
        <rFont val="Arial"/>
        <b/>
        <color theme="1"/>
        <sz val="10.0"/>
      </rPr>
      <t>we will only present the idiom that we use in our method</t>
    </r>
    <r>
      <rPr>
        <rFont val="Arial"/>
        <color theme="1"/>
        <sz val="10.0"/>
      </rPr>
      <t>: synthesis. Synthesis idiom models the synthesis or combination of many nodes into 1 node for the purpose of organizing the Bayesian network.We used synthesis idiom to decompose the initial factors into observable ones. We present in Figure 3 an example of this idiom extracted from Fenton and Neil.24 A common application of the synthesis idiom is to reduce the effects of combinatorial explosion, which is the case when a node has too many parents, by</t>
    </r>
    <r>
      <rPr>
        <rFont val="Arial"/>
        <b/>
        <color theme="1"/>
        <sz val="10.0"/>
      </rPr>
      <t xml:space="preserve"> divorcing</t>
    </r>
    <r>
      <rPr>
        <rFont val="Arial"/>
        <color theme="1"/>
        <sz val="10.0"/>
      </rPr>
      <t xml:space="preserve"> the parents. According to Fenton and Neil,24 ideally a node should have at most 3 parents. For instance, say that assessing Tests results depends on Occurrences of failures, Severity of faults, Tester experience, and Testing effort. Considering that each node has 5 states, the Node Probability Table (NPT) of Test results would have 54 cells. To reduce this complexity, we could add 2 synthetic nodes: Reliability and Test quality."] ["4 </t>
    </r>
    <r>
      <rPr>
        <rFont val="Arial"/>
        <b/>
        <color theme="1"/>
        <sz val="10.0"/>
      </rPr>
      <t xml:space="preserve">PROCESS TO BUILD THE FIRST VERSION OF THE DAG </t>
    </r>
    <r>
      <rPr>
        <rFont val="Arial"/>
        <color theme="1"/>
        <sz val="10.0"/>
      </rPr>
      <t xml:space="preserve">The problem of defining the DAG was subdivided into 2: define the </t>
    </r>
    <r>
      <rPr>
        <rFont val="Arial"/>
        <b/>
        <color theme="1"/>
        <sz val="10.0"/>
      </rPr>
      <t>nodes and relationships</t>
    </r>
    <r>
      <rPr>
        <rFont val="Arial"/>
        <color theme="1"/>
        <sz val="10.0"/>
      </rPr>
      <t xml:space="preserve"> and define the</t>
    </r>
    <r>
      <rPr>
        <rFont val="Arial"/>
        <b/>
        <color theme="1"/>
        <sz val="10.0"/>
      </rPr>
      <t xml:space="preserve"> nodes’ states</t>
    </r>
    <r>
      <rPr>
        <rFont val="Arial"/>
        <color theme="1"/>
        <sz val="10.0"/>
      </rPr>
      <t xml:space="preserve">. </t>
    </r>
    <r>
      <rPr>
        <rFont val="Arial"/>
        <b/>
        <color theme="1"/>
        <sz val="10.0"/>
      </rPr>
      <t>We solved the first problem by following a top-down approach</t>
    </r>
    <r>
      <rPr>
        <rFont val="Arial"/>
        <color theme="1"/>
        <sz val="10.0"/>
      </rPr>
      <t xml:space="preserve"> in which we decomposed the top-level node, Process quality, into factors that we judged to be observable by the team’s Scrum Master. To decompose the nodes, </t>
    </r>
    <r>
      <rPr>
        <rFont val="Arial"/>
        <b/>
        <color theme="1"/>
        <sz val="10.0"/>
      </rPr>
      <t>we used reasoning and data from the Scrum Guide</t>
    </r>
    <r>
      <rPr>
        <rFont val="Arial"/>
        <color theme="1"/>
        <sz val="10.0"/>
      </rPr>
      <t xml:space="preserve">, respected agile practitioners such as Cohn11 and Pichler14 and </t>
    </r>
    <r>
      <rPr>
        <rFont val="Arial"/>
        <b/>
        <color theme="1"/>
        <sz val="10.0"/>
      </rPr>
      <t>scientific literature</t>
    </r>
    <r>
      <rPr>
        <rFont val="Arial"/>
        <color theme="1"/>
        <sz val="10.0"/>
      </rPr>
      <t xml:space="preserve">, as shown in Section 4.1. </t>
    </r>
    <r>
      <rPr>
        <rFont val="Arial"/>
        <b/>
        <color theme="1"/>
        <sz val="10.0"/>
      </rPr>
      <t xml:space="preserve">Afterwards, we presented the initial elements (i.e., key software process factors) to 11 experts </t>
    </r>
    <r>
      <rPr>
        <rFont val="Arial"/>
        <color theme="1"/>
        <sz val="10.0"/>
      </rPr>
      <t xml:space="preserve">and, using the </t>
    </r>
    <r>
      <rPr>
        <rFont val="Arial"/>
        <b/>
        <color theme="1"/>
        <sz val="10.0"/>
      </rPr>
      <t>Delphi technique</t>
    </r>
    <r>
      <rPr>
        <rFont val="Arial"/>
        <color theme="1"/>
        <sz val="10.0"/>
      </rPr>
      <t>,39</t>
    </r>
    <r>
      <rPr>
        <rFont val="Arial"/>
        <b/>
        <color theme="1"/>
        <sz val="10.0"/>
      </rPr>
      <t xml:space="preserve"> refined the sets of elements during one-to-one discussions</t>
    </r>
    <r>
      <rPr>
        <rFont val="Arial"/>
        <color theme="1"/>
        <sz val="10.0"/>
      </rPr>
      <t xml:space="preserve"> as shown in Section 4.2. Finally, we defined the nodes’ states as shown in Section 4.2. (....)  4.1 </t>
    </r>
    <r>
      <rPr>
        <rFont val="Arial"/>
        <b/>
        <color theme="1"/>
        <sz val="10.0"/>
      </rPr>
      <t>Initial definition of the DAG</t>
    </r>
    <r>
      <rPr>
        <rFont val="Arial"/>
        <color theme="1"/>
        <sz val="10.0"/>
      </rPr>
      <t xml:space="preserve"> Because our goal was to assess the process quality, we defined the first element of F: Process quality. As presented in Perkusich et al,10 all software processes include 4 main activities: software specification, software design and implementation, software validation, and software evolution. (...) This way, we finalized the initial analysis and built the model’s first version. </t>
    </r>
    <r>
      <rPr>
        <rFont val="Arial"/>
        <b/>
        <color theme="1"/>
        <sz val="10.0"/>
      </rPr>
      <t>During this process, we identified sixty 7 variables:</t>
    </r>
    <r>
      <rPr>
        <rFont val="Arial"/>
        <color theme="1"/>
        <sz val="10.0"/>
      </rPr>
      <t xml:space="preserve"> 22, dependent; and 46, independent. 4.2 </t>
    </r>
    <r>
      <rPr>
        <rFont val="Arial"/>
        <b/>
        <color theme="1"/>
        <sz val="10.0"/>
      </rPr>
      <t xml:space="preserve">Discussions with specialists </t>
    </r>
    <r>
      <rPr>
        <rFont val="Arial"/>
        <color theme="1"/>
        <sz val="10.0"/>
      </rPr>
      <t xml:space="preserve">We consulted a group of 11 experts to evaluate the results presented in Section 4.1. The group was composed of practitioners with experience as Scrum Master, Product Owner, agile project manager, agile coach, consultants, and team leaders in companies located in Brazil, USA, Europe, and India. To reach a consensus between the practitioners, because they were spread in different locations and it was not possible to meet with all simultaneously, we applied the Delphi technique.39 The Delphi technique is a structured group communication process to conduct detailed discussion regarding a specific issue. We used an iterative process to apply the Delphi technique and aimed for reaching consensus for, at least, 7 of the experts. In the first iteration, we had one-to-one discussions with the experts. This discussion included explaining the model’s goal and the process that we used to identify the key process factors in Scrum projects and receiving their feedback. Afterwards, we consolidated the feedback of all the experts and developed, for the fragments of the DAG that had not reached a consensus, a set of possible options. In the second iteration, we sent a questionnaire containing 1 question for each fragment that had not reached a consensus asking the expert their opinion regarding the best option. At the end of the second iteration, we reached a consensus. </t>
    </r>
    <r>
      <rPr>
        <rFont val="Arial"/>
        <b/>
        <color theme="1"/>
        <sz val="10.0"/>
      </rPr>
      <t>The DAG was modified after the practitioners’ evaluation.</t>
    </r>
    <r>
      <rPr>
        <rFont val="Arial"/>
        <color theme="1"/>
        <sz val="10.0"/>
      </rPr>
      <t xml:space="preserve"> According to 8 of them, in real projects, it is common for clients to be unavailable during Sprint Retrospective meetings. Therefore, their feedback is collected in separate meetings. We show the resulting Work validation quality class diagram in Figure 19. According to 7 of the practitioners, code documentation should be considered a factor in code quality. In agile projects, scope changes frequently and having the code well documented makes changes easier to be executed. Furthermore, 9 practitioners stated that, for code inspection, static analysis tools are often used to automate this process. We present these modifications in Figure 20. </t>
    </r>
    <r>
      <rPr>
        <rFont val="Arial"/>
        <b/>
        <color theme="1"/>
        <sz val="10.0"/>
      </rPr>
      <t xml:space="preserve">After the practitioners’ evaluation, F was composed of 73 variables: 21, dependent; and 50, independent. </t>
    </r>
    <r>
      <rPr>
        <rFont val="Arial"/>
        <color theme="1"/>
        <sz val="10.0"/>
      </rPr>
      <t xml:space="preserve">We show the final class diagram in Figure 21. </t>
    </r>
    <r>
      <rPr>
        <rFont val="Arial"/>
        <b/>
        <color theme="1"/>
        <sz val="10.0"/>
      </rPr>
      <t>Furthermore, we consulted the group of experts who participated in the Delphi regarding the number of states each node should have. After the discussions, we decided to use 3 states because it is quick and simple to use. Thus, we agreed that, given our context, it would not negatively influence the capabilities of the model. Because for all nodes we use an ordinal scale, the 3 states defined were as follows:Bad, Moderate, and Good. We defined High as the state that represents the best case scenario for the given factor (i.e., node).</t>
    </r>
    <r>
      <rPr>
        <rFont val="Arial"/>
        <color theme="1"/>
        <sz val="10.0"/>
      </rPr>
      <t xml:space="preserve">"] ["5 </t>
    </r>
    <r>
      <rPr>
        <rFont val="Arial"/>
        <b/>
        <color theme="1"/>
        <sz val="10.0"/>
      </rPr>
      <t>PROCESS TO BUILD THE SECOND VERSION OF THE BAYESIAN NETWORK</t>
    </r>
    <r>
      <rPr>
        <rFont val="Arial"/>
        <color theme="1"/>
        <sz val="10.0"/>
      </rPr>
      <t xml:space="preserve"> With the purpose of solving the problems described in Section 4.3, we improved the model presented in Section 4. </t>
    </r>
    <r>
      <rPr>
        <rFont val="Arial"/>
        <b/>
        <color theme="1"/>
        <sz val="10.0"/>
      </rPr>
      <t>We started by evaluating each fragment in the Bayesian network to identify improvement opportunities.</t>
    </r>
    <r>
      <rPr>
        <rFont val="Arial"/>
        <color theme="1"/>
        <sz val="10.0"/>
      </rPr>
      <t xml:space="preserve"> Afterwards, the first step, which we present in Section 5.1, was to add essential agile practices as presented in Williams36 and refactor the DAG to reduce the complexity of defining the NPTs. The second step, which we present in Section 5.2, was to define the NPT following the method presented in Fenton et al,23 which, compared with the method of Perkusich et al38 used to build our first model, improves the modeling capabilities (i.e., uses 4 types of weighted expressions to define NPT). Finally, as presented in Section 5.3, we validated the model with simulated scenarios. 5.1 </t>
    </r>
    <r>
      <rPr>
        <rFont val="Arial"/>
        <b/>
        <color theme="1"/>
        <sz val="10.0"/>
      </rPr>
      <t>DAG revision</t>
    </r>
    <r>
      <rPr>
        <rFont val="Arial"/>
        <color theme="1"/>
        <sz val="10.0"/>
      </rPr>
      <t xml:space="preserve"> The first step was to add the factor Definition of Done, considered by Williams,36 one of the most important agile practice.(...) The second step was to modify the DAG to reduce the model complexity and improve performance. For this purpose,</t>
    </r>
    <r>
      <rPr>
        <rFont val="Arial"/>
        <b/>
        <color theme="1"/>
        <sz val="10.0"/>
      </rPr>
      <t xml:space="preserve"> we used divorcing</t>
    </r>
    <r>
      <rPr>
        <rFont val="Arial"/>
        <color theme="1"/>
        <sz val="10.0"/>
      </rPr>
      <t xml:space="preserve">, 24 which consists of applying the </t>
    </r>
    <r>
      <rPr>
        <rFont val="Arial"/>
        <b/>
        <color theme="1"/>
        <sz val="10.0"/>
      </rPr>
      <t>synthesis idiom</t>
    </r>
    <r>
      <rPr>
        <rFont val="Arial"/>
        <color theme="1"/>
        <sz val="10.0"/>
      </rPr>
      <t xml:space="preserve"> to cut down the combinatorial space. We show the modifications performed using divorcing in Figures 24 to 26. Afterwards, we removed Development team competence’s attribute Continuous improvement, because the model’s goal is to assist on continuous improvement. So we noticed after evaluating the model in real projects10 that it was confusing to input values for this factor. </t>
    </r>
    <r>
      <rPr>
        <rFont val="Arial"/>
        <b/>
        <color theme="1"/>
        <sz val="10.0"/>
      </rPr>
      <t>Finally, to improve modeling capabilities, we changed from using 3-point Likert scale to 5-point Likert scale</t>
    </r>
    <r>
      <rPr>
        <rFont val="Arial"/>
        <color theme="1"/>
        <sz val="10.0"/>
      </rPr>
      <t>."]</t>
    </r>
  </si>
  <si>
    <t>Software Testing Verification and Reliability</t>
  </si>
  <si>
    <t>Brier score</t>
  </si>
  <si>
    <r>
      <rPr>
        <rFont val="Arial"/>
        <color theme="1"/>
        <sz val="10.0"/>
      </rPr>
      <t xml:space="preserve">["5.2 NPT definition </t>
    </r>
    <r>
      <rPr>
        <rFont val="Arial"/>
        <b/>
        <color theme="1"/>
        <sz val="10.0"/>
      </rPr>
      <t>For the NPT of a ranked node to be defined, it is necessary to define 3 parameters:</t>
    </r>
    <r>
      <rPr>
        <rFont val="Arial"/>
        <color theme="1"/>
        <sz val="10.0"/>
      </rPr>
      <t xml:space="preserve"> f, V = (v1,…,vk) and 𝜎2, where f is the type of function, V is a vector containing parent node’s weights, k is the number of parent nodes, and 𝜎2 is the variance. In AgenaRisk, the tool used to execute the Bayesian network, these variables have the following range: </t>
    </r>
    <r>
      <rPr>
        <rFont val="Arial"/>
        <b/>
        <color theme="1"/>
        <sz val="10.0"/>
      </rPr>
      <t>f∈{WMEAN,WMIN,WMAX,MIXMINMAX}</t>
    </r>
    <r>
      <rPr>
        <rFont val="Arial"/>
        <color theme="1"/>
        <sz val="10.0"/>
      </rPr>
      <t xml:space="preserve">, w∈{1,…,5}, 𝜎2∈{5.0E − 4,…,∞} and k∈{1,…,∞}. With this purpose, we applied the method presented in Fenton et al,23 which consists of eliciting data from an expert through “what if” analysis and truth table.We elicited data from an expert with 5 years of experience as ScrumMaster and was already familiarized with the model presented in Perkusich et al.10 Furthermore, for each dependent node in the DAG, we defined a set of questions to elicit knowledge from the expert. Each question was defined in terms of combinations of states of the given node’s parents. The set of questions defined the number of lines of the truth table and the data elicited from the expert, the result for each line. Given that the knowledge from the expert was elicited, we defined the f, V, and 𝜎2 through reasoning and trial and error until we reached accurate inferences. Initially, we defined, for each node, 2 × i questions, where i is the number of parents. The questions were defined using extreme values, such as the combination Very low and Very high, using a 5-point Likert scale. If, for a given case, the number of questions was insufficient to define the f, V, and 𝜎2, we added questions. </t>
    </r>
    <r>
      <rPr>
        <rFont val="Arial"/>
        <b/>
        <color theme="1"/>
        <sz val="10.0"/>
      </rPr>
      <t>To assess the accuracy of the calculations (i.e., inferences), we used the Brier score</t>
    </r>
    <r>
      <rPr>
        <rFont val="Arial"/>
        <color theme="1"/>
        <sz val="10.0"/>
      </rPr>
      <t>.49 For a single prediction, which is our case, the Brier score is simply the square of the difference between the predicted probability (q) and the actual outcome (o),24 for each state: B = ∑s n=1 (on − qn) 2, where B is the Brier score and s is the number of possible outcomes (i.e., number of states of the given node). Given that we want the best possible calibration, we attempted to, given the data collected from the experts, find a combination of parameters f and V = (v1,…,vn) that minimizes B. We considered an inference to be accurate with a mean Brier score less or equal to 0.1. For brevity, in this paper, we only show the process to define 1 NPT. We created a webpage‡ to present the data collected to define all the NPTs."]</t>
    </r>
  </si>
  <si>
    <t>PS19</t>
  </si>
  <si>
    <t>S27</t>
  </si>
  <si>
    <r>
      <rPr>
        <rFont val="Arial"/>
        <color theme="1"/>
        <sz val="10.0"/>
      </rPr>
      <t xml:space="preserve">["5.3 Validation Because we had success in validating the first version of the Bayesian network, to test the new version we used the same </t>
    </r>
    <r>
      <rPr>
        <rFont val="Arial"/>
        <b/>
        <color theme="1"/>
        <sz val="10.0"/>
      </rPr>
      <t>10 simulated scenarios</t>
    </r>
    <r>
      <rPr>
        <rFont val="Arial"/>
        <color theme="1"/>
        <sz val="10.0"/>
      </rPr>
      <t xml:space="preserve"> that we used to validate the first one and compared the results. A simulated scenario is defined in terms of a scenario description, input values for the independent nodes and expected values for the highest level nodes. </t>
    </r>
    <r>
      <rPr>
        <rFont val="Arial"/>
        <b/>
        <color theme="1"/>
        <sz val="10.0"/>
      </rPr>
      <t>The simulated scenarios were defined by a ScrumMaster, which acted as an agile coach in the company that we performed the case studies for the first Bayesian network.</t>
    </r>
    <r>
      <rPr>
        <rFont val="Arial"/>
        <color theme="1"/>
        <sz val="10.0"/>
      </rPr>
      <t xml:space="preserve"> For each scenario, he defined the expected results given his experience. The expected results were, initially, defined using only words. Afterwards, for the highest level nodes, the expected calculated values (i.e., hypotheses) were defined."]</t>
    </r>
  </si>
  <si>
    <t>P49</t>
  </si>
  <si>
    <t>Fenton N,Neil M,Marsh W,Hearty P,Radliński Ł,Krause P</t>
  </si>
  <si>
    <t>S15</t>
  </si>
  <si>
    <t>On the effectiveness of early life cycle defect prediction with Bayesian nets</t>
  </si>
  <si>
    <t>P33</t>
  </si>
  <si>
    <t>Literature review, top-down approach</t>
  </si>
  <si>
    <t>Interviews, top-down approach</t>
  </si>
  <si>
    <t>Software quality modeling using metrics of early artifacts</t>
  </si>
  <si>
    <t>Confluence 2013: The Next Generation Information Technology Summit (4th International Conference)</t>
  </si>
  <si>
    <r>
      <rPr>
        <rFont val="Arial"/>
        <color theme="1"/>
        <sz val="10.0"/>
      </rPr>
      <t xml:space="preserve">["The main goal of this </t>
    </r>
    <r>
      <rPr>
        <rFont val="Arial"/>
        <b/>
        <color theme="1"/>
        <sz val="10.0"/>
      </rPr>
      <t>review is to identify the as many key factors</t>
    </r>
    <r>
      <rPr>
        <rFont val="Arial"/>
        <color theme="1"/>
        <sz val="10.0"/>
      </rPr>
      <t xml:space="preserve"> that influence the quality of theTeamwork in agile teams as possible. (...) For brevity, in this paper,</t>
    </r>
    <r>
      <rPr>
        <rFont val="Arial"/>
        <b/>
        <color theme="1"/>
        <sz val="10.0"/>
      </rPr>
      <t xml:space="preserve"> we briefly present details regarding the literature review process</t>
    </r>
    <r>
      <rPr>
        <rFont val="Arial"/>
        <color theme="1"/>
        <sz val="10.0"/>
      </rPr>
      <t xml:space="preserve">. It was based on automatic search on digital libraries, namely: ACM, IEEEXplore, Scopus, ScienceDirect and Google Scholar. We defined a search string based on the keywords agile, teamwork,team and factor,and the considered period of publication was from 2009 to 2015. To select the studies, we analyzed the title, abstract and keywords and included the ones that were in the scope of agile teamwork. Afterwards, for the remaining studies,we analyzed the entire text and selected papers that presented, at least, one factor to assess agile teamwork or identified any relationship between teamwork factors. At the end of the process, we extracted20 agile teamwork key factors from 15 studies. We present the extracted factors in Table2."]  ["In this paper, we propose a Bayesian networks-based model to assess the team work quality of agile teams. To build the model, we used the factors presented in Table 2 as a foundation."]  ["We interviewed an agile practitioner to help on the process of building the model. Since the construction process was divided, we interviewed the practitioner according to the two phases of this process: </t>
    </r>
    <r>
      <rPr>
        <rFont val="Arial"/>
        <b/>
        <color theme="1"/>
        <sz val="10.0"/>
      </rPr>
      <t>an interview to build the DAG, in which the practitioner was responsible for deriving some relationships between the factors; and other one to define the probability functions</t>
    </r>
    <r>
      <rPr>
        <rFont val="Arial"/>
        <color theme="1"/>
        <sz val="10.0"/>
      </rPr>
      <t xml:space="preserve">."]  ["We used a </t>
    </r>
    <r>
      <rPr>
        <rFont val="Arial"/>
        <b/>
        <color theme="1"/>
        <sz val="10.0"/>
      </rPr>
      <t>top-down approach to, along with the practitioner, decompose the top-level node</t>
    </r>
    <r>
      <rPr>
        <rFont val="Arial"/>
        <color theme="1"/>
        <sz val="10.0"/>
      </rPr>
      <t xml:space="preserve">, Teamwork, into factors that we judged to be observable. </t>
    </r>
    <r>
      <rPr>
        <rFont val="Arial"/>
        <b/>
        <color theme="1"/>
        <sz val="10.0"/>
      </rPr>
      <t>To decompose the nodes, we used reasoning and data extracted from the literature review</t>
    </r>
    <r>
      <rPr>
        <rFont val="Arial"/>
        <color theme="1"/>
        <sz val="10.0"/>
      </rPr>
      <t xml:space="preserve">."]  ["Therefore, we can say that if a team is cohesive and has autonomy, the TWQ is high. Given this, </t>
    </r>
    <r>
      <rPr>
        <rFont val="Arial"/>
        <b/>
        <color theme="1"/>
        <sz val="10.0"/>
      </rPr>
      <t>we decided to make Teamwork dependent on Cohesion and Team Autonomy</t>
    </r>
    <r>
      <rPr>
        <rFont val="Arial"/>
        <color theme="1"/>
        <sz val="10.0"/>
      </rPr>
      <t>."] ["</t>
    </r>
    <r>
      <rPr>
        <rFont val="Arial"/>
        <b/>
        <color theme="1"/>
        <sz val="10.0"/>
      </rPr>
      <t>For the second sub-problem (i.e., identify the elements of N), we defined that each node is composed of a 5-point Likert scale</t>
    </r>
    <r>
      <rPr>
        <rFont val="Arial"/>
        <color theme="1"/>
        <sz val="10.0"/>
      </rPr>
      <t xml:space="preserve"> (e.g., Very Low, Low, Medium, High, and Very High). Each state corresponds to the quality level of the given node (i.e.,factor). </t>
    </r>
    <r>
      <rPr>
        <rFont val="Arial"/>
        <b/>
        <color theme="1"/>
        <sz val="10.0"/>
      </rPr>
      <t>To avoid misunderstanding with the scale, for each node, we defined the expected observation for the extreme states</t>
    </r>
    <r>
      <rPr>
        <rFont val="Arial"/>
        <color theme="1"/>
        <sz val="10.0"/>
      </rPr>
      <t xml:space="preserve"> (i.e., Very Low and Very High) in Table 3."] ["This is the initial stage of the cyclic part of the procedure. After constructing the model, the next step is to define how long the cycles will last (e.g., for iterative processes, a procedure’s cycle could last one iteration), and when each stage will be executed. Then, </t>
    </r>
    <r>
      <rPr>
        <rFont val="Arial"/>
        <b/>
        <color theme="1"/>
        <sz val="10.0"/>
      </rPr>
      <t>it is necessary to evaluate the model to check if it still suits the project’s current context (i.e., DAG and probability functions</t>
    </r>
    <r>
      <rPr>
        <rFont val="Arial"/>
        <color theme="1"/>
        <sz val="10.0"/>
      </rPr>
      <t>). Since the only factors that may differ from one agile team to another are the team members distribution and the adopted agile practices, only the parent nodes of Coordination should be modified to make the model fit the team’s context."]</t>
    </r>
  </si>
  <si>
    <t>PS20</t>
  </si>
  <si>
    <t>Interviews, the Ranked Nodes method</t>
  </si>
  <si>
    <t>S28</t>
  </si>
  <si>
    <t>P52</t>
  </si>
  <si>
    <t>N Fenton, P Krause, M Neil</t>
  </si>
  <si>
    <t>Probabilistic modelling for software quality control</t>
  </si>
  <si>
    <t>Journal of Applied Non-Classical Logics</t>
  </si>
  <si>
    <r>
      <rPr>
        <rFont val="Arial"/>
        <color theme="1"/>
        <sz val="10.0"/>
      </rPr>
      <t>["</t>
    </r>
    <r>
      <rPr>
        <rFont val="Arial"/>
        <b/>
        <color theme="1"/>
        <sz val="10.0"/>
      </rPr>
      <t>We interviewed an agile practitioner</t>
    </r>
    <r>
      <rPr>
        <rFont val="Arial"/>
        <color theme="1"/>
        <sz val="10.0"/>
      </rPr>
      <t xml:space="preserve"> to help on the process of building the model. Since the construction process was divided, we interviewed the practitioner according to the two phases of this process: </t>
    </r>
    <r>
      <rPr>
        <rFont val="Arial"/>
        <b/>
        <color theme="1"/>
        <sz val="10.0"/>
      </rPr>
      <t>an interview</t>
    </r>
    <r>
      <rPr>
        <rFont val="Arial"/>
        <color theme="1"/>
        <sz val="10.0"/>
      </rPr>
      <t xml:space="preserve"> to build the DAG, in which the practitioner was responsible for deriving some relationships between the factors; </t>
    </r>
    <r>
      <rPr>
        <rFont val="Arial"/>
        <b/>
        <color theme="1"/>
        <sz val="10.0"/>
      </rPr>
      <t>and other one to define the probability functions</t>
    </r>
    <r>
      <rPr>
        <rFont val="Arial"/>
        <color theme="1"/>
        <sz val="10.0"/>
      </rPr>
      <t>."] ["</t>
    </r>
    <r>
      <rPr>
        <rFont val="Arial"/>
        <b/>
        <color theme="1"/>
        <sz val="10.0"/>
      </rPr>
      <t>To define the NPT, since we only used ranked nodes</t>
    </r>
    <r>
      <rPr>
        <rFont val="Arial"/>
        <color theme="1"/>
        <sz val="10.0"/>
      </rPr>
      <t xml:space="preserve">, we applied a modified version of the method presented in [27], </t>
    </r>
    <r>
      <rPr>
        <rFont val="Arial"/>
        <b/>
        <color theme="1"/>
        <sz val="10.0"/>
      </rPr>
      <t>which we present an overview in Section2</t>
    </r>
    <r>
      <rPr>
        <rFont val="Arial"/>
        <color theme="1"/>
        <sz val="10.0"/>
      </rPr>
      <t xml:space="preserve">. </t>
    </r>
    <r>
      <rPr>
        <rFont val="Arial"/>
        <b/>
        <color theme="1"/>
        <sz val="10.0"/>
      </rPr>
      <t>For each dependent node in the DAG, we defined a set of questions for the domain practitioner.</t>
    </r>
    <r>
      <rPr>
        <rFont val="Arial"/>
        <color theme="1"/>
        <sz val="10.0"/>
      </rPr>
      <t xml:space="preserve"> For each question, the practitioner replied with a probability for each state of the child node. </t>
    </r>
    <r>
      <rPr>
        <rFont val="Arial"/>
        <b/>
        <color theme="1"/>
        <sz val="10.0"/>
      </rPr>
      <t>Afterwards,we analyzed the data collected and calibrated the NPT of the nodes</t>
    </r>
    <r>
      <rPr>
        <rFont val="Arial"/>
        <color theme="1"/>
        <sz val="10.0"/>
      </rPr>
      <t xml:space="preserve"> (i.e.,defined σ2 and μ)."]</t>
    </r>
  </si>
  <si>
    <t>Case study (evaluation of model usefulness/usability)</t>
  </si>
  <si>
    <t>PS21</t>
  </si>
  <si>
    <t>S29</t>
  </si>
  <si>
    <t>P53</t>
  </si>
  <si>
    <t>Fenton N,Marsh W,Neil M,Cates P,Forey S,Tailor M</t>
  </si>
  <si>
    <t>Making resource decisions for software projects</t>
  </si>
  <si>
    <r>
      <rPr>
        <rFont val="Arial"/>
        <color theme="1"/>
        <sz val="10.0"/>
      </rPr>
      <t>["7.</t>
    </r>
    <r>
      <rPr>
        <rFont val="Arial"/>
        <b/>
        <color theme="1"/>
        <sz val="10.0"/>
      </rPr>
      <t>Case study</t>
    </r>
    <r>
      <rPr>
        <rFont val="Arial"/>
        <color theme="1"/>
        <sz val="10.0"/>
      </rPr>
      <t xml:space="preserve"> Case study is a research methodology suitable for studying contemporary phenomena in its natural context [53]. To evaluate the proposed procedure, we conducted a case study at Virtus9. Virtus is located at the Federal University of Campina Grande, and we chose it due to its academia-industry relations. Due to availability, we chose three agile software development teams as units of analysis. The projects in which these teams were working on are executed in partnership with multinational technology companies to develop software products. These projects are managed with Scrum10. The duration of the case study was forty-five days(i.e., three iterations). The goal of the case study is to evaluate the practical utility of the proposed solution to assist on the assessment and improvement of the TWQ of agile teams. With this purpose, we defined the following research questions: </t>
    </r>
    <r>
      <rPr>
        <rFont val="Arial"/>
        <b/>
        <color theme="1"/>
        <sz val="10.0"/>
      </rPr>
      <t>RQ1: Are the model calculated results acceptable by the subjects at Virtus?</t>
    </r>
    <r>
      <rPr>
        <rFont val="Arial"/>
        <color theme="1"/>
        <sz val="10.0"/>
      </rPr>
      <t xml:space="preserve"> RQ2:Does the model assist on the detection of opportunities for improving the TWQ of an agile team at Virtus? </t>
    </r>
    <r>
      <rPr>
        <rFont val="Arial"/>
        <b/>
        <color theme="1"/>
        <sz val="10.0"/>
      </rPr>
      <t xml:space="preserve">RQ3: Is it easy to implement and apply the procedure in Scrum based teams routine at Virtus? </t>
    </r>
    <r>
      <rPr>
        <rFont val="Arial"/>
        <color theme="1"/>
        <sz val="10.0"/>
      </rPr>
      <t xml:space="preserve">RQ4: Is the cost-benefit of applying the procedure positive at Virtus?"] ["7.1.3. </t>
    </r>
    <r>
      <rPr>
        <rFont val="Arial"/>
        <b/>
        <color theme="1"/>
        <sz val="10.0"/>
      </rPr>
      <t>Methods</t>
    </r>
    <r>
      <rPr>
        <rFont val="Arial"/>
        <color theme="1"/>
        <sz val="10.0"/>
      </rPr>
      <t xml:space="preserve"> The data collection is a necessary step to answer the research questions in a case study. According to Lethbridge et al. [54], there are three different categories of data collection methods: direct (e.g., interviews), indirect (e.g., questionnaires), and independent (e.g., documentation analysis). In this case study, we collected the data through all methods presented by Lethbridge et al. [54]. </t>
    </r>
    <r>
      <rPr>
        <rFont val="Arial"/>
        <b/>
        <color theme="1"/>
        <sz val="10.0"/>
      </rPr>
      <t>The input data for the model was collected through interviews and the performances of the teams on each sprint were calculated through documentation analysis. The research questions were answered by collecting data through questionnaires and analyzing the calculations of the model.</t>
    </r>
    <r>
      <rPr>
        <rFont val="Arial"/>
        <color theme="1"/>
        <sz val="10.0"/>
      </rPr>
      <t xml:space="preserve"> The questions to input data to the model and to answer the research questions are available on a website11. (...) </t>
    </r>
    <r>
      <rPr>
        <rFont val="Arial"/>
        <b/>
        <color theme="1"/>
        <sz val="10.0"/>
      </rPr>
      <t>To collect data to directly answer the research questions, we created a questionnaire composed of four Likert scale questions with five points, one for each research question. In addition to that, we added three open-ended questions, each one of them related to the first three research questions, in which the subjects could comment and add more information regarding their Likert scale answers. However, the open-ended question for RQ1 was asked at the end of each sprint, which allowed us to collect more information regarding the acceptance of the model calculated results</t>
    </r>
    <r>
      <rPr>
        <rFont val="Arial"/>
        <color theme="1"/>
        <sz val="10.0"/>
      </rPr>
      <t xml:space="preserve">, as well as to help on the analysis process. We analyzed the open-ended data using thematic analysis [55]. (...) Procedure Usage- After the first phase, the subjects used the procedure presented in Section 6 during three sprints, each one lasting two weeks. To feed the model, a researcher interviewed the Scrum Masters at the end of each sprint to collect the data. In these interviews, a researcher was responsible for asking the questions regarding the quality of each model’s node, </t>
    </r>
    <r>
      <rPr>
        <rFont val="Arial"/>
        <b/>
        <color theme="1"/>
        <sz val="10.0"/>
      </rPr>
      <t>as well as collecting the data for calculating the team’s performance for that sprint.</t>
    </r>
    <r>
      <rPr>
        <rFont val="Arial"/>
        <color theme="1"/>
        <sz val="10.0"/>
      </rPr>
      <t xml:space="preserve"> </t>
    </r>
    <r>
      <rPr>
        <rFont val="Arial"/>
        <b/>
        <color theme="1"/>
        <sz val="10.0"/>
      </rPr>
      <t>Then, the researcher used the AgenaRisk tool to perform the model calculations. These results, were compared with the teams’ performance, as indicator of it</t>
    </r>
    <r>
      <rPr>
        <rFont val="Arial"/>
        <color theme="1"/>
        <sz val="10.0"/>
      </rPr>
      <t xml:space="preserve"> (i.e., Section 6.4), to elaborate the corrective and preventive plan."] ["</t>
    </r>
    <r>
      <rPr>
        <rFont val="Arial"/>
        <b/>
        <color theme="1"/>
        <sz val="10.0"/>
      </rPr>
      <t>In regards to RQ3</t>
    </r>
    <r>
      <rPr>
        <rFont val="Arial"/>
        <color theme="1"/>
        <sz val="10.0"/>
      </rPr>
      <t xml:space="preserve">, the subjects agree that the procedure </t>
    </r>
    <r>
      <rPr>
        <rFont val="Arial"/>
        <b/>
        <color theme="1"/>
        <sz val="10.0"/>
      </rPr>
      <t>adoption and usage is simple and beneficial, as answered in the Likert scale questions.</t>
    </r>
    <r>
      <rPr>
        <rFont val="Arial"/>
        <color theme="1"/>
        <sz val="10.0"/>
      </rPr>
      <t xml:space="preserve"> In addition to that, the average time they took to input data to the model indicates that this process is simple, and </t>
    </r>
    <r>
      <rPr>
        <rFont val="Arial"/>
        <b/>
        <color theme="1"/>
        <sz val="10.0"/>
      </rPr>
      <t>the model structure is well defined.</t>
    </r>
    <r>
      <rPr>
        <rFont val="Arial"/>
        <color theme="1"/>
        <sz val="10.0"/>
      </rPr>
      <t xml:space="preserve"> </t>
    </r>
    <r>
      <rPr>
        <rFont val="Arial"/>
        <b/>
        <color theme="1"/>
        <sz val="10.0"/>
      </rPr>
      <t>However, as stated by them, the only problem on applying the procedure was the fact that the model calculations could only be performed on the computer of one of the researchers. According to them, if they had access to the tool, it would be much easier and better to apply the procedure. Based on these answers, we concluded that it is easy to implement and apply the procedure in Scrum-based teams routine at Virtus.</t>
    </r>
    <r>
      <rPr>
        <rFont val="Arial"/>
        <color theme="1"/>
        <sz val="10.0"/>
      </rPr>
      <t>"] ["</t>
    </r>
    <r>
      <rPr>
        <rFont val="Arial"/>
        <b/>
        <color theme="1"/>
        <sz val="10.0"/>
      </rPr>
      <t>Therefore, given that all facts, model calculated results, and teams’ performances, on each one of the sprints, are consistent with each other, it is possible to answer that the model measurements of the TWQ are acceptable, given the case study context. Moreover, the subjects agreed with the model calculated results, given that they matched their thoughts about the teams’ TWQ."</t>
    </r>
    <r>
      <rPr>
        <rFont val="Arial"/>
        <color theme="1"/>
        <sz val="10.0"/>
      </rPr>
      <t xml:space="preserve">] ["To evaluate both model and procedure, we performed a case study in three Scrum-based software development teams, during three sprints. According to our results, in the context of the case study, the model assists agile teams on assessing teamwork quality and identifying improvement opportunities, and the cost-benefit for using with the proposed procedure is positive. Moreover, the subjects of the case study reported they found easy to implement and apply the procedure on their teams’ routines. </t>
    </r>
    <r>
      <rPr>
        <rFont val="Arial"/>
        <b/>
        <color theme="1"/>
        <sz val="10.0"/>
      </rPr>
      <t>Even though the relationships between the nodes of the model are not empirically validated, we believe that we have achieved promising results regarding the model, based on the discussion about RQ1, presented in Section 7.3."</t>
    </r>
    <r>
      <rPr>
        <rFont val="Arial"/>
        <color theme="1"/>
        <sz val="10.0"/>
      </rPr>
      <t>]</t>
    </r>
  </si>
  <si>
    <t>["To solve the first sub-problem of defining the DAG, we researched the literature to identify the initial elements of F and R. Afterwards, we presented the initial set of TWQ key factors to experts and refined it during one-to-one discussions. The experts that participated on these discussions have experience working as ScrumMaster and Agile Project Manager."] ["We used an incremental procedure to identify the elements of F and R. We identified high-level key factors on software development projects using Scrum and broke them down until we found independent variables that represented key factors that could be observed by a practitioner. As follows, we present details regarding the identification of elements of F and R. "] ["As a starting point to define F and R, we used the six factors described in [12]. We chose these factors because they are easier to decompose into observable factors (i.e., metrics). We present the initial DAG in Figure 2. Afterwards, we researched the literature, interviewed experts, and applied insights to modify the DAG structure in order to achieve a model for agile teams. In Figure 2, as well as in Figure 3 and Figure 4, the nodes surrounded by a rectangle are subnetworks, which are presented, for simplicity, separated from the main network. To simplify the model, it is possible to add other factors and relationships by generalizing two or more factors in one. Since the agile manifesto states that team members must be collaborative, we decided to add the collaboration node in the DAG, and define it as the combination between communication, balance of member contributions and mutual support. Moreover, coordination and effort became inputs for the a new node: task management node. In addition, cohesion became dependent on team attributes, which is related to the different types of personalities in a team [26] and their motivation to maintain the team. The resulting DAG is shown in Figure 3."]</t>
  </si>
  <si>
    <t>PS22</t>
  </si>
  <si>
    <t>S31</t>
  </si>
  <si>
    <t>P57</t>
  </si>
  <si>
    <t>P. Hearty, N. Fenton, D. Marquez, and M. Neil</t>
  </si>
  <si>
    <t>Predicting project velocity in xp using a learning dynamic bayesian network model</t>
  </si>
  <si>
    <r>
      <rPr>
        <rFont val="Arial"/>
        <color theme="1"/>
        <sz val="10.0"/>
      </rPr>
      <t xml:space="preserve">["4.1 Identification and Ranking of Measures </t>
    </r>
    <r>
      <rPr>
        <rFont val="Arial"/>
        <b/>
        <color theme="1"/>
        <sz val="10.0"/>
      </rPr>
      <t xml:space="preserve">Identification of software reliability measures is based on recommendations of the technical report NUREG-GR0019 [1] which suggests around 40 measures, which are useful for predicting reliability. </t>
    </r>
    <r>
      <rPr>
        <rFont val="Arial"/>
        <color theme="1"/>
        <sz val="10.0"/>
      </rPr>
      <t xml:space="preserve">Based on the recommendations of the NUREG-0019 [1] report, a few measures were added and a few were removed judiciously. A total of 48 software engineering measures were identified. </t>
    </r>
    <r>
      <rPr>
        <rFont val="Arial"/>
        <b/>
        <color theme="1"/>
        <sz val="10.0"/>
      </rPr>
      <t>To rank the measures, the opinions were collected from experts based on five criteria like software requirement safety, quality of development process, quality of V&amp;V process, complexity and prior estimate of reliability. Later, these opinions were aggregated using fuzzy multilevel criteria methodology and [5] ranked these software engineering measures for each of the criteria.</t>
    </r>
    <r>
      <rPr>
        <rFont val="Arial"/>
        <color theme="1"/>
        <sz val="10.0"/>
      </rPr>
      <t xml:space="preserve"> 4.2 Construction of the BBN Model The various steps required to construct the BBN model for implementation phase of software development life cycle (SDLC) are shown in Fig. 1. The criteria that would be applicable for Implementation phase of SDLC are software requirement safety, quality of development process, and complexity. The top five ranked measures in each of the criteria applicable for implementation phase of SDLC as listed in Table 1 are selected to construct BBN. Software measures will act as observable nodes and the criteria will act as non-observable node. </t>
    </r>
    <r>
      <rPr>
        <rFont val="Arial"/>
        <b/>
        <color theme="1"/>
        <sz val="10.0"/>
      </rPr>
      <t>The node can be discrete or continuous depending on the nature of value of the metrics. The state of the nodes is determined based on the expert knowledge. For instance, the state of node “software capability maturity model” would be L5, L4, L3, L2, and L1. The states of the rest of nodes can be referred from Fig. 2</t>
    </r>
    <r>
      <rPr>
        <rFont val="Arial"/>
        <color theme="1"/>
        <sz val="10.0"/>
      </rPr>
      <t>. Using a similar approach, the entire BBN model is constructed based on the casual relationship between the nodes."]</t>
    </r>
  </si>
  <si>
    <t>PS23</t>
  </si>
  <si>
    <t>["The next crucial step is to input the probability distribution in conditional probability tables of the observable nodes and non-observable nodes. They provide a probability for each state of the node, given the condition specified by the row (i.e., each parent node having some value), so the probabilities of each row must sum to one. These conditional probability distributions are otherwise called as prior knowledge."]</t>
  </si>
  <si>
    <t>S33</t>
  </si>
  <si>
    <t>Proof of concept</t>
  </si>
  <si>
    <t>P61</t>
  </si>
  <si>
    <t>Radliński, Ł.</t>
  </si>
  <si>
    <t>["6 Results The BN model in Fig. 2 represents the Bayesian model developed for implementation phase of SDLC based on the proposed methodology. The reliability prediction for a sample case/findings/evidences is shown in Fig. 3 for the implementation phase of SDLC. The details of the case/findings/evidence are given in Table 1. It can be noticed that the findings in terms of software metrics is entered to the model, the model evaluates the probabilistic inference, and the reliability is predicted. With the sample case data, the reliability for implementation phase is predicted as greater than 0.9999 with confidence of 97.6 %."] ["6.1 Model Evaluation The model would require extensive testing to validate their suitability for predicting software reliability. Validation of model with single test data may not be sufficient, but it could give confidence that the models are not invalid. Evaluation of model would require a large amount of operational reliability data against which the model results can be compared."]</t>
  </si>
  <si>
    <t>A framework for integrated software quality prediction using bayesian nets</t>
  </si>
  <si>
    <t>Computational Science and Its Applications-ICCSA 2011: International Conference</t>
  </si>
  <si>
    <t>Literature review, GQM paradigm</t>
  </si>
  <si>
    <t>GQM paradigm</t>
  </si>
  <si>
    <t>PS24</t>
  </si>
  <si>
    <t>S35</t>
  </si>
  <si>
    <r>
      <rPr>
        <rFont val="Arial"/>
        <color theme="1"/>
        <sz val="10.0"/>
      </rPr>
      <t>["</t>
    </r>
    <r>
      <rPr>
        <rFont val="Arial"/>
        <b/>
        <color theme="1"/>
        <sz val="10.0"/>
      </rPr>
      <t>We defined the models artifacts and metrics based on findings of a literature review and the assistance of an expert</t>
    </r>
    <r>
      <rPr>
        <rFont val="Arial"/>
        <color theme="1"/>
        <sz val="10.0"/>
      </rPr>
      <t xml:space="preserve">. For each models artifact, </t>
    </r>
    <r>
      <rPr>
        <rFont val="Arial"/>
        <b/>
        <color theme="1"/>
        <sz val="10.0"/>
      </rPr>
      <t>we applied the Goal-Question-Metric paradigm to define the metrics.</t>
    </r>
    <r>
      <rPr>
        <rFont val="Arial"/>
        <color theme="1"/>
        <sz val="10.0"/>
      </rPr>
      <t>"] ["</t>
    </r>
    <r>
      <rPr>
        <rFont val="Arial"/>
        <b/>
        <color theme="1"/>
        <sz val="10.0"/>
      </rPr>
      <t xml:space="preserve">To build the generic model, we used the artifacts presented in Kuhrmann [16] </t>
    </r>
    <r>
      <rPr>
        <rFont val="Arial"/>
        <color theme="1"/>
        <sz val="10.0"/>
      </rPr>
      <t xml:space="preserve">and elicited knowledge from an expert."] ["The first step for constructing the model is to define the goals of its measuring. We used the Agile Manifesto [3] to define the measuring goals. In addition to that, we tried to categorized the principles of the Agile Manifest based on projects restrictions: scope, quality, schedule, and cost."] ["Afterwards, the artifacts were defined. As scope artifacts, we considered the ProductBacklog, the ProductIncrement, and theTestsReport. Since the model is limited to the project level and a product can be delivered through more than one project (i.e., releases), we also decided to use the ReleaseBacklog, which is a subset of the Product Backlog. As schedule artifact, we only considered the ReleaseBurndown. For each artifact, the GQM template was applied to describe its the measuring goal."] ["3 </t>
    </r>
    <r>
      <rPr>
        <rFont val="Arial"/>
        <b/>
        <color theme="1"/>
        <sz val="10.0"/>
      </rPr>
      <t>The Method</t>
    </r>
    <r>
      <rPr>
        <rFont val="Arial"/>
        <color theme="1"/>
        <sz val="10.0"/>
      </rPr>
      <t xml:space="preserve"> The goal of the method is to assist on the construction of a Bayesian Network-model based on artifacts and metrics to assess the health of agile projects, which consists of their status given their goals. This method consists of five sequential steps: (i) measurement goals definition; (ii) artifacts definition; </t>
    </r>
    <r>
      <rPr>
        <rFont val="Arial"/>
        <b/>
        <color theme="1"/>
        <sz val="10.0"/>
      </rPr>
      <t>(iii) metrics definition; (iv) Bayesian Network construction; and (v) validation.</t>
    </r>
    <r>
      <rPr>
        <rFont val="Arial"/>
        <color theme="1"/>
        <sz val="10.0"/>
      </rPr>
      <t xml:space="preserve"> Despite being sequential, there are feedback loops between the steps. In step (i), the measuring goals are defined according to the needs. In general, they are related to a project restriction, such as schedule, budget or scope. (...)</t>
    </r>
    <r>
      <rPr>
        <rFont val="Arial"/>
        <b/>
        <color theme="1"/>
        <sz val="10.0"/>
      </rPr>
      <t>To execute step (iii), it is necessary to apply the GQM paradigm</t>
    </r>
    <r>
      <rPr>
        <rFont val="Arial"/>
        <color theme="1"/>
        <sz val="10.0"/>
      </rPr>
      <t xml:space="preserve">. Since an artifact may be associated to more than one measurement goal, it is possible to have more than one instance for a given artifact. For each instance, according to its measurement goal, it is necessary to define the goal (i.e., level G), a set of questions (i.e., level Q) for this goal, and metrics (i.e., level M) to be collected in order to measure if the goal associated to the artifact is reached. </t>
    </r>
    <r>
      <rPr>
        <rFont val="Arial"/>
        <b/>
        <color theme="1"/>
        <sz val="10.0"/>
      </rPr>
      <t>In step (iv), the meta-model constructed in step (iii) is transformed in a Bayesian Network. To define the DAG (Directed Acyclic Graph), it is necessary to define a node for each artifact. Afterwards, these nodes need to be decomposed until the metrics associated to them are reached. This can be done by following some steps:</t>
    </r>
    <r>
      <rPr>
        <rFont val="Arial"/>
        <color theme="1"/>
        <sz val="10.0"/>
      </rPr>
      <t xml:space="preserve"> 1. For each managing area, define a node; 2. For each goal, define a node and connect it to one or more management areas; 3. For each relationship, an edge is added, in which the edge’s endpoint points to the management area; 4. For each artifact, a node is defined and, then, connected to one or more goals; 5. For each relationship, an edge is added, in which the edge’s endpoint points to the goal; 6. For each question, define a node and connect it to an artifact. For each relationship, an edge is added, in which the edge’s endpoint points to the artifact; 7. For each metric, define a node and connects it to one or more questions; 8. For each metric, an edge is added, in which the edge’s endpoint points to the question. After transforming the GQM meta-model into the DAG, it is necessary to define the probability functions by performing ”what if” analysis."] ["For each question, we derived one metric: item detail level, estimation conformity, and dynamics of the estimation. </t>
    </r>
    <r>
      <rPr>
        <rFont val="Arial"/>
        <b/>
        <color theme="1"/>
        <sz val="10.0"/>
      </rPr>
      <t>Since these metrics are all subjective, we decided to represent them in 5-point Likert scale. To collect them, it is necessary to answer, respectively, the following questions: ”Do you agree that the next iteration’s items satisfy the INVEST criteria [6]?”</t>
    </r>
    <r>
      <rPr>
        <rFont val="Arial"/>
        <color theme="1"/>
        <sz val="10.0"/>
      </rPr>
      <t xml:space="preserve">; ”Are the next iteration’s items small enough so they be done in one iteration?”; and ”Does the backlog evolve (i.e., new items added, existing items ref ined, deleted or reordered) continuously according to the product feedback and changes in the business scenario?” Since the space is limited, we will only present the assessment method for the metric item detail level. Each item allocated for the next iteration needs to be assessed according to the INVEST criteria. This criteria assess six factors: (i) independence, (ii) negotiability, (iii) value, (iv) if it is estimable (v) size, and (iv) testability. It i’s ideal that all items are independent; their scope had been already discussed between the development team and the client; they have business value; the developers have enough knowledge to estimate them; and they’re small enough so they can be done in one iteration, as well as tested considering nonfunctional requirements (e.g., performance, usability, and security). </t>
    </r>
    <r>
      <rPr>
        <rFont val="Arial"/>
        <b/>
        <color theme="1"/>
        <sz val="10.0"/>
      </rPr>
      <t>For this purpose, it is necessary to assess each backlog item according to these criteria in a 5-point scale (i.e., ”1” for Very Low, and ”5” for Very High).</t>
    </r>
    <r>
      <rPr>
        <rFont val="Arial"/>
        <color theme="1"/>
        <sz val="10.0"/>
      </rPr>
      <t xml:space="preserve"> Afterwards, the results need to be aggregated and mapped into the item detail level metric. For doing so, we used the WMIN function."]</t>
    </r>
  </si>
  <si>
    <t>P63</t>
  </si>
  <si>
    <t>Survey with practitioners, the Ranked Nodes method</t>
  </si>
  <si>
    <t>Pai G,Bechta-Dugan J,Lateef K</t>
  </si>
  <si>
    <t>Bayesian networks applied to software IV&amp;V</t>
  </si>
  <si>
    <t>Annual IEEE/NASA Software Engineering Workshop</t>
  </si>
  <si>
    <r>
      <rPr>
        <rFont val="Arial"/>
        <color theme="1"/>
        <sz val="10.0"/>
      </rPr>
      <t xml:space="preserve">["Since the space is limited, we will only present the assessment method for the metric item detail level. Each item allocated for the next iteration needs to be assessed according to the INVEST criteria. This criteria assess six factors: (i) independence, (ii) negotiability, (iii) value, (iv) if it is estimable (v) size, and (iv) testability. It i’s ideal that all items are independent; their scope had been already discussed between the development team and the client; they have business value; the developers have enough knowledge to estimate them; and they’re small enough so they can be done in one iteration, as well as tested considering nonfunctional requirements (e.g., performance, usability, and security). For this purpose, it is necessary to assess each backlog item according to these criteria in a 5-point scale (i.e., ”1” for Very Low, and ”5” for Very High). </t>
    </r>
    <r>
      <rPr>
        <rFont val="Arial"/>
        <b/>
        <color theme="1"/>
        <sz val="10.0"/>
      </rPr>
      <t>Afterwards, the results need to be aggregated and mapped into the item detail level metric. For doing so, we used the WMIN function</t>
    </r>
    <r>
      <rPr>
        <rFont val="Arial"/>
        <color theme="1"/>
        <sz val="10.0"/>
      </rPr>
      <t xml:space="preserve">.(...) To calibrate the probability functions, we used the knowledge of one expert, which has over five years of experience as an agile project manager. </t>
    </r>
    <r>
      <rPr>
        <rFont val="Arial"/>
        <b/>
        <color theme="1"/>
        <sz val="10.0"/>
      </rPr>
      <t>For each child-node, we defined a questionnaire composed by a set of combinations of its parent nodes. Due to space limitations, we limit ourselves to state that, to generate the probability functions, we applied the approach proposed by Laitila [17]</t>
    </r>
    <r>
      <rPr>
        <rFont val="Arial"/>
        <color theme="1"/>
        <sz val="10.0"/>
      </rPr>
      <t xml:space="preserve">."] </t>
    </r>
  </si>
  <si>
    <r>
      <rPr>
        <rFont val="Arial"/>
        <color theme="1"/>
        <sz val="10.0"/>
      </rPr>
      <t>["We validated the model and the procedure in ten</t>
    </r>
    <r>
      <rPr>
        <rFont val="Arial"/>
        <b/>
        <color theme="1"/>
        <sz val="10.0"/>
      </rPr>
      <t xml:space="preserve"> simulated scenarios</t>
    </r>
    <r>
      <rPr>
        <rFont val="Arial"/>
        <color theme="1"/>
        <sz val="10.0"/>
      </rPr>
      <t>, defined according to the expert availability. To due space limitations, we only present the results of one scenario. This scenario (i) describes an experienced and efficient development team, in which the manager is ineffective and absent. For each scenario, according to their contexts, the values for the input nodes (i.e., nodes with no parents) were def ined by the specialist. Furthermore, for the nodes related to the goals and artifacts, the specialist defined the expected values."]</t>
    </r>
  </si>
  <si>
    <t>Literature review, interviews</t>
  </si>
  <si>
    <t>PS25</t>
  </si>
  <si>
    <t>Interviews</t>
  </si>
  <si>
    <t>S36</t>
  </si>
  <si>
    <t>P64</t>
  </si>
  <si>
    <t>Donohue SK,Dugan JB</t>
  </si>
  <si>
    <t>Is my software good enough to release? - A probabilistic assessment methodology</t>
  </si>
  <si>
    <r>
      <rPr>
        <rFont val="Arial"/>
        <color rgb="FF000000"/>
        <sz val="10.0"/>
      </rPr>
      <t xml:space="preserve">["3.1 Bayesian network Requisites BNs are very useful in SE, since the representation of causal relationships among variables is meaningful to software practitioners (Harman 2012; Misirli and Bener 2014). A specific case of this AI technique in requirements workflow is the Bayesian network Requisites (del Sagrado and del Aguila ´ 2010). This was built through interactions with experts and using several information sources. "] ["In order to build Requisites, the general BN construction process (Korb and Nicholson 2010) was applied </t>
    </r>
    <r>
      <rPr>
        <rFont val="Arial"/>
        <b/>
        <color rgb="FF000000"/>
        <sz val="10.0"/>
      </rPr>
      <t>manually, assisted by two software engineers in an interview-evaluation cycle (for more details, see (del Sagrado and del Aguila ´ 2010)</t>
    </r>
    <r>
      <rPr>
        <rFont val="Arial"/>
        <color rgb="FF000000"/>
        <sz val="10.0"/>
      </rPr>
      <t xml:space="preserve">). The steps followed were: 1. </t>
    </r>
    <r>
      <rPr>
        <rFont val="Arial"/>
        <b/>
        <color rgb="FF000000"/>
        <sz val="10.0"/>
      </rPr>
      <t>Structure elicitation</t>
    </r>
    <r>
      <rPr>
        <rFont val="Arial"/>
        <color rgb="FF000000"/>
        <sz val="10.0"/>
      </rPr>
      <t>. The network topology has to capture the relationships between variables (i.e., two variables should be connected by an arc if one affects the other). In general, any independence suggested by a lack of an arc should correspond to real independence in the knowledge domain. Table 1 shows the variables identified by the experts and the structure of Requisites (see Fig. 1) reflects the dependencies identified by experts in order to assess the goodness of the SRS. 2. Parameter elicitation. Once the DAG structure had been set up, experts defined the strength of the relationships between variables by specifying the conditional probabilities in the network. 3. Validation and testing. This step checks if the model meets the criteria for use (see Section 3.2). Once Requisites was built, it could be used to determine whether the requirements specification should, or should not, be revised. The values of the known variables are considered as evidence and are taken as the BN inputs in order to carry out the inference process. Specifically, variable elimination (Jensen 2007), a simple and general exact inference algorithm, is used for inferring the maximum a posteriori state of the unknown variables subset. As a result of this process, the marginal probability distribution of the variable’s ‘degree of revision’ is also obtained and, consequently, the value assigned to the ‘degree of revision’ is that which achieves the maximum probability. It is worth noting some of the relationships between variables. If the ‘degree of commitment’ (i.e., the number of requirements that have to be agreed) increases, then the level of ‘specificity’ will drop. If stakeholders have little ‘experience’ in RE processes, one is more likely to get ‘unclear’ requirements in terms of cost/benefits. The ‘requirement completeness’ and the ‘homogeneity of the description’ are influenced by the ‘experience of the software engineers’ in the project domain and by the ‘stakeholders’ expertise’ in the RE processes or tasks. If experience is high, the specification will be ‘complete and homogeneous’ because developers have been able to describe the requirements with the same level of detail and all requirements have been discovered. Finally, ‘requirement variability’ represents the number of requirements that have been changed. A change will likely occur if ‘unexpected" dependencies’ are discovered or if there are requirements that do not add any value to the software; or if there are missing requirements; or if requirements have to be negotiated. There are free software packages available to build and use Bayesian networks. In our work, we used Elvira (Elvira Consortium 2002), a package that allows the implementation of a BN model using Java classes to support the model itself and the inference processes. That is to say, through Elvira’s application programming interface (API), we gain access to model specification facilities and to the variable elimination inference algorithm. However, from a practical point of view, the integration of a built network within a specific software application is not trivial, because it is necessary to define the communication paths between both components by matching variables and results.] ["Requisites have been defined using</t>
    </r>
    <r>
      <rPr>
        <rFont val="Arial"/>
        <b/>
        <color rgb="FF000000"/>
        <sz val="10.0"/>
      </rPr>
      <t xml:space="preserve"> several information sources, such as standards and reports</t>
    </r>
    <r>
      <rPr>
        <rFont val="Arial"/>
        <color rgb="FF000000"/>
        <sz val="10.0"/>
      </rPr>
      <t xml:space="preserve">, and through interaction with experts, in order to structure and quantify the final model."] </t>
    </r>
    <r>
      <rPr>
        <rFont val="Arial"/>
        <b/>
        <color rgb="FF000000"/>
        <sz val="10.0"/>
      </rPr>
      <t>The authors describe variables and their respective values/states:</t>
    </r>
    <r>
      <rPr>
        <rFont val="Arial"/>
        <color rgb="FF000000"/>
        <sz val="10.0"/>
      </rPr>
      <t xml:space="preserve"> ["Stakeholders expertise: Represents the degree of familiarity that stakeholders have in respect to RE processes. </t>
    </r>
    <r>
      <rPr>
        <rFont val="Arial"/>
        <b/>
        <color rgb="FF000000"/>
        <sz val="10.0"/>
      </rPr>
      <t>(High: stakeholders have already collaborated in several projects using RE techniques. Medium: stakeholders have collaborated in few projects using RE techniques. Low: stakeholders are not familiar with RE approaches)</t>
    </r>
    <r>
      <rPr>
        <rFont val="Arial"/>
        <color rgb="FF000000"/>
        <sz val="10.0"/>
      </rPr>
      <t>."]</t>
    </r>
  </si>
  <si>
    <t>Expert elicitation</t>
  </si>
  <si>
    <t>PS26</t>
  </si>
  <si>
    <t>S37</t>
  </si>
  <si>
    <t>P65</t>
  </si>
  <si>
    <r>
      <rPr>
        <rFont val="Arial"/>
        <color theme="1"/>
        <sz val="10.0"/>
      </rPr>
      <t xml:space="preserve">["Parameter elicitation. Once the DAG structure had been set up, </t>
    </r>
    <r>
      <rPr>
        <rFont val="Arial"/>
        <b/>
        <color theme="1"/>
        <sz val="10.0"/>
      </rPr>
      <t>experts defined the strength of the relationships between variables by specifying the conditional probabilities in the network</t>
    </r>
    <r>
      <rPr>
        <rFont val="Arial"/>
        <color theme="1"/>
        <sz val="10.0"/>
      </rPr>
      <t>."]</t>
    </r>
  </si>
  <si>
    <t>Wu YP,Hu QP,Poh KL,Ng SH,Xie M</t>
  </si>
  <si>
    <t>Bayesian networks modeling for software inspection effectiveness</t>
  </si>
  <si>
    <t>PRDC</t>
  </si>
  <si>
    <t>PS27</t>
  </si>
  <si>
    <t>S38</t>
  </si>
  <si>
    <t>P66</t>
  </si>
  <si>
    <t>Pendharkar PC,Subramanian GH,Rodger JA</t>
  </si>
  <si>
    <t>A probabilistic model for predicting software development effort</t>
  </si>
  <si>
    <r>
      <rPr>
        <rFont val="Arial"/>
        <color theme="1"/>
        <sz val="10.0"/>
      </rPr>
      <t>["</t>
    </r>
    <r>
      <rPr>
        <rFont val="Arial"/>
        <b/>
        <color theme="1"/>
        <sz val="10.0"/>
      </rPr>
      <t>3.2 Testing Requisites validity</t>
    </r>
    <r>
      <rPr>
        <rFont val="Arial"/>
        <color theme="1"/>
        <sz val="10.0"/>
      </rPr>
      <t xml:space="preserve"> Requisites makes a prediction indicating whether a requirements specification can be considered as the next baseline or whether it needs further revision. The inference process uses the evidence established by the metrics, worked out from the current SRS version, which is usually stored in the CARE tool database; this calculates the marginal probability distribution of the ‘degree of revision’ variable. The aim of this subsection is to test the suitability of the BN model for doing the job it is designed for and also to understand how the network can be used in a real project to perform inference processes. </t>
    </r>
    <r>
      <rPr>
        <rFont val="Arial"/>
        <b/>
        <color theme="1"/>
        <sz val="10.0"/>
      </rPr>
      <t>A real-world large-scale dataset was adopted to evaluate the Requisites approach</t>
    </r>
    <r>
      <rPr>
        <rFont val="Arial"/>
        <color theme="1"/>
        <sz val="10.0"/>
      </rPr>
      <t xml:space="preserve">. RALIC is the acronym for replacement access, library and ID cards. This was a largescale software project to replace the existing access control system at University College, London and to consolidate the new system with library access and borrowing (Lim and Finkelstein 2012). The RALIC objectives include replacing existing access card readers, printing reliable access cards, managing cardholders’ information, providing access control, and automating the provision and suspension of access and library borrowing rights. The stakeholders involved in the project had different and sometimes conflicting requirements. The project duration was two and a half years, and the system has already been deployed at University College, London. </t>
    </r>
    <r>
      <rPr>
        <rFont val="Arial"/>
        <b/>
        <color theme="1"/>
        <sz val="10.0"/>
      </rPr>
      <t>By measuring this dataset, we obtain the evidence values and the metrics are inserted into the BN to analyze inference through the probabilistic model</t>
    </r>
    <r>
      <rPr>
        <rFont val="Arial"/>
        <color theme="1"/>
        <sz val="10.0"/>
      </rPr>
      <t xml:space="preserve">."] ["Subsequently, we need to study the behavior of the BN when the data extracted from the RALIC dataset are incorporated into the model (see the gray highlighted nodes shown in Fig. 6). The a priori probabilities are shown in Fig. 1. If the value of the variable ‘homogeneity of the description’ is set to ‘yes,’ the probability of the value ‘no’ to the degree of revision will rise to 0.54; that is, the more homogeneous the overall description of the requirements, the less revision is needed. This trend is reinforced when the evidence value for ‘specificity’ was included, the ‘degree of revision’ becomes 0.45, 0.55 for ‘yes’ and ‘no,’ respectively. Nevertheless, because the ‘expertise for stakeholders’ had a ‘low’ value, the final prediction shown in Fig. 6 is to review the SRS. The final values become 0.52 for ‘yes’ and 0.48 for ‘no.’"] ["Consequently, after setting the ‘degree of revision,’ </t>
    </r>
    <r>
      <rPr>
        <rFont val="Arial"/>
        <b/>
        <color theme="1"/>
        <sz val="10.0"/>
      </rPr>
      <t>the developer can compare the values of the variables obtained by BN propagation, with the values obtained by direct measurement in the CARE tool</t>
    </r>
    <r>
      <rPr>
        <rFont val="Arial"/>
        <color theme="1"/>
        <sz val="10.0"/>
      </rPr>
      <t xml:space="preserve">. </t>
    </r>
    <r>
      <rPr>
        <rFont val="Arial"/>
        <b/>
        <color theme="1"/>
        <sz val="10.0"/>
      </rPr>
      <t>Based on this comparison, the developer will take corrective actions. Moreover, the exploratory mode allows the engineer to focus on a single variable</t>
    </r>
    <r>
      <rPr>
        <rFont val="Arial"/>
        <color theme="1"/>
        <sz val="10.0"/>
      </rPr>
      <t>."] ["</t>
    </r>
    <r>
      <rPr>
        <rFont val="Arial"/>
        <b/>
        <color theme="1"/>
        <sz val="10.0"/>
      </rPr>
      <t>4.3. A use case</t>
    </r>
    <r>
      <rPr>
        <rFont val="Arial"/>
        <color theme="1"/>
        <sz val="10.0"/>
      </rPr>
      <t xml:space="preserve"> The exploratory mode is indicated when requirements engineers are interested in guessing which topics can be enhanced to improve the SRS. </t>
    </r>
    <r>
      <rPr>
        <rFont val="Arial"/>
        <b/>
        <color theme="1"/>
        <sz val="10.0"/>
      </rPr>
      <t xml:space="preserve">Consider a situation where the engineer wants to investigate ‘requirements completeness.’ In this mode, the engineer chooses this variable as the target. Automatically, the list of variables that shield it from the influence of the rest of the variables in the network is displayed in the column Relevant variables (see Fig. 11). The evidence values for each of these can be selected by means of a drop-down list of values. Finally, the a posteriori ‘degree of revision’ probability, the target variable and all the variables in the column Relevant variables that have not received evidence are obtained by clicking on the Propagate to the network option. For the case depicted in Fig. 11, the probability value of 0.661, associated to the ‘degree of revision’ variable, indicates that the current SRS has not to be reviewed; the value 0.458 for the ‘requirement completeness’ variable tells the engineer that a large number of the significant requirements have been elicited and shows that the ‘domain of expertise’ is high (reaching a probability value of 0.583). </t>
    </r>
    <r>
      <rPr>
        <rFont val="Arial"/>
        <color theme="1"/>
        <sz val="10.0"/>
      </rPr>
      <t>These two modes complement each other. The analytic mode allows one to find out the aspects of the project which the developer should focus on to improve the requirements specification and to afford the next phases of software development a greater chance of success. Consequently, after setting the ‘degree of revision,’ the developer can compare the values of the variables obtained by BN propagation, with the values obtained by direct measurement in the CARE tool. Based on this comparison, the developer will take corrective actions. Moreover, the exploratory mode allows the engineer to focus on a single variable. In this way, the improvements to be made in project management can be focused on actions that directly affect the set of measurements that influence this variable in order to keep it at a specific quality level. At the end of a DDV cycle, engineers can use the analytic mode to assess whether the SRS is sufficiently accurate to not need further revision. If a Requisites suggests the need for revision, the team should apply the exploratory mode to guess which SRS concerns (represented by the variables in the BN) might be candidates for enhancement in order to improve SRS stability. This enhancement usually involves carrying out another DDV cycle (see Fig. 9)."]</t>
    </r>
  </si>
  <si>
    <t>PS28</t>
  </si>
  <si>
    <t>S40</t>
  </si>
  <si>
    <t>P68</t>
  </si>
  <si>
    <t>Stamelos I,Angelis L,Dimou P,Sakellaris E</t>
  </si>
  <si>
    <t>On the use of Bayesian belief networks for the prediction of software productivity</t>
  </si>
  <si>
    <t>["This step focuses on gathering the criteria specific for soft- ware effort estimation from the existing literature ( Abouelela and Benedicenti, 2010; Hearty et al., 2009; Mendes et al., 2012; Misirli and Bener, 2014; Nagy et al., 2010; Perkusich et al., 2013; Radlinski, 2010; Torkar et al., 2010; Usman et al., 2014 ). "] ["The elements of set V (BN nodes) are selected by applying a Goal Question Metric (GQM) approach to the collected criteria ( Basili et al., 1994; Differding et al., 1996 ). The GQM plan consists of a goal and a set of questions and measures."] ["The GQM approach used for the definition of the elements of set V is also used for the definition of set E . The causal relationships between the nodes are built based on variables and measures selected by using GQM. The building process includes d-separation (d-separation dependencies are used to identify variables influenced by evidence coming from other variables in the BN), as well as a new node definition. "]</t>
  </si>
  <si>
    <t>Expert-derived categories/thresholds (based on the analysis of historical/empirical data)</t>
  </si>
  <si>
    <t>GQM paradigm, d-separation</t>
  </si>
  <si>
    <t>PS29</t>
  </si>
  <si>
    <t>S16</t>
  </si>
  <si>
    <t>S43</t>
  </si>
  <si>
    <t>P34</t>
  </si>
  <si>
    <t>P71</t>
  </si>
  <si>
    <t>Zhang J,Cai L,Tong W,Liu Z,Li Y</t>
  </si>
  <si>
    <t>Littlewood B,Wright D</t>
  </si>
  <si>
    <t>A dynamic metrics method for test case reuse based on Bayesian network</t>
  </si>
  <si>
    <t>CiSE</t>
  </si>
  <si>
    <t>The use of multilegged arguments to increase confidence in safety claims for software-based systems: A study based on a BBN analysis of an idealized example</t>
  </si>
  <si>
    <t>S17</t>
  </si>
  <si>
    <t>P35</t>
  </si>
  <si>
    <t>Franco-Bedoya O,Costal D,Hidalgo S,Ben-Jacob R</t>
  </si>
  <si>
    <t>Expert mining for evaluating risk indicators scenarios</t>
  </si>
  <si>
    <t>COMPSACW</t>
  </si>
  <si>
    <t>PS30</t>
  </si>
  <si>
    <r>
      <rPr>
        <rFont val="Arial"/>
        <color rgb="FF000000"/>
        <sz val="10.0"/>
      </rPr>
      <t>["The same building processes are used for both BN models [21]. The elements Vi of the set V (</t>
    </r>
    <r>
      <rPr>
        <rFont val="Arial"/>
        <b/>
        <color rgb="FF000000"/>
        <sz val="10.0"/>
      </rPr>
      <t>nodes</t>
    </r>
    <r>
      <rPr>
        <rFont val="Arial"/>
        <color rgb="FF000000"/>
        <sz val="10.0"/>
      </rPr>
      <t xml:space="preserve">) are defined by applying a </t>
    </r>
    <r>
      <rPr>
        <rFont val="Arial"/>
        <b/>
        <color rgb="FF000000"/>
        <sz val="10.0"/>
      </rPr>
      <t>Goal Question Metric (GQM) approach</t>
    </r>
    <r>
      <rPr>
        <rFont val="Arial"/>
        <color rgb="FF000000"/>
        <sz val="10.0"/>
      </rPr>
      <t xml:space="preserve"> [33,34]. The GQM plan consists of a goal and a set of questions and measures. The plan describes precisely why the measures are defined and how they are going to be used. The asked questions help to identify the information required to fulfil the goal. The measures define the data to be collected to answer the questions (Table 1). The measured data are analyzed in accordance with the set goal, to conclude whether it is achieved or not. </t>
    </r>
    <r>
      <rPr>
        <rFont val="Arial"/>
        <b/>
        <color rgb="FF000000"/>
        <sz val="10.0"/>
      </rPr>
      <t>The GQM approach ensures the inclusion of all relevant domain variables</t>
    </r>
    <r>
      <rPr>
        <rFont val="Arial"/>
        <color rgb="FF000000"/>
        <sz val="10.0"/>
      </rPr>
      <t xml:space="preserve">. The </t>
    </r>
    <r>
      <rPr>
        <rFont val="Arial"/>
        <b/>
        <color rgb="FF000000"/>
        <sz val="10.0"/>
      </rPr>
      <t>causal relationships</t>
    </r>
    <r>
      <rPr>
        <rFont val="Arial"/>
        <color rgb="FF000000"/>
        <sz val="10.0"/>
      </rPr>
      <t xml:space="preserve"> between the nodes are built based on variables and measures selected by </t>
    </r>
    <r>
      <rPr>
        <rFont val="Arial"/>
        <b/>
        <color rgb="FF000000"/>
        <sz val="10.0"/>
      </rPr>
      <t>using GQM</t>
    </r>
    <r>
      <rPr>
        <rFont val="Arial"/>
        <color rgb="FF000000"/>
        <sz val="10.0"/>
      </rPr>
      <t>. The building process includes</t>
    </r>
    <r>
      <rPr>
        <rFont val="Arial"/>
        <b/>
        <color rgb="FF000000"/>
        <sz val="10.0"/>
      </rPr>
      <t xml:space="preserve"> d-separation</t>
    </r>
    <r>
      <rPr>
        <rFont val="Arial"/>
        <color rgb="FF000000"/>
        <sz val="10.0"/>
      </rPr>
      <t xml:space="preserve"> (d-separation dependencies are used to identify variables influenced by evidence coming from other variables in the BN), as well as a new node definition."] ["To fully define a set of tuples V (G) = {(s1, V1), . . ., (sn, Vn)}, it is necessary to </t>
    </r>
    <r>
      <rPr>
        <rFont val="Arial"/>
        <b/>
        <color rgb="FF000000"/>
        <sz val="10.0"/>
      </rPr>
      <t>define si, the set of all possible values for each Vi</t>
    </r>
    <r>
      <rPr>
        <rFont val="Arial"/>
        <color rgb="FF000000"/>
        <sz val="10.0"/>
      </rPr>
      <t xml:space="preserve">. The set si is defined in two steps: _x000f_ The first step defines the types of the selected variables and identifies the </t>
    </r>
    <r>
      <rPr>
        <rFont val="Arial"/>
        <b/>
        <color rgb="FF000000"/>
        <sz val="10.0"/>
      </rPr>
      <t>values for each variable</t>
    </r>
    <r>
      <rPr>
        <rFont val="Arial"/>
        <color rgb="FF000000"/>
        <sz val="10.0"/>
      </rPr>
      <t xml:space="preserve">. Although BN allows the use of both discrete and continuous variables, in this paper we use discrete variables, because the </t>
    </r>
    <r>
      <rPr>
        <rFont val="Arial"/>
        <b/>
        <color rgb="FF000000"/>
        <sz val="10.0"/>
      </rPr>
      <t>experimental data are discrete</t>
    </r>
    <r>
      <rPr>
        <rFont val="Arial"/>
        <color rgb="FF000000"/>
        <sz val="10.0"/>
      </rPr>
      <t xml:space="preserve">, and because the available BN tools require the discretization of the continuous variables. _x000f_ All the values are </t>
    </r>
    <r>
      <rPr>
        <rFont val="Arial"/>
        <b/>
        <color rgb="FF000000"/>
        <sz val="10.0"/>
      </rPr>
      <t>checked for rank and accuracy.</t>
    </r>
    <r>
      <rPr>
        <rFont val="Arial"/>
        <color rgb="FF000000"/>
        <sz val="10.0"/>
      </rPr>
      <t xml:space="preserve"> In some cases, it is necessary to go back to the first step and redefine the values of the nodes. The variables Form Complexity, Report Complexity, and Function Complexity define the complexity of the interface, reports, and functions to be created in the task. In the old model, the project manager entered the number of simple, medium and complex reports, and, based on that, the model calculated the value of the Report Complexity node.</t>
    </r>
    <r>
      <rPr>
        <rFont val="Arial"/>
        <b/>
        <color rgb="FF000000"/>
        <sz val="10.0"/>
      </rPr>
      <t xml:space="preserve"> In the new model, the Report Complexity node can take one of the three states (low, medium, or high), and its values are evaluated by the project manager. Several project managers agreed that this is a simpler and more practical method. The same applies to the variables Form Complexity and Function Complexity. The complexity of the reports, as well as the complexity of the forms and functions, is defined based on the elements to be constructed, their number, and their comparison with historical data on similar elements (analogy). </t>
    </r>
    <r>
      <rPr>
        <rFont val="Arial"/>
        <color rgb="FF000000"/>
        <sz val="10.0"/>
      </rPr>
      <t xml:space="preserve">The report evaluation is also influenced by the database query complexity used to obtain the result. The assessment of the function complexity also depends on the complexity of the processing algorithm. The prediction accuracy of BN models is highly dependent on consistency, and this way of evaluating variables can result in different evaluations for the same value. To ensure consistency in the evaluation of these variables, the following </t>
    </r>
    <r>
      <rPr>
        <rFont val="Arial"/>
        <b/>
        <color rgb="FF000000"/>
        <sz val="10.0"/>
      </rPr>
      <t>rules are defined</t>
    </r>
    <r>
      <rPr>
        <rFont val="Arial"/>
        <color rgb="FF000000"/>
        <sz val="10.0"/>
      </rPr>
      <t xml:space="preserve"> [21]: _x000f_ The report is </t>
    </r>
    <r>
      <rPr>
        <rFont val="Arial"/>
        <b/>
        <color rgb="FF000000"/>
        <sz val="10.0"/>
      </rPr>
      <t>simple</t>
    </r>
    <r>
      <rPr>
        <rFont val="Arial"/>
        <color rgb="FF000000"/>
        <sz val="10.0"/>
      </rPr>
      <t xml:space="preserve"> if it takes data from a single table in the database. If there are two tables, the report is </t>
    </r>
    <r>
      <rPr>
        <rFont val="Arial"/>
        <b/>
        <color rgb="FF000000"/>
        <sz val="10.0"/>
      </rPr>
      <t>moderately complex</t>
    </r>
    <r>
      <rPr>
        <rFont val="Arial"/>
        <color rgb="FF000000"/>
        <sz val="10.0"/>
      </rPr>
      <t xml:space="preserve">. The report is </t>
    </r>
    <r>
      <rPr>
        <rFont val="Arial"/>
        <b/>
        <color rgb="FF000000"/>
        <sz val="10.0"/>
      </rPr>
      <t>complex</t>
    </r>
    <r>
      <rPr>
        <rFont val="Arial"/>
        <color rgb="FF000000"/>
        <sz val="10.0"/>
      </rPr>
      <t xml:space="preserve"> if the data are taken from three or more tables. If more than 10 types of data need to be printed/displayed, the complexity of the report increases by one level, e.g., a simple report becomes moderately complex. (...) The Specification Quality is determined by the level of requirements decomposition: definition of technical demands and business clarity. </t>
    </r>
    <r>
      <rPr>
        <rFont val="Arial"/>
        <b/>
        <color rgb="FF000000"/>
        <sz val="10.0"/>
      </rPr>
      <t>The rating can be from 1 (very poor), to 5 (very good)</t>
    </r>
    <r>
      <rPr>
        <rFont val="Arial"/>
        <color rgb="FF000000"/>
        <sz val="10.0"/>
      </rPr>
      <t xml:space="preserve">. The following questions help in quality assessment: • How understandable is the task? • Is it complete? • Is there a possibility of a different interpretation? • Does the user have a developed idea? • How are the links to other tasks/modules defined? • Are there any technological specifics? Variable New Task Type can take on only two values: </t>
    </r>
    <r>
      <rPr>
        <rFont val="Arial"/>
        <b/>
        <color rgb="FF000000"/>
        <sz val="10.0"/>
      </rPr>
      <t>Yes or No</t>
    </r>
    <r>
      <rPr>
        <rFont val="Arial"/>
        <color rgb="FF000000"/>
        <sz val="10.0"/>
      </rPr>
      <t xml:space="preserve">. If the user requested a change/addition to the task, the value of this variable will be No. (...) The variable Working Hours expresses the number of hours spent on an individual task. </t>
    </r>
    <r>
      <rPr>
        <rFont val="Arial"/>
        <b/>
        <color rgb="FF000000"/>
        <sz val="10.0"/>
      </rPr>
      <t>To define node values, the historical data in the database of agile development projects of the commercial business system were checked.</t>
    </r>
    <r>
      <rPr>
        <rFont val="Arial"/>
        <color rgb="FF000000"/>
        <sz val="10.0"/>
      </rPr>
      <t xml:space="preserve"> The range of values was from 15 min to 95 h. For application in the BN model, it is necessary to simplify the possibilities, so the outcome values should be intervals instead of point values. Instead of splitting the values of Working Hours in intervals, a node Working Hours Classification is added, so that the number of output intervals can be easily changed. In the old BN model, the values of Working Hours Classification were ranked in five non-linear intervals based on the authors’ experience. Increasing the number of output intervals represents one of the imperatives. Because of that, </t>
    </r>
    <r>
      <rPr>
        <rFont val="Arial"/>
        <b/>
        <color rgb="FF000000"/>
        <sz val="10.0"/>
      </rPr>
      <t>empirical data were analyzed to determine whether there is a possibility of increasing the number of output intervals. A database analysis shows that 78.8% of tasks belong to one of two intervals: “0–2” and “2.1–10”. Therefore, each of these two intervals is divided into two new ones</t>
    </r>
    <r>
      <rPr>
        <rFont val="Arial"/>
        <color rgb="FF000000"/>
        <sz val="10.0"/>
      </rPr>
      <t xml:space="preserve"> (Figure 2). Now the output node Working Hours Classification can take one of the seven values."]</t>
    </r>
  </si>
  <si>
    <t>S44</t>
  </si>
  <si>
    <t>Learning from data using an automated tool</t>
  </si>
  <si>
    <t>P72</t>
  </si>
  <si>
    <t>Beaver JM,Schiavone GA,Berrios JS</t>
  </si>
  <si>
    <t>Predicting software suitability using a Bayesian belief network</t>
  </si>
  <si>
    <t>ICMLA</t>
  </si>
  <si>
    <r>
      <rPr>
        <rFont val="Arial"/>
        <color rgb="FF000000"/>
        <sz val="10.0"/>
      </rPr>
      <t xml:space="preserve">["3.2.2. Parameter Estimation </t>
    </r>
    <r>
      <rPr>
        <rFont val="Arial"/>
        <b/>
        <color rgb="FF000000"/>
        <sz val="10.0"/>
      </rPr>
      <t xml:space="preserve">Conditional and a priori probabilities are learned from the data using the WEKA </t>
    </r>
    <r>
      <rPr>
        <rFont val="Arial"/>
        <color rgb="FF000000"/>
        <sz val="10.0"/>
      </rPr>
      <t xml:space="preserve">(Waikato Environment for Knowledge Analysis (WEKA) 3.6.11, https://www.cs.waikato. ac.nz/ml/weka/, accessed on 16 April 2023) machine learning suite. As already mentioned, the data used in this research originate from agile projects of a small software company. Tasks are grouped chronologically based on their creation time. Grouping is made neither by size, nor by complexity, nor according to the developer who performs the task. The dataset includes tasks of different duration and complexity, created by different developers. Empirical data are not available for all the nodes. The nodes Task Complexity and Working Hours Classification are added to simplify the possible outcomes, as well as to provide better model accuracy. The manual definition of the Node Probability Tables (NPTs) (each row in the NPT represents a conditional probability distribution and, therefore, its values sum up to 1) can be a lengthy and error-prone process. Consequently, the values of these nodes are evaluated based on the empirical values of their parents. </t>
    </r>
    <r>
      <rPr>
        <rFont val="Arial"/>
        <b/>
        <color rgb="FF000000"/>
        <sz val="10.0"/>
      </rPr>
      <t>The probabilities are automatically learned both for empirical and added nodes</t>
    </r>
    <r>
      <rPr>
        <rFont val="Arial"/>
        <color rgb="FF000000"/>
        <sz val="10.0"/>
      </rPr>
      <t>."]</t>
    </r>
  </si>
  <si>
    <t>Cross validation, statistical measures (Magnitude of Relative Error (MRE), Mean Magnitude of Relative Error (MMRE), Prediction at Level m (Pred. (m)), Accuracy, Mean Absolute Error (MAE), Root Mean Squared Error (RMSE), Relative Absolute Error (RAE), Root Relative Squared Error (RRSE), Confusion Matrix)</t>
  </si>
  <si>
    <t>P36</t>
  </si>
  <si>
    <t>Schulz T,Radlinski Ł,Gorges T,Rosenstiel W</t>
  </si>
  <si>
    <t>Defect Cost Flow Model - A Bayesian network for predicting defect correction effort</t>
  </si>
  <si>
    <r>
      <rPr>
        <rFont val="Arial"/>
        <color rgb="FF000000"/>
        <sz val="10.0"/>
      </rPr>
      <t xml:space="preserve">["The BN model prediction accuracy is evaluated using </t>
    </r>
    <r>
      <rPr>
        <rFont val="Arial"/>
        <b/>
        <color rgb="FF000000"/>
        <sz val="10.0"/>
      </rPr>
      <t>statistical measures</t>
    </r>
    <r>
      <rPr>
        <rFont val="Arial"/>
        <color rgb="FF000000"/>
        <sz val="10.0"/>
      </rPr>
      <t>:</t>
    </r>
    <r>
      <rPr>
        <rFont val="Arial"/>
        <b/>
        <color rgb="FF000000"/>
        <sz val="10.0"/>
      </rPr>
      <t xml:space="preserve"> Magnitude of Relative Error (MRE), Mean Magnitude of Relative Error (MMRE), Prediction at Level m (Pred. (m)), Accuracy, Mean Absolute Error (MAE), Root Mean Squared Error (RMSE), Relative Absolute Error (RAE) and Root Relative Squared Error (RRSE).</t>
    </r>
    <r>
      <rPr>
        <rFont val="Arial"/>
        <color rgb="FF000000"/>
        <sz val="10.0"/>
      </rPr>
      <t xml:space="preserve"> Detailed descriptions of the measures, as well as the reasons for their use, are given in [7,21,36]. In this article, a Confusion Matrix is also used. The </t>
    </r>
    <r>
      <rPr>
        <rFont val="Arial"/>
        <b/>
        <color rgb="FF000000"/>
        <sz val="10.0"/>
      </rPr>
      <t>Confusion Matrix</t>
    </r>
    <r>
      <rPr>
        <rFont val="Arial"/>
        <color rgb="FF000000"/>
        <sz val="10.0"/>
      </rPr>
      <t xml:space="preserve">, just like the measures based on the prediction results in the confusion matrix, is well established as a measure of classification performance for imbalanced datasets [37,38]. The Confusion Matrix contains the prediction results and the actual values (classes) of these data. It is an nxn matrix, where n is the number of classes. </t>
    </r>
    <r>
      <rPr>
        <rFont val="Arial"/>
        <b/>
        <color rgb="FF000000"/>
        <sz val="10.0"/>
      </rPr>
      <t>The model validation is performed using empirical data. WEKA provides a k-fold cross-validation and summary statistics</t>
    </r>
    <r>
      <rPr>
        <rFont val="Arial"/>
        <color rgb="FF000000"/>
        <sz val="10.0"/>
      </rPr>
      <t xml:space="preserve"> (prediction accuracy, MAE, RMSE), which are used to verify the accuracy of the generated model. The WEKA error statistics are normalized. The predicted distribution for each class is matched against the expected distribution for that class. All the mentioned WEKA errors are computed by summing all classes of an instance, not just a true class [39]."]</t>
    </r>
  </si>
  <si>
    <t>PS31</t>
  </si>
  <si>
    <t>S48</t>
  </si>
  <si>
    <t>P76</t>
  </si>
  <si>
    <t>M. Perkusich, A. Medeiros, K. C. Gorgônio, H. O. de Almeida, A. Perkusich, et al</t>
  </si>
  <si>
    <t>A bayesian network approach to assist on the interpretation of software metrics</t>
  </si>
  <si>
    <r>
      <rPr>
        <rFont val="Arial"/>
        <color theme="1"/>
        <sz val="10.0"/>
      </rPr>
      <t xml:space="preserve">["3.1 Selection of top ranked software risk indicator metrics </t>
    </r>
    <r>
      <rPr>
        <rFont val="Arial"/>
        <b/>
        <color theme="1"/>
        <sz val="10.0"/>
      </rPr>
      <t xml:space="preserve">A number of software risk assessment and estimation model using the software risk factor has been proposed 13–15. </t>
    </r>
    <r>
      <rPr>
        <rFont val="Arial"/>
        <color theme="1"/>
        <sz val="10.0"/>
      </rPr>
      <t xml:space="preserve">The assessment and estimation of software risk from these models may be useful for software project management. Almost all existing software risk assessment and estimation model has considered numbers of software risk factors among these risk factors some less important. However, assessment and estimation of software risk by taking all the risk factor have some drawbacks like: computationally complex, more expensive processing cost. Selection of most important software risk factor could improve the assessment and estimation accuracy. In relevance to this issue, </t>
    </r>
    <r>
      <rPr>
        <rFont val="Arial"/>
        <b/>
        <color theme="1"/>
        <sz val="10.0"/>
      </rPr>
      <t xml:space="preserve">Julio Menezes et al. 9 run a survey through questionnaire among the professionals and academics with expertise in project management and risk management in the area of software engineering. We have selected the top ranked software risk factor from this survey and reproduced in Table1. </t>
    </r>
    <r>
      <rPr>
        <rFont val="Arial"/>
        <color theme="1"/>
        <sz val="10.0"/>
      </rPr>
      <t xml:space="preserve">3.2 Construct the causal relationships among the software risk indicator metrics In BBN, causal relationships among the nodes can be constructed from historical data, experimental observation and with the help of domain expert. Here, </t>
    </r>
    <r>
      <rPr>
        <rFont val="Arial"/>
        <b/>
        <color theme="1"/>
        <sz val="10.0"/>
      </rPr>
      <t>causal relationships among the software risk indicator metrics is constructed based on the software development risk Taxonomy</t>
    </r>
    <r>
      <rPr>
        <rFont val="Arial"/>
        <color theme="1"/>
        <sz val="10.0"/>
      </rPr>
      <t xml:space="preserve"> 16. The complete proposed model is constructed with the help of Netica tool 22. The constructed complete proposed model is shown in Fig. 3."] ["In order to estimate the software risk from the proposed model 12 software projects data sets are used. The software projects data are shown in Table 2 where the qualitative value of considered software risk indicators is represented in terms of</t>
    </r>
    <r>
      <rPr>
        <rFont val="Arial"/>
        <b/>
        <color theme="1"/>
        <sz val="10.0"/>
      </rPr>
      <t xml:space="preserve"> low(L), medium(M) and high(H)</t>
    </r>
    <r>
      <rPr>
        <rFont val="Arial"/>
        <color theme="1"/>
        <sz val="10.0"/>
      </rPr>
      <t>."]</t>
    </r>
  </si>
  <si>
    <r>
      <rPr>
        <rFont val="Arial"/>
        <color theme="1"/>
        <sz val="10.0"/>
      </rPr>
      <t xml:space="preserve">["3.3 Construct the node probability table for each node (metrics) of the model In BBN, the causal relationships between variables are defined by probability functions that receive input as a set of values of the parent nodes and calculate the given node’s probability. These probability functions are commonly represented by tables– namely, node probability tables (NPTs). Designing the NPT data is one of the fundamental issues associated with the BBN. There are no guidelines or rules that can be used to develop the NPT data that is appropriate for all types of problems. For example, manually defining NPT for Bayesian belief networks is a complex task and takes exponentially large effort. Several methods have been proposed in the literature17–20 to reduce this complex task of defining NPT manually. In fact, Node information is stored in the domain expert in the form of knowledge that can be determined through the qualitative value of the software metrics in the form of low, medium and high and from the qualitative value of software metrics the corresponding probability can be generated with less effort. </t>
    </r>
    <r>
      <rPr>
        <rFont val="Arial"/>
        <b/>
        <color theme="1"/>
        <sz val="10.0"/>
      </rPr>
      <t>Therefore we have constructed the node probability table for all the nodes using the qualitative value of software metric, experimental observations and by the domain expert</t>
    </r>
    <r>
      <rPr>
        <rFont val="Arial"/>
        <color theme="1"/>
        <sz val="10.0"/>
      </rPr>
      <t>21. Constructed NPT of node work environment(W−E)is shown in Fig. 4."]</t>
    </r>
  </si>
  <si>
    <t>Statistical measures (Mean Magnitude of Relative Error (MMRE), Balanced Mean Magnitude of Relative Error (BMMRE))</t>
  </si>
  <si>
    <t>PS32</t>
  </si>
  <si>
    <r>
      <rPr>
        <rFont val="Arial"/>
        <color theme="1"/>
        <sz val="10.0"/>
      </rPr>
      <t xml:space="preserve">["4.1 Model validation The estimated value of software risk and actual value of the software risk is shown in Table 4. To validate the proposed model, commonly used and suggested </t>
    </r>
    <r>
      <rPr>
        <rFont val="Arial"/>
        <b/>
        <color theme="1"/>
        <sz val="10.0"/>
      </rPr>
      <t>evaluation measures</t>
    </r>
    <r>
      <rPr>
        <rFont val="Arial"/>
        <color theme="1"/>
        <sz val="10.0"/>
      </rPr>
      <t xml:space="preserve">23 have been taken: • Mean Magnitude of Relative Error (MMRE): MMRE is the mean of absolute percentage errors and a measure of the spread of the variable z, where z = estimate/actual (...) • Balanced Mean Magnitude of Relative Error (BMMRE): MMRE is unbalanced and penalizes overestimates more than underestimates (...)"] ["The model is evaluated by </t>
    </r>
    <r>
      <rPr>
        <rFont val="Arial"/>
        <b/>
        <color theme="1"/>
        <sz val="10.0"/>
      </rPr>
      <t>MMRE and BMMRE</t>
    </r>
    <r>
      <rPr>
        <rFont val="Arial"/>
        <color theme="1"/>
        <sz val="10.0"/>
      </rPr>
      <t xml:space="preserve"> and it has been found that estimation accuracy is much better."]</t>
    </r>
  </si>
  <si>
    <t>S52</t>
  </si>
  <si>
    <t>P80</t>
  </si>
  <si>
    <t>Torkar, R. , Awan, N.M. , Alvi, A.K. , Afzal, W.</t>
  </si>
  <si>
    <t>Predicting software test effort in iterative development using a dynamic Bayesian network</t>
  </si>
  <si>
    <t>IEEE International Symposium on Software Reliability Engineering</t>
  </si>
  <si>
    <t>S19</t>
  </si>
  <si>
    <t>P38</t>
  </si>
  <si>
    <t>Literature review, lifecycle model</t>
  </si>
  <si>
    <t>John B</t>
  </si>
  <si>
    <t>Lifecycle model</t>
  </si>
  <si>
    <t>Modeling of code review process yield using Bayesian belief networks</t>
  </si>
  <si>
    <t>CONSEG</t>
  </si>
  <si>
    <r>
      <rPr>
        <rFont val="Arial"/>
        <color rgb="FF000000"/>
        <sz val="10.0"/>
      </rPr>
      <t xml:space="preserve">["In our proposed BBN model, </t>
    </r>
    <r>
      <rPr>
        <rFont val="Arial"/>
        <b/>
        <color rgb="FF000000"/>
        <sz val="10.0"/>
      </rPr>
      <t>eleven top reliability relevant software metrics are selected from the early phases of SDLC (i.e., requirements analysis, design and coding phases)</t>
    </r>
    <r>
      <rPr>
        <rFont val="Arial"/>
        <color rgb="FF000000"/>
        <sz val="10.0"/>
      </rPr>
      <t xml:space="preserve"> </t>
    </r>
    <r>
      <rPr>
        <rFont val="Arial"/>
        <b/>
        <color rgb="FF000000"/>
        <sz val="10.0"/>
      </rPr>
      <t>based on studies by (Li and Smidts 2003; Fenton et al. 2008)."</t>
    </r>
    <r>
      <rPr>
        <rFont val="Arial"/>
        <color rgb="FF000000"/>
        <sz val="10.0"/>
      </rPr>
      <t xml:space="preserve">] ["The Fig. 2 shows the causal relationship of reliability relevant metrics. Requirement stability (RA1), experience of requirement team (RA2), software complexity (DC1), experience of design and development team (DC2) and new functionality implemented (DC7) are independent metrics."] ["3.1.2 </t>
    </r>
    <r>
      <rPr>
        <rFont val="Arial"/>
        <b/>
        <color rgb="FF000000"/>
        <sz val="10.0"/>
      </rPr>
      <t>Construction of causal relationships of selected metrics</t>
    </r>
    <r>
      <rPr>
        <rFont val="Arial"/>
        <color rgb="FF000000"/>
        <sz val="10.0"/>
      </rPr>
      <t xml:space="preserve"> The Fig. 2 shows the causal relationship of reliability relevant metrics. Requirement stability (RA1), experience of requirement team (RA2), software complexity (DC1), experience of design and development team (DC2) and new functionality implemented (DC7) are independent metrics. Review effort of software requirement specification document (RA3), review effort of design (DC3) and review effort of code (DC4) metrics depend on requirement stability (RA1). Quality of software requirement specification document (RA4) metric depends on experience of requirement team (RA2), review effort of software requirement specification document (RA3) and software complexity (DC1) metrics. Quality of design (DC5) depends on quality of software requirement specification document (RA4), software complexity (DC1), experience of design and development team (DC2) and review effort of design (DC3) metrics. Quality of code (DC6) depend on software complexity (DC1), experience of design and development team (DC2), review effort of code (DC4) and quality of design (DC5). The residual software defect metric depends on quality of software requirement specification document (RA4), quality of design (DC5), quality of code (DC6) and new functionality implemented (DC7)."] ["Residual software defects are calculated using the probabilistic value of software defects obtained from the BBN model and </t>
    </r>
    <r>
      <rPr>
        <rFont val="Arial"/>
        <b/>
        <color rgb="FF000000"/>
        <sz val="10.0"/>
      </rPr>
      <t>qualitative value of software defects obtained from domain expert</t>
    </r>
    <r>
      <rPr>
        <rFont val="Arial"/>
        <color rgb="FF000000"/>
        <sz val="10.0"/>
      </rPr>
      <t>."]</t>
    </r>
  </si>
  <si>
    <r>
      <rPr>
        <rFont val="Arial"/>
        <color rgb="FF000000"/>
        <sz val="10.0"/>
      </rPr>
      <t xml:space="preserve">["3.1.3 BBN model development and analysis The BBN model development and analysis part is shown in Fig. 3. The node probability table of these nodes is </t>
    </r>
    <r>
      <rPr>
        <rFont val="Arial"/>
        <b/>
        <color rgb="FF000000"/>
        <sz val="10.0"/>
      </rPr>
      <t>constructed from the experimental observations and by the domain expert</t>
    </r>
    <r>
      <rPr>
        <rFont val="Arial"/>
        <color rgb="FF000000"/>
        <sz val="10.0"/>
      </rPr>
      <t>. The compiled mode of the proposed model is produced after designing the node probability table."]</t>
    </r>
  </si>
  <si>
    <r>
      <rPr>
        <rFont val="Arial"/>
        <color rgb="FF000000"/>
        <sz val="10.0"/>
      </rPr>
      <t xml:space="preserve">["5 Model validation 5.1 </t>
    </r>
    <r>
      <rPr>
        <rFont val="Arial"/>
        <b/>
        <color rgb="FF000000"/>
        <sz val="10.0"/>
      </rPr>
      <t>Evaluation measures</t>
    </r>
    <r>
      <rPr>
        <rFont val="Arial"/>
        <color rgb="FF000000"/>
        <sz val="10.0"/>
      </rPr>
      <t xml:space="preserve"> To validate the proposed model, following commonly used and suggested evaluation measures (Fenton et al. 2008; Chulani et al. 1999; Kitchenham et al. 2001; Stensrud et al. 2002) have been taken:"] ["5.2 Validation results It can be observed from Table 6 that the </t>
    </r>
    <r>
      <rPr>
        <rFont val="Arial"/>
        <b/>
        <color rgb="FF000000"/>
        <sz val="10.0"/>
      </rPr>
      <t>MMRE and BMMRE</t>
    </r>
    <r>
      <rPr>
        <rFont val="Arial"/>
        <color rgb="FF000000"/>
        <sz val="10.0"/>
      </rPr>
      <t xml:space="preserve"> for the proposed model are 0.06986 and 0.07544 respectively whereas for Fenton et al. (2008) model their values are 0.48478 and 0.52572 respectively."]</t>
    </r>
  </si>
  <si>
    <t>PS33</t>
  </si>
  <si>
    <t>S53</t>
  </si>
  <si>
    <t>P81</t>
  </si>
  <si>
    <t>Wooff, D.A., Goldstein, M., Coolen, F.P.A.</t>
  </si>
  <si>
    <t>Bayesian graphical models for software testing</t>
  </si>
  <si>
    <t>The authors only mention the metrics considered in the model and present the BN structure without describing how these metrics were identified and how they are related, which indicates an ad hoc manner regarding the BN structure construction. ["In this paper, a software faults prediction model is proposed using BBN that focus on the structure of the software development process explicitly representing complex relationship of five influencing parameters (Techno-complexity, Practitioner Level, Creation Effort, Review Effort, and Urgency)."] ["Defining the BBN Model: To define the BBN model, there is a need to identify the range of information and data sources available, and identify risky variables. The five metrics considered in this model are described below."]</t>
  </si>
  <si>
    <r>
      <rPr>
        <rFont val="Arial"/>
        <color theme="1"/>
        <sz val="10.0"/>
      </rPr>
      <t xml:space="preserve">["To evaluate our model we enter conditional probabilities to the various nodes of the BBN which are obtained with the help of </t>
    </r>
    <r>
      <rPr>
        <rFont val="Arial"/>
        <b/>
        <color theme="1"/>
        <sz val="10.0"/>
      </rPr>
      <t>experts</t>
    </r>
    <r>
      <rPr>
        <rFont val="Arial"/>
        <color theme="1"/>
        <sz val="10.0"/>
      </rPr>
      <t xml:space="preserve"> working in the specified domain."]</t>
    </r>
  </si>
  <si>
    <t>["4. MODEL EVALUATION To evaluate our model we enter conditional probabilities to the various nodes of the BBN which are obtained with the help of experts working in the specified domain. The complied mode of BBN is shown in the Fig 4."] ["5. EXPERIMENTS AND RESULTS Model is experimented with three different specifications of projects and gets the results with the help of Netica software [14]. The specifications of projects are shown in Table 1-3. The actual faults and those obtained by implementing Bayesian Belief Networks for predicting the expected number of faults in 3 different projects before testing are illustrated in Table 4; The results above show better fault predicting accuracy of BBN model with around 81% correlation with the actual faults. "]</t>
  </si>
  <si>
    <t>PS34</t>
  </si>
  <si>
    <t>S54</t>
  </si>
  <si>
    <t>P84</t>
  </si>
  <si>
    <t>S Mohanta, G Vinod, R Mall</t>
  </si>
  <si>
    <t>A technique for early prediction of software reliability based on design metrics</t>
  </si>
  <si>
    <t>International Journal of System Assurance Engineering and Management</t>
  </si>
  <si>
    <t>The authors only mention that the most important parts of test case to which test engineers pay attention are well-known. Afterwards, the authors describe the BN structure. ["Therefore, test case is divided into detailed granularities which are test input data, test input operation and expected result in our metrics method."] ["The root element of BN represents the test case reuse. For a more fine grain differentiation of the test case reuse, it is labeled as three levels: moderate, good, excellent that correspond to the degree of visited, collected and reused of a test case. In order to accurately measure test case reuse, we adopt a classification measure method as shown in Figure 2. The leaf nodes in BN stand for user’s customizations for various reuse preference, such as input data, input operation, expected result which are similarly labeled as two levels: low and high. Note that in practice, a test case may have many key words, so we include the key type in the metric method. Because different key word permutation denote different meanings which reflect vary reuse preference. "]</t>
  </si>
  <si>
    <t xml:space="preserve">["For example, when a user customize information of KEY={IDCardNumber}, DA={high} and EX={low}, the method calculates the probabilities for reuse being moderate, good and excellent respectively. The corresponding conditional probability functions are shown as follows: P( ) R =′′ moderate′′ KEY =′′ IDCardNumber′′, DA =′′ high′′, EX =′′ low′′ P( ) R =′′ good ′′ KEY =′′ IDCardNumber′′, DA =′′ high′′, EX =′′ low′′ P( ) R =′′ excellent′′ KEY =′′ IDCardNumber′′, DA =′′ high′′, EX =′′ low′′ The above probabilities can be calculated using Bayes rule (Formula 1). The metrics method usually chooses the ″excellent″ level as the test case reuse capability. Other levels could be chosen as test case reuse in different situations. To calculate reuse, the conditional probability table (CPT) of each leaf element should also be known. In BN, each node is associated with a CPT. TableⅠ gives the CPT of the node OP. Each column in the table contains the conditional probabilities of all possible values of node OP, given the possible values of its parent node R. (....) P( ) OP ="high", R ="excellent" is the probability that the reuse is excellent and the input operation customization is high in the past interactions. ( ) n m p OP ="high", R ="excellent" = m is the number that the test case was reused and the user’s input operation customization is high. n is total numbers of visited of the test case. The root element P( ) R ="excellent' represents the probability that the test case is reused. ( ) n k P R ="excellent' = k is the number of the test case reused. ∑ ( ) ∈ = = z R P R z 1 , where R = { } "moderate","good","excellent" . Node DA denotes the set of input data and Node EX denotes the set of expected result. Their CPTs are similar to TableⅠ. </t>
  </si>
  <si>
    <t>S22</t>
  </si>
  <si>
    <t>P41</t>
  </si>
  <si>
    <t>PS35</t>
  </si>
  <si>
    <t>The authors explain model results given conditional probability values. ["In our test management system, user interface are shown in Figure 4. User may customize his reuse preference by choosing reuse preference conditions, and then search test case to reuse. Metrics module sorts the test case which user need in terms of the Bayesian network probability. At the same time, the user’s reuse conditions would be recorded in user information collector and the recorded information is used to update the Bayesian network in which the whole process is dynamic. V. RESULTS A reusable test case library has been constructed in our test management system in which the result of test case delivery is more accurately with the increase in the frequency of use. For example, the verification of ID card number is a common function point for which the reusable test case, ‘verifying ID card number’, is designed and its keywords are ID card number and verifying. Some combination conditions of user reuse information are listed in Table II. From tableII, input data of this test case is the most important reuse content, but input operation and expected result are less important. When keywords is ‘verifying’, the delivery of this test case is the weakest than others. It is clear that in terms of different customizations, a test case has different reuse capability in Bayesian network which makes the reuse activity more pertinently and improves the reuse efficiency. It is easy to know that different test cases have different reuse capability, so the comparison between the different test cases is not given here."]</t>
  </si>
  <si>
    <t>S58</t>
  </si>
  <si>
    <t>Neil M,Fenton N,Nielsen L</t>
  </si>
  <si>
    <t>P89</t>
  </si>
  <si>
    <t>Building large-scale Bayesian networks</t>
  </si>
  <si>
    <t>Knowledge Engineering Review</t>
  </si>
  <si>
    <t>Abdi, M. K., Lounis, H., &amp; Sahraoui, H. A.</t>
  </si>
  <si>
    <t>A Probabilistic Approach for Change Impact Prediction in Object-Oriented Systems</t>
  </si>
  <si>
    <t>AIAI Workshops</t>
  </si>
  <si>
    <r>
      <rPr>
        <rFont val="Arial"/>
        <color theme="1"/>
        <sz val="10.0"/>
      </rPr>
      <t xml:space="preserve">["A Bayesian network (BN) is essentially a directed acyclic graph, together with the associated conditional probability distributions. BN are efficient models for (automated) reasoning under uncertainty by fusion of data and domain expert knowledge [3]. In RISCOSS project, Bayesian networks are used to link the community data gathered from the community data sources and the community measures to the risk indicators using data generated by experts’ assessment based on their experience in OSS adoption and community context. </t>
    </r>
    <r>
      <rPr>
        <rFont val="Arial"/>
        <b/>
        <color theme="1"/>
        <sz val="10.0"/>
      </rPr>
      <t>In particular, simulated or real scenarios, described via the values of the OSS measures, are presented to experts and they are asked to rate risk indicators with respect to each scenario. [4]. This is done by means of the tactical workshops presented in Section III.</t>
    </r>
    <r>
      <rPr>
        <rFont val="Arial"/>
        <color theme="1"/>
        <sz val="10.0"/>
      </rPr>
      <t xml:space="preserve"> "] ["III. WORKSHOP PROCEDURE The RISCOSS tactical workshop is designed to permit experts assess risk indicators. These risk indicators represent a range of characteristics of the OSS community that can affect the adopter organizations’ business. The indicators are variables extracted via the OSS community data analysis obtained from OSS project measurements and OSS community measurements from data sources or via expert assessment. Fig. 2 shows the flow of steps in the tactical workshop methodology. The tasks in the tactical workshops are a subset of a wider analytic methodology presented in [4]. A. Previous tasks </t>
    </r>
    <r>
      <rPr>
        <rFont val="Arial"/>
        <b/>
        <color theme="1"/>
        <sz val="10.0"/>
      </rPr>
      <t>Steps 1 through 3 correspond to tasks that must be done before conducting the tactical workshop</t>
    </r>
    <r>
      <rPr>
        <rFont val="Arial"/>
        <color theme="1"/>
        <sz val="10.0"/>
      </rPr>
      <t xml:space="preserve">. </t>
    </r>
    <r>
      <rPr>
        <rFont val="Arial"/>
        <b/>
        <color theme="1"/>
        <sz val="10.0"/>
      </rPr>
      <t>These steps were conducted in a workshop setting according to QUELCE methodology</t>
    </r>
    <r>
      <rPr>
        <rFont val="Arial"/>
        <color theme="1"/>
        <sz val="10.0"/>
      </rPr>
      <t xml:space="preserve"> [2]. </t>
    </r>
    <r>
      <rPr>
        <rFont val="Arial"/>
        <b/>
        <color theme="1"/>
        <sz val="10.0"/>
      </rPr>
      <t>Experts determined the drivers and indicators</t>
    </r>
    <r>
      <rPr>
        <rFont val="Arial"/>
        <color theme="1"/>
        <sz val="10.0"/>
      </rPr>
      <t xml:space="preserve">. </t>
    </r>
    <r>
      <rPr>
        <rFont val="Arial"/>
        <b/>
        <color theme="1"/>
        <sz val="10.0"/>
      </rPr>
      <t>Each driver has a set of states, which were defined. Experts then constructed the Bayesian network’s structure, subjectively evaluating the cause and effect relationships among drivers.</t>
    </r>
    <r>
      <rPr>
        <rFont val="Arial"/>
        <color theme="1"/>
        <sz val="10.0"/>
      </rPr>
      <t xml:space="preserve"> Finally, the scenarios were designed using random number generation to obtain various combinations of the risk driver states. Fig.3 shows the elements needed to build the scenarios for the activeness risk indicator. i.e. risk drivers, states and state values."]</t>
    </r>
  </si>
  <si>
    <r>
      <rPr>
        <rFont val="Arial"/>
        <color theme="1"/>
        <sz val="10.0"/>
      </rPr>
      <t xml:space="preserve">["B. Organizer planning tasks The organizer role is defined in the Delphi method [10]. This is the responsible for organizing, executing, and reporting the </t>
    </r>
    <r>
      <rPr>
        <rFont val="Arial"/>
        <b/>
        <color theme="1"/>
        <sz val="10.0"/>
      </rPr>
      <t>tactical workshop results</t>
    </r>
    <r>
      <rPr>
        <rFont val="Arial"/>
        <color theme="1"/>
        <sz val="10.0"/>
      </rPr>
      <t xml:space="preserve">. The RISCOSS tactical workshop organizer conducts steps 4 through 9. </t>
    </r>
    <r>
      <rPr>
        <rFont val="Arial"/>
        <b/>
        <color theme="1"/>
        <sz val="10.0"/>
      </rPr>
      <t>The procedure of selecting domain experts for variable estimation is not new,</t>
    </r>
    <r>
      <rPr>
        <rFont val="Arial"/>
        <color theme="1"/>
        <sz val="10.0"/>
      </rPr>
      <t xml:space="preserve"> it has been used by other researchers, [11][12][2]. (...) C. Organizer workshop tasks The tactical workshops begin with an exposition about the main topics that will be covered. The organizer shows a summary of the RISCOSS project and the RISCOSS analytical platform and defines the parts of the workshops. Finally, t</t>
    </r>
    <r>
      <rPr>
        <rFont val="Arial"/>
        <b/>
        <color theme="1"/>
        <sz val="10.0"/>
      </rPr>
      <t>he organizer explains in detail the instrument to be used by the expert to rate the risk indicators scenarios i.e. an excel file prepared for the purpose</t>
    </r>
    <r>
      <rPr>
        <rFont val="Arial"/>
        <color theme="1"/>
        <sz val="10.0"/>
      </rPr>
      <t xml:space="preserve"> (See Fig. 3). (...) D. Domain Expert tasks In this workshop, experts analyze simulated or real scenarios, described via the values of the OSS measures and they are asked to rate the risk indicators with respect to the scenarios. The syntheses of these judgments should conduct to an assessment on how the measures are connected to the indicator [4]. The workshop consists of 2 parts. Part I deals with data and metrics derived from the community data sources. Part II is capturing the dynamics of the community social networks. This information is used to define the meaning and value of the RISCOSS risk indicators under specific conditions of data collected automatically. 1) Part I: Community data sources </t>
    </r>
    <r>
      <rPr>
        <rFont val="Arial"/>
        <b/>
        <color theme="1"/>
        <sz val="10.0"/>
      </rPr>
      <t>The task of the expert is to assess risk drivers and risk indicators, according to characteristics of the OSS components developed by the communities</t>
    </r>
    <r>
      <rPr>
        <rFont val="Arial"/>
        <color theme="1"/>
        <sz val="10.0"/>
      </rPr>
      <t xml:space="preserve">, following these steps: a) </t>
    </r>
    <r>
      <rPr>
        <rFont val="Arial"/>
        <b/>
        <color theme="1"/>
        <sz val="10.0"/>
      </rPr>
      <t>Step 10: Study the use case scenario by considering the states of the individual risk drivers. Each driver has a set of states with a nominal value identified. Any change in one or more state values of a driver constitutes a scenario. b) Step 11: Assess the use case scenario overall state. Experts then asses each scenario based on their experience in OSS adoption and in a community context</t>
    </r>
    <r>
      <rPr>
        <rFont val="Arial"/>
        <color theme="1"/>
        <sz val="10.0"/>
      </rPr>
      <t xml:space="preserve">. c) Step 12: Determine the level of the risk indicator. Experts evaluate each specific scenario according to the state value range. Fig. 4 shows an activeness rate of 1, i.e. Very active to the scenario 1 on a 1-5 scale that reflects the corresponding levels of its related risk indicators. The step 10 to 12 should be repeated for all other risk indicators for which data exists such as timeliness. 2) Part II: Dynamics of the community social networks The task of the expert is to assess social network variables and community indicators, according to community social network variables. Community network measures, mainly related to the structure of the social network in the community, are extracted from NodeXL [9]. a) Step 13: Study the use case scenario by considering the state levels of the community social network measures b) Step 14: Assess the use case scenario overall state c) Step 15: Determine the level of the three community risk indicators so that they reflect the state levels of the community social network variables. Fig. 5 shows an example of a scenario rating for the dynamics community indicators i.e. community timeliness, community activeness and community forking. The risk indicators values are between 1 and 5. </t>
    </r>
    <r>
      <rPr>
        <rFont val="Arial"/>
        <b/>
        <color theme="1"/>
        <sz val="10.0"/>
      </rPr>
      <t xml:space="preserve">Finally, in step 16, experts send the evaluations results to the RISCOSS analytics team. Expert domain assessments are used to populate Bayesian network nodes i.e. risk drivers and calculate the outputs i.e. risk indicators. These outputs are then mapped into “high layer” Bayesian networks for calculating business risks. </t>
    </r>
    <r>
      <rPr>
        <rFont val="Arial"/>
        <color theme="1"/>
        <sz val="10.0"/>
      </rPr>
      <t xml:space="preserve">"] ["The scenarios for the workshops, with various combinations of data and various scenarios of risk indicators can be automatically generated by the scenarios generator component. The component assess engine provides a user interface to assess the scenarios. Finally, analytic engine generates the values that allow </t>
    </r>
    <r>
      <rPr>
        <rFont val="Arial"/>
        <b/>
        <color theme="1"/>
        <sz val="10.0"/>
      </rPr>
      <t>populating Bayesian networks nodes with conditional probabilities</t>
    </r>
    <r>
      <rPr>
        <rFont val="Arial"/>
        <color theme="1"/>
        <sz val="10.0"/>
      </rPr>
      <t xml:space="preserve">. "] ["While the domain experts are conducting the tactical workshops, the degree of "calibration" of their judgement improves as they assess each scenario. </t>
    </r>
    <r>
      <rPr>
        <rFont val="Arial"/>
        <b/>
        <color theme="1"/>
        <sz val="10.0"/>
      </rPr>
      <t>After finalizing the total scenarios assessment, it is a good practice to reevaluate the first scenarios once more</t>
    </r>
    <r>
      <rPr>
        <rFont val="Arial"/>
        <color theme="1"/>
        <sz val="10.0"/>
      </rPr>
      <t>. "]</t>
    </r>
  </si>
  <si>
    <t>-</t>
  </si>
  <si>
    <t>PS36</t>
  </si>
  <si>
    <t>S59</t>
  </si>
  <si>
    <t>P90</t>
  </si>
  <si>
    <t>Mirarab, S., Hassouna, A., Tahvildari, L.</t>
  </si>
  <si>
    <t>Using bayesian belief networks to predict change propagation in software systems</t>
  </si>
  <si>
    <t>["Essential to every expert system is the problem definition and KPIs related to it. It is derived from the initial goal of the model. We used the Goal Question Metric (GQM) approach [1] to systematically identify relevant KPIs of the model and their relation. "] ["Based on the problem definition we identified the KPIs and their relations, and used them in a causal structure of the model. "]</t>
  </si>
  <si>
    <t>15th IEEE International Conference on Program Comprehension (ICPC'07)</t>
  </si>
  <si>
    <t>P43</t>
  </si>
  <si>
    <t>Amasaki S,Takagi Y,Mizuno O,Kikuno T</t>
  </si>
  <si>
    <t>A Bayesian belief network for assessing the likelihood of fault content</t>
  </si>
  <si>
    <t>ISSRE</t>
  </si>
  <si>
    <t>Automatic discretization (dynamic discretization algorithm), expert-derived categories/thresholds</t>
  </si>
  <si>
    <t>PS37</t>
  </si>
  <si>
    <t>S67</t>
  </si>
  <si>
    <t>P99</t>
  </si>
  <si>
    <t>Li, J., Li, M., Wu, D., Dai, Q., &amp; Song, H.</t>
  </si>
  <si>
    <r>
      <rPr>
        <rFont val="Arial"/>
        <color rgb="FF000000"/>
        <sz val="10.0"/>
      </rPr>
      <t xml:space="preserve">["We used the </t>
    </r>
    <r>
      <rPr>
        <rFont val="Arial"/>
        <b/>
        <color rgb="FF000000"/>
        <sz val="10.0"/>
      </rPr>
      <t>Goal Question Metric (GQM) approach</t>
    </r>
    <r>
      <rPr>
        <rFont val="Arial"/>
        <color rgb="FF000000"/>
        <sz val="10.0"/>
      </rPr>
      <t xml:space="preserve"> (Basili and Rombach 1988) to systematically </t>
    </r>
    <r>
      <rPr>
        <rFont val="Arial"/>
        <b/>
        <color rgb="FF000000"/>
        <sz val="10.0"/>
      </rPr>
      <t>identify relevant KPIs of the model and their relation</t>
    </r>
    <r>
      <rPr>
        <rFont val="Arial"/>
        <color rgb="FF000000"/>
        <sz val="10.0"/>
      </rPr>
      <t xml:space="preserve">."] ["Based on the problem definition we identified the KPIs and their relations, and used them in a causal structure of the model."] ["3.3 Model Creation and Enhancement Model creation and simulation is a very challenging task because expertise is required in multiple fields. First, a deep understanding of the model’s domain has to be established, which is software engineering in the case of the DCFM. Second, the problem investigated has to be fully understood including its KPIs and how they are related to each other. For DCFM, this means being an expert in the specific automotive work environment who is able to map process and project data to the problem definition and its KPIs. Finally, statistical know-how is required, e.g. to understand the consequences of combining data from various sources and how it affects the success of simulation results. </t>
    </r>
    <r>
      <rPr>
        <rFont val="Arial"/>
        <b/>
        <color rgb="FF000000"/>
        <sz val="10.0"/>
      </rPr>
      <t>We needed several iterations to design and calibrate the DCFM to fulfill all requirements from the fields above</t>
    </r>
    <r>
      <rPr>
        <rFont val="Arial"/>
        <color rgb="FF000000"/>
        <sz val="10.0"/>
      </rPr>
      <t xml:space="preserve">. Model structure and calibration is based on the automotive engineering process described before. Here, we collected historical and current data according to the project data definition. The DCFM was set up based on this data. Furthermore, domain experts calibrated those parts of the model where no project data was available. To evaluate the model performance, several scenarios were defined to reflect the different aspects of the problem definition. </t>
    </r>
    <r>
      <rPr>
        <rFont val="Arial"/>
        <b/>
        <color rgb="FF000000"/>
        <sz val="10.0"/>
      </rPr>
      <t>The final structure of the DCFM is based on an iterative refinement with the goal to optimize the performance for all scenarios</t>
    </r>
    <r>
      <rPr>
        <rFont val="Arial"/>
        <color rgb="FF000000"/>
        <sz val="10.0"/>
      </rPr>
      <t>. This stage also involved developing various specialized editions of the model, one of which, for the analysis of multiple releases of developed software, has been discussed later in this paper."] ["Our DCFM model, discussed in the further sections, contains only few ranked nodes (with five states)—</t>
    </r>
    <r>
      <rPr>
        <rFont val="Arial"/>
        <b/>
        <color rgb="FF000000"/>
        <sz val="10.0"/>
      </rPr>
      <t>all other nodes are numeric, which need to be discretized into a set of mutually exclusive intervals</t>
    </r>
    <r>
      <rPr>
        <rFont val="Arial"/>
        <color rgb="FF000000"/>
        <sz val="10.0"/>
      </rPr>
      <t xml:space="preserve">. Defining high number of intervals ensures high precision in calculations but causes difficulty in CPT definition. (...) We have used partitioned expressions to define some variables in DCFM. The use of expressions simplifies the definition of variables because fewer parameters must be supplied. But it does not solve the task of defining appropriate intervals for numeric nodes. To achieve the highest precision in calculations it is recommended that a variable should have more intervals defined around the values of high probability values and may have fewer intervals around the values of low probability. This is difficult to be achieved in advance during the process of model building because a model can be used in a variety of scenarios causing probability distributions to shift left or right. As a solution, </t>
    </r>
    <r>
      <rPr>
        <rFont val="Arial"/>
        <b/>
        <color rgb="FF000000"/>
        <sz val="10.0"/>
      </rPr>
      <t>we have applied a dynamic discretization algorithm (Neil et al. 2007, Neil et al. 2010). This algorithm takes the need to discretize numeric variable off the modeler—during model calculation, it automatically defines intervals that more precisely reflect distributions of numeric variables. In this study, we have used the algorithms supporting the expressions and dynamic discretization implemented in the AgenaRisk tool (AgenaRisk 2009)."</t>
    </r>
    <r>
      <rPr>
        <rFont val="Arial"/>
        <color rgb="FF000000"/>
        <sz val="10.0"/>
      </rPr>
      <t xml:space="preserve">] ["The node effort reduction rate enables to define defect detection rates for specific levels of QA activity between 0% and 100%. The DCFM uses </t>
    </r>
    <r>
      <rPr>
        <rFont val="Arial"/>
        <b/>
        <color rgb="FF000000"/>
        <sz val="10.0"/>
      </rPr>
      <t>ranked nodes</t>
    </r>
    <r>
      <rPr>
        <rFont val="Arial"/>
        <color rgb="FF000000"/>
        <sz val="10.0"/>
      </rPr>
      <t xml:space="preserve"> for their representation with the possibility to define the most relevant values, for a realistic scenario from a project manager’s perspective.Four different ranks are defined:– </t>
    </r>
    <r>
      <rPr>
        <rFont val="Arial"/>
        <b/>
        <color rgb="FF000000"/>
        <sz val="10.0"/>
      </rPr>
      <t>Low</t>
    </r>
    <r>
      <rPr>
        <rFont val="Arial"/>
        <color rgb="FF000000"/>
        <sz val="10.0"/>
      </rPr>
      <t xml:space="preserve"> represents a worst case scenario. – </t>
    </r>
    <r>
      <rPr>
        <rFont val="Arial"/>
        <b/>
        <color rgb="FF000000"/>
        <sz val="10.0"/>
      </rPr>
      <t>Medium</t>
    </r>
    <r>
      <rPr>
        <rFont val="Arial"/>
        <color rgb="FF000000"/>
        <sz val="10.0"/>
      </rPr>
      <t xml:space="preserve"> is used in an average scenario. – </t>
    </r>
    <r>
      <rPr>
        <rFont val="Arial"/>
        <b/>
        <color rgb="FF000000"/>
        <sz val="10.0"/>
      </rPr>
      <t>High</t>
    </r>
    <r>
      <rPr>
        <rFont val="Arial"/>
        <color rgb="FF000000"/>
        <sz val="10.0"/>
      </rPr>
      <t xml:space="preserve"> represents ideal conditions for a scenario. – </t>
    </r>
    <r>
      <rPr>
        <rFont val="Arial"/>
        <b/>
        <color rgb="FF000000"/>
        <sz val="10.0"/>
      </rPr>
      <t>Very High</t>
    </r>
    <r>
      <rPr>
        <rFont val="Arial"/>
        <color rgb="FF000000"/>
        <sz val="10.0"/>
      </rPr>
      <t xml:space="preserve"> is used for the best case scenario."]</t>
    </r>
  </si>
  <si>
    <t>The Ranked Nodes method, partitioned expressions, learning from data using an automated tool</t>
  </si>
  <si>
    <t>Bayesian networks-based risk identification approach for software process risk: the context of Chinese trustworthy software</t>
  </si>
  <si>
    <t>International Journal of Information Technology &amp; Decision Making</t>
  </si>
  <si>
    <r>
      <rPr>
        <rFont val="Arial"/>
        <color theme="1"/>
        <sz val="10.0"/>
      </rPr>
      <t xml:space="preserve">["Our DCFM model, discussed in the further sections, </t>
    </r>
    <r>
      <rPr>
        <rFont val="Arial"/>
        <b/>
        <color theme="1"/>
        <sz val="10.0"/>
      </rPr>
      <t>contains only few ranked nodes (with five states)</t>
    </r>
    <r>
      <rPr>
        <rFont val="Arial"/>
        <color theme="1"/>
        <sz val="10.0"/>
      </rPr>
      <t>—all other nodes are numeric, which need to be discretized into a set of mutually exclusive intervals. Defining high number of intervals ensures high precision in calculations but causes difficulty in CPT definition. To solve this problem we have followed an approach where</t>
    </r>
    <r>
      <rPr>
        <rFont val="Arial"/>
        <b/>
        <color theme="1"/>
        <sz val="10.0"/>
      </rPr>
      <t xml:space="preserve"> a CPT for numeric nodes is defined as a mathematical expression that uses distributions of parent nodes as parameters. We have also used the concept of “partitioned expressions”</t>
    </r>
    <r>
      <rPr>
        <rFont val="Arial"/>
        <color theme="1"/>
        <sz val="10.0"/>
      </rPr>
      <t xml:space="preserve"> which allows defining different expressions for a single node of interest, depending on the state of the parent node. For example, let us consider two variables: amount of QA effort expressed on a 3-point ranked scale and defect detection rate expressed on a numeric scale. Defect detection rate may be defined as child of amount of QA effort using the following partitioned expressions: </t>
    </r>
    <r>
      <rPr>
        <rFont val="Arial"/>
        <b/>
        <color theme="1"/>
        <sz val="10.0"/>
      </rPr>
      <t>– For amount of QA effort=‘low’ as Normal(μ=0.3; σ2=0.1), – For amount of QA effort=‘medium as Normal(μ=0.6; σ2=0.05), – For amount of QA effort=‘low’ as Normal(μ=0.8; σ2=0.05)</t>
    </r>
    <r>
      <rPr>
        <rFont val="Arial"/>
        <color theme="1"/>
        <sz val="10.0"/>
      </rPr>
      <t xml:space="preserve">, We have used </t>
    </r>
    <r>
      <rPr>
        <rFont val="Arial"/>
        <b/>
        <color theme="1"/>
        <sz val="10.0"/>
      </rPr>
      <t>partitioned expressions</t>
    </r>
    <r>
      <rPr>
        <rFont val="Arial"/>
        <color theme="1"/>
        <sz val="10.0"/>
      </rPr>
      <t xml:space="preserve"> to define some variables in DCFM. The use of expressions simplifies the definition of variables because fewer parameters must be supplied."] ["Model creation and simulation is a very challenging task because expertise is required in multiple fields. First, a deep understanding of the model’s domain has to be established, which is software engineering in the case of the DCFM. Second, the problem investigated has to be fully understood including its KPIs and how they are related to each other. For DCFM, this means being an expert in the specific automotive work environment who is able to map process and project data to the problem definition and its KPIs. Finally, statistical know-how is required, e.g. to understand the consequences of combining data from various sources and how it affects the success of simulation results. </t>
    </r>
    <r>
      <rPr>
        <rFont val="Arial"/>
        <b/>
        <color theme="1"/>
        <sz val="10.0"/>
      </rPr>
      <t>We needed several iterations to design and calibrate the DCFM to fulfill all requirements from the fields above. Model structure and calibration is based on the automotive engineering process described before. Here, we collected historical and current data according to the project data definition. The DCFM was set up based on this data. Furthermore, domain experts calibrated those parts of the model where no project data was available.</t>
    </r>
    <r>
      <rPr>
        <rFont val="Arial"/>
        <color theme="1"/>
        <sz val="10.0"/>
      </rPr>
      <t xml:space="preserve">"] ["4.3 Detailed Model Structure and Initial Calibration Figures 8, 9, 10 and 11 illustrate the details of DCFM structure by visualizing a cause and effect chain where nodes represent events and arcs their relation. Calibration nodes are used for setting up the model. </t>
    </r>
    <r>
      <rPr>
        <rFont val="Arial"/>
        <b/>
        <color theme="1"/>
        <sz val="10.0"/>
      </rPr>
      <t>We elicited prior distributions based on internal data and expert knowledge</t>
    </r>
    <r>
      <rPr>
        <rFont val="Arial"/>
        <color theme="1"/>
        <sz val="10.0"/>
      </rPr>
      <t xml:space="preserve">. </t>
    </r>
    <r>
      <rPr>
        <rFont val="Arial"/>
        <b/>
        <color theme="1"/>
        <sz val="10.0"/>
      </rPr>
      <t>We analyzed process specific activities as well as cost distribution tables for different development phases. Furthermore, the change management system provided valuable information on the flow of defects to elicit e.g. specific effort reduction rates.</t>
    </r>
    <r>
      <rPr>
        <rFont val="Arial"/>
        <color theme="1"/>
        <sz val="10.0"/>
      </rPr>
      <t xml:space="preserve"> (...) The node effort reduction rate enables to define defect detection rates for specific levels of QA activity between 0% and 100%. </t>
    </r>
    <r>
      <rPr>
        <rFont val="Arial"/>
        <b/>
        <color theme="1"/>
        <sz val="10.0"/>
      </rPr>
      <t>The DCFM uses ranked nodes for their representation with the possibility to define the most relevant values, for a realistic scenario from a project manager’s perspective</t>
    </r>
    <r>
      <rPr>
        <rFont val="Arial"/>
        <color theme="1"/>
        <sz val="10.0"/>
      </rPr>
      <t>. Four different ranks are defined: – Low represents a worst case scenario. – Medium is used in an average scenario. – High represents ideal conditions for a scenario. – Very High is used for the best case scenario."]</t>
    </r>
  </si>
  <si>
    <t>Simulated scenarios, sensitivity analysis</t>
  </si>
  <si>
    <t>P45</t>
  </si>
  <si>
    <t>The system reliability analyser tool</t>
  </si>
  <si>
    <t>Requirements Engineering</t>
  </si>
  <si>
    <t>PS38</t>
  </si>
  <si>
    <t>S68</t>
  </si>
  <si>
    <t>P100</t>
  </si>
  <si>
    <t>JD Procaccino, JM Verner, ME Darter, WJ Amadio</t>
  </si>
  <si>
    <t>Toward predicting software development success from the perspective of practitioners: an exploratory Bayesian model</t>
  </si>
  <si>
    <t>Journal of Information Technology</t>
  </si>
  <si>
    <r>
      <rPr>
        <rFont val="Arial"/>
        <color theme="1"/>
        <sz val="10.0"/>
      </rPr>
      <t>["</t>
    </r>
    <r>
      <rPr>
        <rFont val="Arial"/>
        <b/>
        <color theme="1"/>
        <sz val="10.0"/>
      </rPr>
      <t>To evaluate the model performance, several scenarios were defined to reflect the different aspects of the problem definition</t>
    </r>
    <r>
      <rPr>
        <rFont val="Arial"/>
        <color theme="1"/>
        <sz val="10.0"/>
      </rPr>
      <t xml:space="preserve">. The final structure of the DCFM is based on an iterative refinement with the goal to optimize the performance for all scenarios."] ["The final step creating DCFM has been model validation. Due to the novelty of our approach, it was not possible to validate all simulation scenarios. Instead, </t>
    </r>
    <r>
      <rPr>
        <rFont val="Arial"/>
        <b/>
        <color theme="1"/>
        <sz val="10.0"/>
      </rPr>
      <t>domain experts analyzed and evaluated the model according to the definition of the problem</t>
    </r>
    <r>
      <rPr>
        <rFont val="Arial"/>
        <color theme="1"/>
        <sz val="10.0"/>
      </rPr>
      <t>."] ["5</t>
    </r>
    <r>
      <rPr>
        <rFont val="Arial"/>
        <b/>
        <color theme="1"/>
        <sz val="10.0"/>
      </rPr>
      <t xml:space="preserve"> DCFM Validation</t>
    </r>
    <r>
      <rPr>
        <rFont val="Arial"/>
        <color theme="1"/>
        <sz val="10.0"/>
      </rPr>
      <t xml:space="preserve"> We have validated the DCFM by performing </t>
    </r>
    <r>
      <rPr>
        <rFont val="Arial"/>
        <b/>
        <color theme="1"/>
        <sz val="10.0"/>
      </rPr>
      <t>various simulations</t>
    </r>
    <r>
      <rPr>
        <rFont val="Arial"/>
        <color theme="1"/>
        <sz val="10.0"/>
      </rPr>
      <t xml:space="preserve">. They involve the following basic steps: entering observations to the model, calculating the model using an exact junction tree algorithm, obtaining posterior probabilities for investigated variables, and an analysis of results (either the whole distributions or the summary statistics calculated based on those distributions). The main aims of particular simulations are the following: – Simulation 1 (Section 5.1)—analysis of aggregated </t>
    </r>
    <r>
      <rPr>
        <rFont val="Arial"/>
        <b/>
        <color theme="1"/>
        <sz val="10.0"/>
      </rPr>
      <t>predictions for a hypothetical project</t>
    </r>
    <r>
      <rPr>
        <rFont val="Arial"/>
        <color theme="1"/>
        <sz val="10.0"/>
      </rPr>
      <t xml:space="preserve">; – Simulation 2 (Section 5.2)—analysis of the detailed predictions by investigating the cost flow for a </t>
    </r>
    <r>
      <rPr>
        <rFont val="Arial"/>
        <b/>
        <color theme="1"/>
        <sz val="10.0"/>
      </rPr>
      <t>hypothetical project</t>
    </r>
    <r>
      <rPr>
        <rFont val="Arial"/>
        <color theme="1"/>
        <sz val="10.0"/>
      </rPr>
      <t xml:space="preserve">; – Simulation 3 (Section 5.3)—comparison of </t>
    </r>
    <r>
      <rPr>
        <rFont val="Arial"/>
        <b/>
        <color theme="1"/>
        <sz val="10.0"/>
      </rPr>
      <t>four scenarios</t>
    </r>
    <r>
      <rPr>
        <rFont val="Arial"/>
        <color theme="1"/>
        <sz val="10.0"/>
      </rPr>
      <t xml:space="preserve"> with different levels of QA activities in particular phases; – Simulation 4 (Section 5.4)—application of model predictions </t>
    </r>
    <r>
      <rPr>
        <rFont val="Arial"/>
        <b/>
        <color theme="1"/>
        <sz val="10.0"/>
      </rPr>
      <t>in real industrial setting</t>
    </r>
    <r>
      <rPr>
        <rFont val="Arial"/>
        <color theme="1"/>
        <sz val="10.0"/>
      </rPr>
      <t>, – Simulation 5 (Section 5.5)—</t>
    </r>
    <r>
      <rPr>
        <rFont val="Arial"/>
        <b/>
        <color theme="1"/>
        <sz val="10.0"/>
      </rPr>
      <t>sensitivity analysis</t>
    </r>
    <r>
      <rPr>
        <rFont val="Arial"/>
        <color theme="1"/>
        <sz val="10.0"/>
      </rPr>
      <t xml:space="preserve"> demonstrating the effects of various levels of QA activities. During the development of earlier BN models (Fenton et al. 2008b, Radliński et al. 2007, Radliński et al. 2008, Schulz et al. 2011) we found that it is not trivial to ensure correct encoding of expert knowledge into the model and model consistency with the general body of knowledge in the software engineering area. Thus, all simulations are focused on validating such issues. Additionally, Simulation 4 validates predictive accuracy and usefulness in a real environment."] ["Validation of general model behavior—We entered the hypothetical data on development and review allocation in various project stages into the DCFM. </t>
    </r>
    <r>
      <rPr>
        <rFont val="Arial"/>
        <b/>
        <color theme="1"/>
        <sz val="10.0"/>
      </rPr>
      <t>We analyzed if the predictions were falling within the ranges expected for a specific environment. This became an introduction to the analysis of predictive accuracy, but the predictions were not compared with empirical data but judged by experts on being possible in reality or not (in the case of the latter the model was recalibrated).</t>
    </r>
    <r>
      <rPr>
        <rFont val="Arial"/>
        <color theme="1"/>
        <sz val="10.0"/>
      </rPr>
      <t xml:space="preserve">"] ["Validation of detailed model behavior—As in (1) we entered hypothetical data to the model and analyzed the predictions in detail. The correctness of predictions were assessed by experts based on the quality of predicted probability distributions, calculated summary statistics, model behavior in standard and non-standard situations, and model behavior with low and high amount of observations entered. (...) </t>
    </r>
    <r>
      <rPr>
        <rFont val="Arial"/>
        <b/>
        <color theme="1"/>
        <sz val="10.0"/>
      </rPr>
      <t>Validation of model sensitivity</t>
    </r>
    <r>
      <rPr>
        <rFont val="Arial"/>
        <color theme="1"/>
        <sz val="10.0"/>
      </rPr>
      <t xml:space="preserve">—Again, using hypothetical data we analyzed model predictions in terms of how a change of one or more variables influences predicted variables, most notably overall effort. </t>
    </r>
    <r>
      <rPr>
        <rFont val="Arial"/>
        <b/>
        <color theme="1"/>
        <sz val="10.0"/>
      </rPr>
      <t>Experts assessed the obtained predictions in terms of compliance with the existing body of knowledge in the field and empirical data with high-granularity.</t>
    </r>
    <r>
      <rPr>
        <rFont val="Arial"/>
        <color theme="1"/>
        <sz val="10.0"/>
      </rPr>
      <t>"]</t>
    </r>
  </si>
  <si>
    <t>["Through brainstorming, the different predictor variables influencing the code review yield were identified."]</t>
  </si>
  <si>
    <t>["The network obtained through b-course is given in fig 1 and the corresponding probability table is given in table 2."]</t>
  </si>
  <si>
    <r>
      <rPr>
        <rFont val="Arial"/>
        <color theme="1"/>
        <sz val="10.0"/>
      </rPr>
      <t>["</t>
    </r>
    <r>
      <rPr>
        <rFont val="Arial"/>
        <b/>
        <color theme="1"/>
        <sz val="10.0"/>
      </rPr>
      <t>The table 3 revealed that the actual defect density of all the 3 code reviews fell within the interval predicted by the Bayesian model with high probability.</t>
    </r>
    <r>
      <rPr>
        <rFont val="Arial"/>
        <color theme="1"/>
        <sz val="10.0"/>
      </rPr>
      <t xml:space="preserve"> Hence it was decided to implement the model for all the upcoming code reviews. "</t>
    </r>
  </si>
  <si>
    <t>PS39</t>
  </si>
  <si>
    <t>S72</t>
  </si>
  <si>
    <t>P105</t>
  </si>
  <si>
    <t>Durán, M., Juárez-Ramírez, R., Jiménez, S., &amp; Tona, C.</t>
  </si>
  <si>
    <t>Idioms, literature review</t>
  </si>
  <si>
    <t>User story estimation based on the complexity decomposition using Bayesian networks</t>
  </si>
  <si>
    <t>Idioms, literature review, chi-plot independence tests</t>
  </si>
  <si>
    <t>Programming and Computer Software</t>
  </si>
  <si>
    <r>
      <rPr>
        <rFont val="Arial"/>
        <color rgb="FF000000"/>
        <sz val="10.0"/>
      </rPr>
      <t>["In this research, we propose three different BN models and compare their performances in terms of predicting software reliability. The first model (Model #1) comprises development and testing subnets and it is built solely on the basis of expert judgment, which is the most popular way to build BNs in software engineering studies. "] ["</t>
    </r>
    <r>
      <rPr>
        <rFont val="Arial"/>
        <b/>
        <color rgb="FF000000"/>
        <sz val="10.0"/>
      </rPr>
      <t>In our study, we decide on either of the two data collection approaches (repositories or expert knowledge)</t>
    </r>
    <r>
      <rPr>
        <rFont val="Arial"/>
        <color rgb="FF000000"/>
        <sz val="10.0"/>
      </rPr>
      <t xml:space="preserve"> to represent life cycle phases depending on the availability of local data in a company. Second, we build a ’hybrid’ BN that</t>
    </r>
    <r>
      <rPr>
        <rFont val="Arial"/>
        <b/>
        <color rgb="FF000000"/>
        <sz val="10.0"/>
      </rPr>
      <t xml:space="preserve"> incorporates both continuous and categorical variables.</t>
    </r>
    <r>
      <rPr>
        <rFont val="Arial"/>
        <color rgb="FF000000"/>
        <sz val="10.0"/>
      </rPr>
      <t xml:space="preserve"> The previous work in [14] also proposes a hybrid model; but continuous variables in the model were transformed to categorical variables. using a dynamic discretization technique, and an exact probabilistic inference algorithm (junction trees) was used. </t>
    </r>
    <r>
      <rPr>
        <rFont val="Arial"/>
        <b/>
        <color rgb="FF000000"/>
        <sz val="10.0"/>
      </rPr>
      <t>In our study, we select appropriate parameter and structure learning techniques that are recognized well in other domains to handle inference with a mixture of categorical and continuous nodes</t>
    </r>
    <r>
      <rPr>
        <rFont val="Arial"/>
        <color rgb="FF000000"/>
        <sz val="10.0"/>
      </rPr>
      <t xml:space="preserve">. For setting </t>
    </r>
    <r>
      <rPr>
        <rFont val="Arial"/>
        <b/>
        <color rgb="FF000000"/>
        <sz val="10.0"/>
      </rPr>
      <t>initial parameters, we use statistical tests that fit appropriate distributions to both categorical and continuous nodes.</t>
    </r>
    <r>
      <rPr>
        <rFont val="Arial"/>
        <color rgb="FF000000"/>
        <sz val="10.0"/>
      </rPr>
      <t xml:space="preserve"> To define </t>
    </r>
    <r>
      <rPr>
        <rFont val="Arial"/>
        <b/>
        <color rgb="FF000000"/>
        <sz val="10.0"/>
      </rPr>
      <t>cause-effect relationship</t>
    </r>
    <r>
      <rPr>
        <rFont val="Arial"/>
        <color rgb="FF000000"/>
        <sz val="10.0"/>
      </rPr>
      <t xml:space="preserve"> among continuous variables (edges of BN), </t>
    </r>
    <r>
      <rPr>
        <rFont val="Arial"/>
        <b/>
        <color rgb="FF000000"/>
        <sz val="10.0"/>
      </rPr>
      <t>we use independence tests with graphical dependence analyses.</t>
    </r>
    <r>
      <rPr>
        <rFont val="Arial"/>
        <color rgb="FF000000"/>
        <sz val="10.0"/>
      </rPr>
      <t xml:space="preserve"> Finally, we use Gibbs sampling for approximate probabilistic inference in a hybrid BN, without making any transformation on the variable types"] ["</t>
    </r>
    <r>
      <rPr>
        <rFont val="Arial"/>
        <b/>
        <color rgb="FF000000"/>
        <sz val="10.0"/>
      </rPr>
      <t>We have used some of the following idioms defined by [68] while constructing the first model: definitional, causeconsequence, and measurement</t>
    </r>
    <r>
      <rPr>
        <rFont val="Arial"/>
        <color rgb="FF000000"/>
        <sz val="10.0"/>
      </rPr>
      <t xml:space="preserve">. </t>
    </r>
    <r>
      <rPr>
        <rFont val="Arial"/>
        <b/>
        <color rgb="FF000000"/>
        <sz val="10.0"/>
      </rPr>
      <t>Furthermore, we asked the senior managers in the companies to validate these relationships to avoid potential biases during model construction</t>
    </r>
    <r>
      <rPr>
        <rFont val="Arial"/>
        <color rgb="FF000000"/>
        <sz val="10.0"/>
      </rPr>
      <t xml:space="preserve">."] ["In Company A, we have used this idiom to define the relationship among Age-Complexity, People-Churn, and Test CasesTest Defects. </t>
    </r>
    <r>
      <rPr>
        <rFont val="Arial"/>
        <b/>
        <color rgb="FF000000"/>
        <sz val="10.0"/>
      </rPr>
      <t>All relationships are selected based on prior empirical studies listed in Table 8</t>
    </r>
    <r>
      <rPr>
        <rFont val="Arial"/>
        <color rgb="FF000000"/>
        <sz val="10.0"/>
      </rPr>
      <t xml:space="preserve">. Based on these works, we have selected the inputs to the prediction process as Age, People, and Test Cases and the outputs of the process as Complexity (due to Age), Churn (due to People), and Test Defects (due to Test Cases)."] ["Quantitative evidence. We mined the version control systems, issue repositories, and test execution logs and extracted 13 metrics representing the development and testing phases of both companies. </t>
    </r>
    <r>
      <rPr>
        <rFont val="Arial"/>
        <b/>
        <color rgb="FF000000"/>
        <sz val="10.0"/>
      </rPr>
      <t>Description of all metrics, our rationale behind selecting them, and related work on the relationship between the metrics and post-release defects are summarized in Table 8. We defined the metric set based on the availability of local data at both companies (some metrics had already been stored in metric repositories for a long time) and previous research on software reliability/quality metrics."]</t>
    </r>
    <r>
      <rPr>
        <rFont val="Arial"/>
        <color rgb="FF000000"/>
        <sz val="10.0"/>
      </rPr>
      <t xml:space="preserve"> ["Model #2, in which</t>
    </r>
    <r>
      <rPr>
        <rFont val="Arial"/>
        <b/>
        <color rgb="FF000000"/>
        <sz val="10.0"/>
      </rPr>
      <t xml:space="preserve"> cause-effect relationships based on chi-plot analyses</t>
    </r>
    <r>
      <rPr>
        <rFont val="Arial"/>
        <color rgb="FF000000"/>
        <sz val="10.0"/>
      </rPr>
      <t xml:space="preserve"> are defined as edges between variables, is presented in Figs. 8b and 9b for Companies A and B, respectively. </t>
    </r>
    <r>
      <rPr>
        <rFont val="Arial"/>
        <b/>
        <color rgb="FF000000"/>
        <sz val="10.0"/>
      </rPr>
      <t>Model #3. It uses the cause-effect relationships in Model #2 for development and testing subnets, and expert judgment in Model #1 for requirements specification subnet</t>
    </r>
    <r>
      <rPr>
        <rFont val="Arial"/>
        <color rgb="FF000000"/>
        <sz val="10.0"/>
      </rPr>
      <t>."] ["Based on the two statistical approaches summarized above, the list of metrics in both data sets, and their associated distributions in Model #2 are presented in Table 10. Model #3. The requirements specification subnet is directly used from [55], whose distributions were set based on expert knowledge, and it is incorporated with the development and testing subnet in Model #2 whose variables are assigned different distributions based on the significance tests."] ["Each factor is explained with additional questions and evaluated using a 5-scale point by participants: Very Low, Low, Medium, High, and Very High."]</t>
    </r>
  </si>
  <si>
    <t>Survey with practitioners, interviews, distribution fitting tests</t>
  </si>
  <si>
    <t>P48</t>
  </si>
  <si>
    <t>PS40</t>
  </si>
  <si>
    <t>Fenton N,Neil M,Marsh W,Hearty P,Marquez D,Krause P,Mishra R</t>
  </si>
  <si>
    <t>S73</t>
  </si>
  <si>
    <t>Predicting software defects in varying development lifecycles using Bayesian nets</t>
  </si>
  <si>
    <t>P106</t>
  </si>
  <si>
    <t>Radu, L. D.</t>
  </si>
  <si>
    <t>Effort Prediction in Agile Software Development with Bayesian Networks</t>
  </si>
  <si>
    <t>ICSOFT</t>
  </si>
  <si>
    <r>
      <rPr>
        <rFont val="Arial"/>
        <color theme="1"/>
        <sz val="10.0"/>
      </rPr>
      <t xml:space="preserve">["Our study complements and extends the state-of-the-art model in [14] in several ways: First, we propose a ’mixeddata’ model to represent software life cycle phases by incorporating expert judgment (qualitative data through </t>
    </r>
    <r>
      <rPr>
        <rFont val="Arial"/>
        <b/>
        <color theme="1"/>
        <sz val="10.0"/>
      </rPr>
      <t>surveys</t>
    </r>
    <r>
      <rPr>
        <rFont val="Arial"/>
        <color theme="1"/>
        <sz val="10.0"/>
      </rPr>
      <t xml:space="preserve">) into </t>
    </r>
    <r>
      <rPr>
        <rFont val="Arial"/>
        <b/>
        <color theme="1"/>
        <sz val="10.0"/>
      </rPr>
      <t>quantitative data collected from software repositories</t>
    </r>
    <r>
      <rPr>
        <rFont val="Arial"/>
        <color theme="1"/>
        <sz val="10.0"/>
      </rPr>
      <t xml:space="preserve">. In the previous work [14], authors also used a mixed-data approach by adding project size, effort and defect counts collected from repositories. However, the model is mainly fed by surveys. </t>
    </r>
    <r>
      <rPr>
        <rFont val="Arial"/>
        <b/>
        <color theme="1"/>
        <sz val="10.0"/>
      </rPr>
      <t>In our study, we decide on either of the two data collection approaches (repositories or expert knowledge) to represent life cycle phases depending on the availability of local data in a company</t>
    </r>
    <r>
      <rPr>
        <rFont val="Arial"/>
        <color theme="1"/>
        <sz val="10.0"/>
      </rPr>
      <t xml:space="preserve">."] ["In our study, we select appropriate parameter and structure learning techniques that are recognized well in other domains to handle inference with a mixture of categorical and continuous nodes. </t>
    </r>
    <r>
      <rPr>
        <rFont val="Arial"/>
        <b/>
        <color theme="1"/>
        <sz val="10.0"/>
      </rPr>
      <t>For setting initial parameters, we use statistical tests that fit appropriate distributions to both categorical and continuous nodes</t>
    </r>
    <r>
      <rPr>
        <rFont val="Arial"/>
        <color theme="1"/>
        <sz val="10.0"/>
      </rPr>
      <t xml:space="preserve">. To define cause-effect relationship among continuous variables (edges of BN), we use independence tests with graphical dependence analyses. Finally, we use Gibbs sampling for approximate probabilistic inference in a hybrid BN, without making any transformation on the variable types."] ["To build a comprehensive BN model, as in [55], we collected available local data and held discussions with senior managers in the companies. We found that there was quantitative data in terms of metrics and archived raw data in repositories representing development and testing phases, whereas there was no data representing the requirements specification and design phases. Along with the senior managers of the companies, we decided to build a BN model representing three major phases in their software development life cycle: Requirements specification, Development, and Testing. </t>
    </r>
    <r>
      <rPr>
        <rFont val="Arial"/>
        <b/>
        <color theme="1"/>
        <sz val="10.0"/>
      </rPr>
      <t>We used a hybrid data collection approach to obtain both qualitative and quantitative evidence required to build these three sub-networks (a.k.a. subnets): 1) surveys to collect qualitative evidence about the requirements specification phase, and 2) metrics and software data repositories (source code base, issue repositories, and test execution logs) to collect quantitative evidence about development and testing phases</t>
    </r>
    <r>
      <rPr>
        <rFont val="Arial"/>
        <color theme="1"/>
        <sz val="10.0"/>
      </rPr>
      <t>."] [</t>
    </r>
    <r>
      <rPr>
        <rFont val="Arial"/>
        <b/>
        <color theme="1"/>
        <sz val="10.0"/>
      </rPr>
      <t>"In Company A, we collected nine out of 13 metrics, namely churn, people, edit frequency and age, complexity, test cases, test defects, test case quality, and test run, for 44 (bi-weekly) releases between 2009 and 2011</t>
    </r>
    <r>
      <rPr>
        <rFont val="Arial"/>
        <color theme="1"/>
        <sz val="10.0"/>
      </rPr>
      <t xml:space="preserve">. Besides the metrics, post-release defects, i.e., failures reported after every release, were collected as the dependent variable of the model. "] ["Qualitative evidence. Measuring the requirements specification phase in both companies was a challenging task, mainly because there was no formal documentation or accepted metric sets that could be easily extracted from automated systems used specifically for this phase. Furthermore, </t>
    </r>
    <r>
      <rPr>
        <rFont val="Arial"/>
        <b/>
        <color theme="1"/>
        <sz val="10.0"/>
      </rPr>
      <t>more stable expert knowledge could be collected from senior managers and analysts having years of experience and knowledge about these processes</t>
    </r>
    <r>
      <rPr>
        <rFont val="Arial"/>
        <color theme="1"/>
        <sz val="10.0"/>
      </rPr>
      <t xml:space="preserve">, compared to the limited data that we could collect from software repositories. </t>
    </r>
    <r>
      <rPr>
        <rFont val="Arial"/>
        <b/>
        <color theme="1"/>
        <sz val="10.0"/>
      </rPr>
      <t>Fenton et al. [55] published a questionnaire comprising five major topics representing different phases of a development life cycle.</t>
    </r>
    <r>
      <rPr>
        <rFont val="Arial"/>
        <color theme="1"/>
        <sz val="10.0"/>
      </rPr>
      <t xml:space="preserve"> In this questionnaire, each topic is represented with qualitative factors that the authors and other partners from the companies believed had a significant influence on the outcome of a software project. Each factor is described by a question to be answered. These descriptive questions were specifically tailored for the organizations that the authors had worked with so far. </t>
    </r>
    <r>
      <rPr>
        <rFont val="Arial"/>
        <b/>
        <color theme="1"/>
        <sz val="10.0"/>
      </rPr>
      <t>We used this questionnaire</t>
    </r>
    <r>
      <rPr>
        <rFont val="Arial"/>
        <color theme="1"/>
        <sz val="10.0"/>
      </rPr>
      <t xml:space="preserve">, which originally comprised five major topics representing different phases of a development life cycle; however, we asked the development teams in both companies to respond to questions only for the following two topics: (i) specification and documentation and (ii) project management. Specification and documentation subnet proposed in [55] includes four factors from the same process, and two factors from the project management process. These factors are shown in Table 7. Each factor is explained with additional questions and </t>
    </r>
    <r>
      <rPr>
        <rFont val="Arial"/>
        <b/>
        <color theme="1"/>
        <sz val="10.0"/>
      </rPr>
      <t>evaluated using a 5-scale point by participants: Very Low, Low, Medium, High, and Very High</t>
    </r>
    <r>
      <rPr>
        <rFont val="Arial"/>
        <color theme="1"/>
        <sz val="10.0"/>
      </rPr>
      <t xml:space="preserve">. </t>
    </r>
    <r>
      <rPr>
        <rFont val="Arial"/>
        <b/>
        <color theme="1"/>
        <sz val="10.0"/>
      </rPr>
      <t>In Company A, we conducted interviews with 15 team leads and project managers to fill the questionnaire for each release.</t>
    </r>
    <r>
      <rPr>
        <rFont val="Arial"/>
        <color theme="1"/>
        <sz val="10.0"/>
      </rPr>
      <t xml:space="preserve"> Each release was evaluated by three to five people, depending on which teams actively worked on that release. </t>
    </r>
    <r>
      <rPr>
        <rFont val="Arial"/>
        <b/>
        <color theme="1"/>
        <sz val="10.0"/>
      </rPr>
      <t>The most popular response (rating with the highest number of responses) for each question was added to final data set</t>
    </r>
    <r>
      <rPr>
        <rFont val="Arial"/>
        <color theme="1"/>
        <sz val="10.0"/>
      </rPr>
      <t xml:space="preserve">. </t>
    </r>
    <r>
      <rPr>
        <rFont val="Arial"/>
        <b/>
        <color theme="1"/>
        <sz val="10.0"/>
      </rPr>
      <t xml:space="preserve">In Company B, we interviewed 15 people, including developers, testers, and analysts and asked them to evaluate the maturity of their software processes on a weekly basis."] </t>
    </r>
    <r>
      <rPr>
        <rFont val="Arial"/>
        <color theme="1"/>
        <sz val="10.0"/>
      </rPr>
      <t>["</t>
    </r>
    <r>
      <rPr>
        <rFont val="Arial"/>
        <b/>
        <color theme="1"/>
        <sz val="10.0"/>
      </rPr>
      <t>Model #1. We use expert knowledge, i.e., both researchers’ and practitioners’ judgment based on the graphical representations of data, to set the distributions of all variables</t>
    </r>
    <r>
      <rPr>
        <rFont val="Arial"/>
        <color theme="1"/>
        <sz val="10.0"/>
      </rPr>
      <t xml:space="preserve">. </t>
    </r>
    <r>
      <rPr>
        <rFont val="Arial"/>
        <b/>
        <color theme="1"/>
        <sz val="10.0"/>
      </rPr>
      <t>Model #2. We apply statistical tests</t>
    </r>
    <r>
      <rPr>
        <rFont val="Arial"/>
        <color theme="1"/>
        <sz val="10.0"/>
      </rPr>
      <t xml:space="preserve"> (Lilliefors significance test [73]) on all variables in Table 8 and on postrelease defects. This test is the same as the KolmogorovSmirnov goodness of fit test for checking the null hypothesis (H0): Samples come from a distribution from the normal family. (...)</t>
    </r>
    <r>
      <rPr>
        <rFont val="Arial"/>
        <b/>
        <color theme="1"/>
        <sz val="10.0"/>
      </rPr>
      <t xml:space="preserve"> Based on the two statistical approaches summarized above, the list of metrics in both data sets, and their associated distributions in Model #2 are presented in Table 10</t>
    </r>
    <r>
      <rPr>
        <rFont val="Arial"/>
        <color theme="1"/>
        <sz val="10.0"/>
      </rPr>
      <t xml:space="preserve">. </t>
    </r>
    <r>
      <rPr>
        <rFont val="Arial"/>
        <b/>
        <color theme="1"/>
        <sz val="10.0"/>
      </rPr>
      <t>Model #3. The requirements specification subnet is directly used from [55], whose distributions were set based on expert knowledge, and it is incorporated with the development and testing subnet in Model #2 whose variables are assigned different distributions based on the significance tests</t>
    </r>
    <r>
      <rPr>
        <rFont val="Arial"/>
        <color theme="1"/>
        <sz val="10.0"/>
      </rPr>
      <t>."] ["In all models, we aim to use Bayesian learning for complex models using Monte Carlo methods, especially Gibbs sampling [7]."]</t>
    </r>
  </si>
  <si>
    <t>Statistical measures (Mean Relative Error (MRE), Mean Magnitude of Relative Error (MMRE), Median Magnitude of Relative Error (MdMRE), and Prediction at level k (Pred))</t>
  </si>
  <si>
    <r>
      <rPr>
        <rFont val="Arial"/>
        <color rgb="FF000000"/>
        <sz val="10.0"/>
      </rPr>
      <t xml:space="preserve">["To assess the performance in terms of predicting postrelease defects, we use </t>
    </r>
    <r>
      <rPr>
        <rFont val="Arial"/>
        <b/>
        <color rgb="FF000000"/>
        <sz val="10.0"/>
      </rPr>
      <t>Mean Relative Error (MRE), Mean Magnitude of Relative Error (MMRE), Median Magnitude of Relative Error (MdMRE), and Prediction at level k (Pred)</t>
    </r>
    <r>
      <rPr>
        <rFont val="Arial"/>
        <color rgb="FF000000"/>
        <sz val="10.0"/>
      </rPr>
      <t>, which are commonly used and suggested to validate such type of models [55], [76], [77]."]</t>
    </r>
  </si>
  <si>
    <t>PS41</t>
  </si>
  <si>
    <t>S74</t>
  </si>
  <si>
    <t>P107</t>
  </si>
  <si>
    <t>Dantas, E., Sousa Neto, A., Perkusich, M., Almeida, H., &amp; Perkusich, A.</t>
  </si>
  <si>
    <t>Using Bayesian Networks to Support Managing Technological Risk on Software Projects</t>
  </si>
  <si>
    <t>Brazilian Workshop on Intelligent Software Engineering - ISE</t>
  </si>
  <si>
    <r>
      <rPr>
        <rFont val="Arial"/>
        <color theme="1"/>
        <sz val="10.0"/>
      </rPr>
      <t xml:space="preserve">["If we consider a novice developer deciding on which the right design patterns to apply are, he/she can be in trouble. Therefore, this novice developer could receive assistance of an interface agent, and specifically, of our PatternAdvisor agent. To play this role, PatternAdvisor has to </t>
    </r>
    <r>
      <rPr>
        <rFont val="Arial"/>
        <b/>
        <color theme="1"/>
        <sz val="10.0"/>
      </rPr>
      <t>acquire some knowledge about pattern catalogs (Gamma et al., 1994)</t>
    </r>
    <r>
      <rPr>
        <rFont val="Arial"/>
        <color theme="1"/>
        <sz val="10.0"/>
      </rPr>
      <t xml:space="preserve">. This is materialized by a Bayesian Network through which </t>
    </r>
    <r>
      <rPr>
        <rFont val="Arial"/>
        <b/>
        <color theme="1"/>
        <sz val="10.0"/>
      </rPr>
      <t>causal relationships among design patterns and design tasks (as adding a class, relating classes, adding a subclass,etc.) are specified. These relationships have been defined from the analysis of the design pattern catalog.</t>
    </r>
    <r>
      <rPr>
        <rFont val="Arial"/>
        <color theme="1"/>
        <sz val="10.0"/>
      </rPr>
      <t>"] ["The definition of the BN involves both qualitative and quantitative aspects. For the qualitative part, we have to find the relevant nodes for evidences and design patterns and articulate them into a graph. As explained in Section  3,</t>
    </r>
    <r>
      <rPr>
        <rFont val="Arial"/>
        <b/>
        <color theme="1"/>
        <sz val="10.0"/>
      </rPr>
      <t xml:space="preserve"> this graph was mostly derived from the GoF’s catalog</t>
    </r>
    <r>
      <rPr>
        <rFont val="Arial"/>
        <color theme="1"/>
        <sz val="10.0"/>
      </rPr>
      <t xml:space="preserve"> and organized in two levels: evidence and design pattern variables."] ["Furthermore, each variable in the graph can define a number of states, so that a conditional probability can be associated with the variable (and each of its states) based on the possible states of its predecessors. </t>
    </r>
    <r>
      <rPr>
        <rFont val="Arial"/>
        <b/>
        <color theme="1"/>
        <sz val="10.0"/>
      </rPr>
      <t>In this work, we will restrict variables to take Boolean values</t>
    </r>
    <r>
      <rPr>
        <rFont val="Arial"/>
        <color theme="1"/>
        <sz val="10.0"/>
      </rPr>
      <t xml:space="preserve">."] </t>
    </r>
  </si>
  <si>
    <t>Expert elicitation, parametric learning</t>
  </si>
  <si>
    <t>P50</t>
  </si>
  <si>
    <t>M Neil, N Fenton</t>
  </si>
  <si>
    <t>Improved software defect prediction</t>
  </si>
  <si>
    <t>10th European SEPG</t>
  </si>
  <si>
    <t>PS42</t>
  </si>
  <si>
    <t>S75</t>
  </si>
  <si>
    <t>P109</t>
  </si>
  <si>
    <t>Manzano, M., Ayala, C., Gómez, C., Abherve, A., Franch, X., &amp; Mendes, E.</t>
  </si>
  <si>
    <t>A method to estimate software strategic indicators in software development: An industrial application</t>
  </si>
  <si>
    <t>P51</t>
  </si>
  <si>
    <t>Fenton N., Neil M., Marsh W., Hearty P., Radliński Ł., Krause P.</t>
  </si>
  <si>
    <t>Project Data Incorporating Qualitative Factors for Improved Software Defect Prediction</t>
  </si>
  <si>
    <t>PS43</t>
  </si>
  <si>
    <t>S76</t>
  </si>
  <si>
    <t>P110</t>
  </si>
  <si>
    <t>Handhika, T., Sutanto, Y., Juarna, A., &amp; Mutiara, A. B.</t>
  </si>
  <si>
    <t>BAYESIAN ANALYSIS IN PREDICTING THE SUCCESS RATE OF THE SCRUM-BASED SOFTWARE DEVELOPMENT PROJECT UNDER STOCHASTIC ENVIRONMENT</t>
  </si>
  <si>
    <t>ICIC EXPRESS LETTERS</t>
  </si>
  <si>
    <t>PS44</t>
  </si>
  <si>
    <t>S77</t>
  </si>
  <si>
    <t>P112</t>
  </si>
  <si>
    <t>S30</t>
  </si>
  <si>
    <t>P54</t>
  </si>
  <si>
    <t>Fatima, R., Zeshan, F., Ahmad, A., Hamid, M., Filali, I., Alhussan, A. A., &amp; Abdallah, H. A.</t>
  </si>
  <si>
    <t>Requirement Change Prediction Model for Small Software Systems</t>
  </si>
  <si>
    <t>Computers</t>
  </si>
  <si>
    <t>Integrating Data Sources in a Software Project Risk Assessment Model</t>
  </si>
  <si>
    <t>Prace Naukowe Uniwersytetu Ekonomicznego we Wrocławiu</t>
  </si>
  <si>
    <t>P55</t>
  </si>
  <si>
    <t>Radliński L,Fenton N,Neil M,Marquez D</t>
  </si>
  <si>
    <t>Improved decision-making for software managers using Bayesian networks</t>
  </si>
  <si>
    <t>SEA</t>
  </si>
  <si>
    <t>PS45</t>
  </si>
  <si>
    <t>S78</t>
  </si>
  <si>
    <t>P113</t>
  </si>
  <si>
    <t>Nguyen, N. T., Huynh, Q. T., &amp; Vu, T. H. G.</t>
  </si>
  <si>
    <t>A Bayesian critical path method for managing common risks in software project scheduling</t>
  </si>
  <si>
    <t>International Symposium on Information and Communication Technology</t>
  </si>
  <si>
    <t>P56</t>
  </si>
  <si>
    <t xml:space="preserve">Radliński, Ł., Fenton, N. et al. </t>
  </si>
  <si>
    <t>Modelling prior productivity and defect rates in a causal model for software project risk assessment</t>
  </si>
  <si>
    <t>Polish Journal of Environmental Studies</t>
  </si>
  <si>
    <r>
      <rPr>
        <rFont val="Arial"/>
        <color theme="1"/>
        <sz val="10.0"/>
      </rPr>
      <t xml:space="preserve">["For improving the knowledge based on which the decision to advise novice developers is made, our agent observes expert developer’s actions related to incorporating design patterns into a design specification. In such a way, our PatternAdvisor captures the steps involved in a right application of design patterns. </t>
    </r>
    <r>
      <rPr>
        <rFont val="Arial"/>
        <b/>
        <color theme="1"/>
        <sz val="10.0"/>
      </rPr>
      <t>This information serves to update the probabilities of our Bayesian Network</t>
    </r>
    <r>
      <rPr>
        <rFont val="Arial"/>
        <color theme="1"/>
        <sz val="10.0"/>
      </rPr>
      <t xml:space="preserve">, although the developer is not aware of this situation. Thus, </t>
    </r>
    <r>
      <rPr>
        <rFont val="Arial"/>
        <b/>
        <color theme="1"/>
        <sz val="10.0"/>
      </rPr>
      <t>we capture heuristic knowledge about the application of design patterns.</t>
    </r>
    <r>
      <rPr>
        <rFont val="Arial"/>
        <color theme="1"/>
        <sz val="10.0"/>
      </rPr>
      <t>"] ["</t>
    </r>
    <r>
      <rPr>
        <rFont val="Arial"/>
        <b/>
        <color theme="1"/>
        <sz val="10.0"/>
      </rPr>
      <t>Another important source of knowledge is the expert developer’s feedback</t>
    </r>
    <r>
      <rPr>
        <rFont val="Arial"/>
        <color theme="1"/>
        <sz val="10.0"/>
      </rPr>
      <t xml:space="preserve">. This means that the developer can express his/her degree of satisfaction with respect to a recommendation, or directly he/she can even want to apply alternative solutions. The idea is that the agent can collect this feedback to make adaptations to its mental model (represented by the BN) in the hope of improving the accuracy of future suggestions. </t>
    </r>
    <r>
      <rPr>
        <rFont val="Arial"/>
        <b/>
        <color theme="1"/>
        <sz val="10.0"/>
      </rPr>
      <t>In terms of the BN, this implies a tuning of parameters that will ultimately affect the chances of the patterns</t>
    </r>
    <r>
      <rPr>
        <rFont val="Arial"/>
        <color theme="1"/>
        <sz val="10.0"/>
      </rPr>
      <t xml:space="preserve">. The first kind of adjustment happens when the developer finds a pattern useful. If so, the fitness associated with that pattern gets increased, making the pattern ‘‘more probable’’ for contexts similar to the current one in forthcoming recommendations. If not, this fitness is reduced, so that the pattern remains loosely linked to the current context. A second kind of adjustment comes from the fact that the application of a specific pattern usually enables a number of related patterns, as documented in the GoF’s catalog. For example, the solutions based on the Composite pattern may also require Memento or Prototype patterns. These relationships among patterns can be easily codified into the BN. Thus, in addition to the feedback-based adjustment mentioned previously, the adoption of a particular pattern by the developer will cause the agent to update the fitness of related patterns."] ["For the quantitative part, it is necessary to estimate the tables of probabilities associated to the variables. Although the graph is not very intricate, the fact that the number of incoming arrows for each design pattern variable may range from 2 to 8 forces us to consider many combinations to obtain the conditional probabilities for such variables. Since information about combinations of evidences is scarce, </t>
    </r>
    <r>
      <rPr>
        <rFont val="Arial"/>
        <b/>
        <color theme="1"/>
        <sz val="10.0"/>
      </rPr>
      <t>the method to approximate the conditional probabilities was mostly through trial and error. At the beginning, the probabilities are equally assigned for all the possible states of the variables. This is not necessarily a problem because, once expert developers have spent some time interacting with the agent, these probabilities are subject to variations</t>
    </r>
    <r>
      <rPr>
        <rFont val="Arial"/>
        <color theme="1"/>
        <sz val="10.0"/>
      </rPr>
      <t xml:space="preserve">. Here, the feedback provided by expert developers is expected to make the probability tables of the BN more and more accurate, based on a mechanism of </t>
    </r>
    <r>
      <rPr>
        <rFont val="Arial"/>
        <b/>
        <color theme="1"/>
        <sz val="10.0"/>
      </rPr>
      <t>parametric learning</t>
    </r>
    <r>
      <rPr>
        <rFont val="Arial"/>
        <color theme="1"/>
        <sz val="10.0"/>
      </rPr>
      <t>."] ["T</t>
    </r>
    <r>
      <rPr>
        <rFont val="Arial"/>
        <b/>
        <color theme="1"/>
        <sz val="10.0"/>
      </rPr>
      <t>o check if new evidences about application contexts are available in the CASE, we use a Prolog interpreter, that is part of Javalog</t>
    </r>
    <r>
      <rPr>
        <rFont val="Arial"/>
        <color theme="1"/>
        <sz val="10.0"/>
      </rPr>
      <t xml:space="preserve"> (Amandi, Campo, &amp; Zunino, 2004), embedded in the PatternAdvisor agent. Javalog is an integration framework between Prolog and Java, which allows us to write rules for application contexts in a declarative manner. In a normal operation of the CASE, the developer will perform different actions on the UML diagrams, and these actions will internally generate various types of events. These events are caught by a designated module and translated to Prolog facts. So, the detection of active evidences is just a matter of periodically querying by Javalog to determine which rules are true. </t>
    </r>
    <r>
      <rPr>
        <rFont val="Arial"/>
        <b/>
        <color theme="1"/>
        <sz val="10.0"/>
      </rPr>
      <t>Once evidences are processed, they are sent to the BN and the design pattern probabilities are recalculated</t>
    </r>
    <r>
      <rPr>
        <rFont val="Arial"/>
        <color theme="1"/>
        <sz val="10.0"/>
      </rPr>
      <t>."]</t>
    </r>
  </si>
  <si>
    <t>Statistical measures (Confusion Matrix, precision, recall, and F-measure)</t>
  </si>
  <si>
    <t>PS46</t>
  </si>
  <si>
    <t>S80</t>
  </si>
  <si>
    <t>P115</t>
  </si>
  <si>
    <t>Salama, M., &amp; Bahsoon, R.</t>
  </si>
  <si>
    <t>Analysing and modelling runtime architectural stability for self-adaptive software</t>
  </si>
  <si>
    <r>
      <rPr>
        <rFont val="Arial"/>
        <color theme="1"/>
        <sz val="10.0"/>
      </rPr>
      <t xml:space="preserve">["In order to assess the advice precision of PatternAdvisor, we carried out two types of experiments. The first type was oriented to test individually each of the design patterns supported by PatternAdvisor. Along this line, we evaluated whether the agent was able to detect a particular pattern, in the presence of its associated evidences with ‘‘ad-hoc’’ application contexts. </t>
    </r>
    <r>
      <rPr>
        <rFont val="Arial"/>
        <b/>
        <color theme="1"/>
        <sz val="10.0"/>
      </rPr>
      <t>The assistance was tested on different design scenarios, consisting of a small number of classes, objects and relationships</t>
    </r>
    <r>
      <rPr>
        <rFont val="Arial"/>
        <color theme="1"/>
        <sz val="10.0"/>
      </rPr>
      <t>. After a few refinements in the specification of the rules to characterize the application contexts, the suggestions proved to be successful. Sometimes, since no feedback was considered in these experiments, the agent showed biases towards patterns that were ‘‘structurally’’ related to the one expected as solution. For example, this happened with the patterns grouped by the GoF under the category of ‘‘wrappers’’. For the second type of experiments, the agent was exposed to various groups of patterns. This also involved more complex design scenarios (i.e., more classes, objects and relationships) and the possibility of feedback with respect to the utility of the recommendations.</t>
    </r>
    <r>
      <rPr>
        <rFont val="Arial"/>
        <b/>
        <color theme="1"/>
        <sz val="10.0"/>
      </rPr>
      <t xml:space="preserve"> For each scenario, the output of PatternAdvisor was analyzed through the construction of the so-called confusion matrix. In addition, we calculated two common measures to evaluate the learning capabilities of an agent: precision and recall (Oard &amp; Marchionini, 1996)</t>
    </r>
    <r>
      <rPr>
        <rFont val="Arial"/>
        <color theme="1"/>
        <sz val="10.0"/>
      </rPr>
      <t xml:space="preserve">. The confusion matrix can give an idea of the effectiveness of the assistance, showing the number of correct suggestions made by the agent against predicted suggestions for the design scenario (see Fig. 7). On this basis, the precision can be seen as the number of patterns correctly detected divided by the total number of patterns actually identified, while the recall can be seen as the number of patterns correctly classified divided by the total number of patterns that should have been identified. </t>
    </r>
    <r>
      <rPr>
        <rFont val="Arial"/>
        <b/>
        <color theme="1"/>
        <sz val="10.0"/>
      </rPr>
      <t>When the precision and recall are both important for a system, as in the case of PatternAdvisor, they can be combined into a single indicator called the F-measure.</t>
    </r>
    <r>
      <rPr>
        <rFont val="Arial"/>
        <color theme="1"/>
        <sz val="10.0"/>
      </rPr>
      <t xml:space="preserve"> Generally, the F-measure should tend to 1 as long as the agent becomes more proficient with its recommendations."]</t>
    </r>
  </si>
  <si>
    <t>S32</t>
  </si>
  <si>
    <t>P58</t>
  </si>
  <si>
    <t>Neil M and Fenton NE</t>
  </si>
  <si>
    <t>Predicting software quality using Bayesian belief networks</t>
  </si>
  <si>
    <t>Proc 21st Annual Software Eng Workshop</t>
  </si>
  <si>
    <t>Idioms</t>
  </si>
  <si>
    <t>["We modelled the process of independent testing using the measurement idiom - p(test results | risk, test quality) - and the cause-consequence idiom - p(test quality | complexity, competence)."] ["Risk is defined as the frequency of failure multiplied by the severity of failure. We modelled this using the definitional/synthesis idiom as p(safety | severity, failures) = severity x failures."] ["Again, the reconciliation idiom is used to reconcile observations made here with the causal inferences made in the risk BN."] ["The competence BN involves inferring the current competence of the testing organisation from historical data and some judgements of how informative this data is. This is modelled using the induction idiom as p(competence | historical competence, similarity) as shown in Figure 26(d)."]</t>
  </si>
  <si>
    <t>PS47</t>
  </si>
  <si>
    <t>S81</t>
  </si>
  <si>
    <t>P116</t>
  </si>
  <si>
    <t>P59</t>
  </si>
  <si>
    <t>Saraiva, R., Medeiros, A., Perkusich, M., Valadares, D., Gorgônio, K. C., Perkusich, A., &amp; Almeida, H.</t>
  </si>
  <si>
    <t>A Bayesian networks-based method to analyze the validity of the data of software measurement programs</t>
  </si>
  <si>
    <t>IEEE Access</t>
  </si>
  <si>
    <t>Enhancing bayesian network model for integrated software quality prediction</t>
  </si>
  <si>
    <t>Fourth International Conference on Information, Process, and Knowledge Managemen</t>
  </si>
  <si>
    <t xml:space="preserve">Expert-derived categories/thresholds (based on the analysis of historical/empirical data) </t>
  </si>
  <si>
    <t>P60</t>
  </si>
  <si>
    <t>A conceptual Bayesian net model for integrated software quality prediction</t>
  </si>
  <si>
    <t>PS48</t>
  </si>
  <si>
    <t>Annales Universitatis Mariae Curie-Sklodowska, sectio AI–Informatica</t>
  </si>
  <si>
    <t>S85</t>
  </si>
  <si>
    <t>P120</t>
  </si>
  <si>
    <r>
      <rPr>
        <rFont val="Arial"/>
        <color theme="1"/>
        <sz val="10.0"/>
      </rPr>
      <t xml:space="preserve">The authors/researchers made several assumptions to build the DAG based on the metrics recorded by the company that participated in the study. ["Because the concept of software quality consists of diverse facets of software, we should consider various criteria, which are usually assessed by collectable metrics. In such metrics, the amount of residual faults is considered one of the most important factors because it represents the amount of inconsistency between the specification and the implemented product. Furthermore, the development members in the company regard this metric as the most important quality measurement. Thus, in this paper, the amount of residual faults in a product is considered a factor of software quality. Concretely, our proposed models predict whether the amount of residual faults in a product is acceptable at the end of the acceptance test and debug activity or not.] ["In order to use these software metrics for the BBN, we next discretize them. First, we discretize all software metrics without RFAT. </t>
    </r>
    <r>
      <rPr>
        <rFont val="Arial"/>
        <b/>
        <color theme="1"/>
        <sz val="10.0"/>
      </rPr>
      <t>The number of classes for discretized software metrics is decided as three in this paper. For example, these classes are called “Large”, “Medium”, and “Small”, respectively</t>
    </r>
    <r>
      <rPr>
        <rFont val="Arial"/>
        <color theme="1"/>
        <sz val="10.0"/>
      </rPr>
      <t xml:space="preserve">. </t>
    </r>
    <r>
      <rPr>
        <rFont val="Arial"/>
        <b/>
        <color theme="1"/>
        <sz val="10.0"/>
      </rPr>
      <t>Next, the thresholds for each class in discretized software metrics are decided. In this paper, for each metric, these are decided by using an actual dataset such that the sorted dataset of a metric are divided equally. Next, we decide a threshold for the metric RFAT. Since the model is used for software quality prediction, zero should be a single group. Thus, classes for RFAT are “Good”, which means RFAT = 0 , and “Poor”, which means RFAT &gt; 0, respectively.</t>
    </r>
    <r>
      <rPr>
        <rFont val="Arial"/>
        <color theme="1"/>
        <sz val="10.0"/>
      </rPr>
      <t>"] ["First, we construct DAGs for each activity. For the embedded model, we construct DAGs for five activities based on the relationships among metrics related to the corresponding activities. Therefore, we integrate these DAGs into a DAG that represents the whole development process."] [" (1) DAG for Design Activity (common) Here, we assume that faults are introduced by design activity, and that residual faults are removed by other activities such as review, and test and debug activities in Figs. 3 and 4. We assume that metrics SDS and EDS in design activity (DS) affect the number of the introduced faults, RFDS."] ["As a first step, we construct an abstract development process from the actual development process (...) we construct DAGs for each activity. For the embedded model, we construct DAGs for five activities based on the relationships among metrics related to the corresponding activities. Therefore, we integrate these DAGs into a DAG that represents the whole development process."]</t>
    </r>
  </si>
  <si>
    <t>Malak, G., Sahraoui, H., Badri, L., &amp; Badri, M.</t>
  </si>
  <si>
    <t>["In order to construct the BBN, we need to construct a DAG (Directed Acyclic Graph) and CPT (Conditional Probability Table). However, the method for CPT is already established and can be carried out automatically. "]</t>
  </si>
  <si>
    <t>Modeling web quality using a probabilistic approach: An empirical validation</t>
  </si>
  <si>
    <t>ACM Transactions on the Web (TWEB)</t>
  </si>
  <si>
    <t>Cross validation, statistical measures (accuracy rate, Fisher's exact test)</t>
  </si>
  <si>
    <t>["7.2 Application Procedure  In order to evaluate the BBNs according to the objectives mentioned in Sect. 3, we perform two experiments using the dataset. • Self-application As a preliminary experiment, we first apply the dataset to a prediction model for both training and prediction. From the result of this experiment, we can see how well the model represents a relationship between a feature of the software development process and final software quality. • 10-fold cross validation The evaluation through the k-fold cross validation method is one of the most common techniques for model evaluation. The dataset is here split into k equally sized subsets. Then in i-th iteration (i = 1,..., k), the i-th subset is used for testing the BBN that has been learned from all other remaining subsets. Notice that each instance of data is classified exactly once. The number of subsets k is usually set to 10. From this experiments, we can see how applicable the model is for practical use. The results of predictions are evaluated using the following two perspectives: • Accuracy rate Accuracy rate represents the ratio of the correct prediction. This criterion implies the accuracy of the prediction. The larger the accuracy rate is, the better the model is. For evaluating both BBNs, we use this criterion. • Fisher’s exact test Fisher’s exact test is the statistical test for verifying the correlation between two variables. By using this testing, we can verify whether or not there is a relationship between the result of a prediction and the actual result (which is recorded as a metric). This criterion is used for evaluating the worth of a prediction model. In this paper, we adopt the significance level α = 0.1."]</t>
  </si>
  <si>
    <t>The authors/researchers made several assumptions to build the DAG based on the metrics recorded by the company that participated in the study. ["When we try to predict software quality, human factors such as ability and expertise, should be considered key metrics for the prediction. However, these metrics are not recorded, and thus we do not consider them in this paper."] ["We define a prediction model using the BBN, according to Figure 6, for software quality. First, we construct five kinds of DAGs for five activities: DS , RV, S DB, MDB, and AT as shown in Figure 5. Next, we integrate these five DAGs into a DAG that represents the whole software development process. (1) DAG for DS Here, we assume that faults are introduced by design activity, and that residual faults are removed by other activities such as review, test &amp; debug in Figure 6. We assume that metrics S DS and EDS in design activity affect the number of the introduced faults RFDS . The larger the design effort EDS is, the larger the number of introduced faults RFDS is. Similarly, the RFDS becomes large in proportion to the size of the product S DS . As a result, the DAG shown in Figure 7 is obtained."]</t>
  </si>
  <si>
    <t>PS49</t>
  </si>
  <si>
    <t>S87</t>
  </si>
  <si>
    <t>P127</t>
  </si>
  <si>
    <t>Lamersdorf, A., &amp; Münch, J.</t>
  </si>
  <si>
    <t>A multi-criteria distribution model for global software development projects</t>
  </si>
  <si>
    <t>Journal of the Brazilian Computer Society</t>
  </si>
  <si>
    <t>S34</t>
  </si>
  <si>
    <t>P62</t>
  </si>
  <si>
    <t>Ł Radliński</t>
  </si>
  <si>
    <t>Predicting Defect Types in Software Projects</t>
  </si>
  <si>
    <r>
      <rPr>
        <rFont val="Arial"/>
        <color rgb="FF000000"/>
        <sz val="10.0"/>
      </rPr>
      <t xml:space="preserve">["In this step, we identified 4 aspects and 6 input variables which have an impact upon the maintenance effort of a military avionics software project. </t>
    </r>
    <r>
      <rPr>
        <rFont val="Arial"/>
        <b/>
        <color rgb="FF000000"/>
        <sz val="10.0"/>
      </rPr>
      <t>By the interview and discussion with domain experts, we specially focused on the identification of input variables</t>
    </r>
    <r>
      <rPr>
        <rFont val="Arial"/>
        <color rgb="FF000000"/>
        <sz val="10.0"/>
      </rPr>
      <t xml:space="preserve"> which project managers can collect and use easily in the planning stage of real project."] ["4.2. Construction of a causal model In this step, we constructed the causal model of effort estimation for military avionics software maintenance project using the 4 aspects and 6 input parameters which were identified in the previous step. Figure 3 describes our causal model reflects the 4 aspects. In particular, the nodes of our model are created using the 6 input parameters and the relations of nodes in the part of structural characteristics aspect are the same as the relations among CSCIs, CSCs, and CSUs. Because the structure of military avionics software complies with the standard, our causal model can be used as the framework to be extended to other avionics domain. Using this model, the learning process of BN will be executed in the next step."] ["</t>
    </r>
    <r>
      <rPr>
        <rFont val="Arial"/>
        <b/>
        <color rgb="FF000000"/>
        <sz val="10.0"/>
      </rPr>
      <t>Table 2 describes the result of domain analysis: 4 aspects, 6 input variables and their probability and states, and unit.</t>
    </r>
    <r>
      <rPr>
        <rFont val="Arial"/>
        <color rgb="FF000000"/>
        <sz val="10.0"/>
      </rPr>
      <t xml:space="preserve"> Because BN uses the discrete interval values to calculate the probability as we mentioned in the Section3, </t>
    </r>
    <r>
      <rPr>
        <rFont val="Arial"/>
        <b/>
        <color rgb="FF000000"/>
        <sz val="10.0"/>
      </rPr>
      <t>the continuous value of numeric variables was divided into two or three states using domain experts’ advice</t>
    </r>
    <r>
      <rPr>
        <rFont val="Arial"/>
        <color rgb="FF000000"/>
        <sz val="10.0"/>
      </rPr>
      <t>"]</t>
    </r>
  </si>
  <si>
    <t>["4.3. Execution of learning process using BN tool In this step, the learning process executes on our causal model using BN tool. BN tool transforms the values of input parameters to the joint probability distribution of the maintenance effort as the defined three states:low, medium, and high."]</t>
  </si>
  <si>
    <t>Cross validation, statistical measures (PRESS(PREdiction Sum of Squares) statistics, the SPR, MMRE (Mean Magnitude Relative Error), MaxMRE (Maximum Magnitude Relative Error), MdMRE (Median Magnitude Relative Error) and the PRED measures)</t>
  </si>
  <si>
    <t>["In this step, the performance of effort estimation model was performed according to 7 performance evaluation criteria and a cross validation. "] ["In order to perform the accurate performance evaluation of the estimation model in detail, we applied 7 performance evaluation criteria such as the PRESS(PREdiction Sum of Squares) statics [11], the SPR, MMRE (Mean Magnitude Relative Error), MaxMRE (Maximum Magnitude Relative Error), MdMRE (Median Magnitude Relative Error) ([3],[9])and the PRED measures([5],[10]): "]</t>
  </si>
  <si>
    <t>PS50</t>
  </si>
  <si>
    <t>S88</t>
  </si>
  <si>
    <t>P130</t>
  </si>
  <si>
    <t>Mirarab, S., &amp; Tahvildari, L.</t>
  </si>
  <si>
    <t>A prioritization approach for software test cases based on bayesian networks</t>
  </si>
  <si>
    <t>Fundamental Approaches to Software Engineering: 10th International Conference, FASE 2007</t>
  </si>
  <si>
    <t>["Our BBN model of human error uses the slips/mistakes distinction from Reason [23], who drew on earlier work by Norman [31]. Slips are attention-based lapses and omissions in skilled behaviour, whereas mistakes are failures in plans and, hence, fit into Rasmussen’s [29] rule and knowledge levels of processing. The BBN model distinguishes between tasks that will be highly trained skills and, therefore, more prone to slips (e.g. monitoring tasks) and knowledge-intensive tasks, such as analysis and planning, that will be more prone to mistakes. The causal model of error accounts for the different key influences on slips and mistakes taken from Reason’s human error theory, Rasmussen’s work and our own research on error taxonomies [13]."] ["The main components of the tool are the session controller, the reliability analyser and the visualiser. The session controller implements the algorithm that runs a set of scenarios against the system specification that represents a high-level model of the system design. The reliability analyser component runs the BBN model for each task step with an exhaustive combination of all the environmental parameters. The BBN model is composed of 22 input variables, 12 of which correspond to the task and technology and are, therefore, set prior to the tuple run, while the other 12 correspond to the environmental influences. Therefore, the total permutations for each tuple run is 212 (4,096 tuple runs), which corresponds to the two possible states of each parameter. Finally, the visualiser provides a visual summary of all the runs for a set of scenarios. This enables different designs to be compared and the problem areas to be identified, i.e. role/technical component combinations which show low potential reliability. For each scenario, the SRA tool calculates the system error probabilities based on the BBN model. The tool employs the described generic command and control sequence structure (Sect. 1.3). Scenarios are considered as a sequence of phases. Each phase is composed of task steps. Each task step models a different combination of the tuple &lt;agent, task, technology&gt;. For each task step, the system calculates the probability of errors by running the BBN model (Fig. 5), taking into account all the possible permutations of the environmental parameters appropriate to that task step (combination of 12 environmental parameters, i.e good visibility, bad sea state, good lighting, low comfort etc.)."]</t>
  </si>
  <si>
    <t>Simulated association rules</t>
  </si>
  <si>
    <t>PS51</t>
  </si>
  <si>
    <t>S92</t>
  </si>
  <si>
    <t>P135</t>
  </si>
  <si>
    <t>Khanna, M., Chauhan, N., Sharma, D. K., &amp; Toofani, A.</t>
  </si>
  <si>
    <t>Test case prioritisation during web application testing</t>
  </si>
  <si>
    <t>International Journal of Computer Applications in Technology</t>
  </si>
  <si>
    <r>
      <rPr>
        <rFont val="Arial"/>
        <color rgb="FF000000"/>
        <sz val="10.0"/>
      </rPr>
      <t>["</t>
    </r>
    <r>
      <rPr>
        <rFont val="Arial"/>
        <b/>
        <color rgb="FF000000"/>
        <sz val="10.0"/>
      </rPr>
      <t>The BN model of system reliability is based on a taxonomy of influencing factors by Sutcliffe and Rugg [62] and the slips/mistakes distinction from Reason [52], who drew on earlier work by Norman [44]</t>
    </r>
    <r>
      <rPr>
        <rFont val="Arial"/>
        <color rgb="FF000000"/>
        <sz val="10.0"/>
      </rPr>
      <t xml:space="preserve">. Slips are attention-based lapses and omissions in skilled behavior, whereas mistakes are failures in plans and, hence, fit into Rasmussen’s [51] rule and knowledge levels of processing. The BN model distinguishes between tasks that involve highly trained skills and are more prone to slips (e.g., monitoring tasks) and knowledge-intensive tasks, such as analysis and planning, that are more prone to mistakes. According to the human error theory [41], the system environmental variables have an indirect influence on an individual’s ability through increasing the fatigue and stress levels, as reflected in the BN model in Fig. 2. An individual’s ability, however, has a direct effect on mistakes. Organizational factors (management culture, incentives) have a direct effect on individuals’ motivation [39]. Finally, individuals’ characteristics, such as domain and task knowledge, have a direct effect on mistake-type errors [53]. Slips are mainly influenced by the user interface, the constraints (time constraints, interruptions), and the individual’s dedication [52]. Tasks of high cognitive complexity are considered to be more prone to mistake errors, while tasks of physical complexity, such as complex manipulations involving precise movements and detailed coordination, are more prone to slip-errors [59]."] ["The topology and components of the BN for performance time assessment are similar to the Reliability BN since many of the influences on performance and error are the same. The Operational Performance Time model has a similar causal network to the Reliability BN, apart from having one output node (operational performance) rather than two. As with the Reliability BN illustrated in Fig. 2, the likelihood influences expressed in the BN model and its NPTs are based on human factors performance literature [64] (see also Table 2)."] [" All the inputs are contained in files that link the variables to human agents, technology components, task properties, or the environment, subdivided into human and system operational aspects. </t>
    </r>
    <r>
      <rPr>
        <rFont val="Arial"/>
        <b/>
        <color rgb="FF000000"/>
        <sz val="10.0"/>
      </rPr>
      <t>The input variables are all discrete states (best/worst case) which are derived from the measures detailed in Table 2.</t>
    </r>
    <r>
      <rPr>
        <rFont val="Arial"/>
        <color rgb="FF000000"/>
        <sz val="10.0"/>
      </rPr>
      <t xml:space="preserve">"] ["7 </t>
    </r>
    <r>
      <rPr>
        <rFont val="Arial"/>
        <b/>
        <color rgb="FF000000"/>
        <sz val="10.0"/>
      </rPr>
      <t>VALIDATING THE BN MODELS</t>
    </r>
    <r>
      <rPr>
        <rFont val="Arial"/>
        <color rgb="FF000000"/>
        <sz val="10.0"/>
      </rPr>
      <t xml:space="preserve"> We used data mining techniques to test the assumptions embedded in the BN models to map the expected influences elicited from domain experts and theory. We simulated all possible permutations of the input model variables and created a database of reliability and performance time predictions for these runs. This produced an extensive set of test data; for example, for one scenario composed of four phases with six task steps in each phase, the tool generated 4*6*3^12 records. The BN model’s NPT and the causal influences were analyzed with the following data mining techniques: relevance analysis, association rules, and classification [25]. Relevance analysis ranks input parameters of the model based on their relevance to one of the model’s output parameters (e.g., reliability in our BN). </t>
    </r>
    <r>
      <rPr>
        <rFont val="Arial"/>
        <b/>
        <color rgb="FF000000"/>
        <sz val="10.0"/>
      </rPr>
      <t>Association rules describe how often two or more facts cooccur in a data set and were employed to check the causal associations in our model</t>
    </r>
    <r>
      <rPr>
        <rFont val="Arial"/>
        <color rgb="FF000000"/>
        <sz val="10.0"/>
      </rPr>
      <t xml:space="preserve">. Classification partitions large quantities of data into sets with common characteristics and properties and was used to provide a further check on the structure of the BN models. </t>
    </r>
    <r>
      <rPr>
        <rFont val="Arial"/>
        <b/>
        <color rgb="FF000000"/>
        <sz val="10.0"/>
      </rPr>
      <t>The initial assumptions made about influences on system reliability and operational performance were mainly satisfied</t>
    </r>
    <r>
      <rPr>
        <rFont val="Arial"/>
        <color rgb="FF000000"/>
        <sz val="10.0"/>
      </rPr>
      <t xml:space="preserve">. However, the relevance analysis revealed that sea state had only a minor influence on system error, although, </t>
    </r>
    <r>
      <rPr>
        <rFont val="Arial"/>
        <b/>
        <color rgb="FF000000"/>
        <sz val="10.0"/>
      </rPr>
      <t>according to domain experts</t>
    </r>
    <r>
      <rPr>
        <rFont val="Arial"/>
        <color rgb="FF000000"/>
        <sz val="10.0"/>
      </rPr>
      <t xml:space="preserve">, it is a major influence on human error. Several intermediate nodes had diluted the influence of sea state on system error nodes, so </t>
    </r>
    <r>
      <rPr>
        <rFont val="Arial"/>
        <b/>
        <color rgb="FF000000"/>
        <sz val="10.0"/>
      </rPr>
      <t>it was necessary to alter the BN causal diagram</t>
    </r>
    <r>
      <rPr>
        <rFont val="Arial"/>
        <color rgb="FF000000"/>
        <sz val="10.0"/>
      </rPr>
      <t>. The two BN models for assessing operational performance with different levels of automation showed a similar influence of maintenance on operational performance, which should not be the case. These inaccuracies were addressed by altering the BN’s NPTs to increase the prior probability influence for poor maintenance on automated tasks. Association analysis identified two rules with high significance levels that were not explicitly defined in the model: IF (DutyTime = High) THEN (Survived = Fail) IF (Workload) = High) THEN (Survived = Fail). These rules indicated that the causal influences of “DutyTime” and “Workload” were higher than the influences in the BN that had been specified by the domain experts. In order to overcome this problem, we altered the NPT settings to reduce the weighting of these nodes and increase the influence of the “Distractions” node that appeared weak. Finally, classification analysis pinpointed problems with crew motivation and agent ability nodes, which suggested changes to the BN model structure."]</t>
    </r>
  </si>
  <si>
    <t>Simulated relevance analysis</t>
  </si>
  <si>
    <t>PS52</t>
  </si>
  <si>
    <t>S93</t>
  </si>
  <si>
    <t>P136</t>
  </si>
  <si>
    <t>Lee, S. W.</t>
  </si>
  <si>
    <t>Probabilistic risk assessment for security requirements: A preliminary study</t>
  </si>
  <si>
    <t>International Conference on Secure Software Integration and Reliability Improvement</t>
  </si>
  <si>
    <r>
      <rPr>
        <rFont val="Arial"/>
        <color theme="1"/>
        <sz val="10.0"/>
      </rPr>
      <t>["The system can be configured with new BNs by creating a new net and NPTs using the HUGIN tool."] ["</t>
    </r>
    <r>
      <rPr>
        <rFont val="Arial"/>
        <b/>
        <color theme="1"/>
        <sz val="10.0"/>
      </rPr>
      <t>As with the Reliability BN illustrated in Fig. 2, the likelihood influences expressed in the BN model and its NPTs are based on human factors performance literature</t>
    </r>
    <r>
      <rPr>
        <rFont val="Arial"/>
        <color theme="1"/>
        <sz val="10.0"/>
      </rPr>
      <t xml:space="preserve"> [64] (see also Table 2). "] ["7 VALIDATING THE BN MODELS We used data mining techniques to test the assumptions embedded in the BN models to map the expected influences elicited from domain experts and theory. We simulated all possible permutations of the input model variables and created a database of reliability and performance time predictions for these runs. This produced an extensive set of test data; for example, for one scenario composed of four phases with six task steps in each phase, the tool generated 4*6*3^12 records. The BN model’s NPT and the causal influences were analyzed with the following data mining techniques: relevance analysis, association rules, and classification [25]. </t>
    </r>
    <r>
      <rPr>
        <rFont val="Arial"/>
        <b/>
        <color theme="1"/>
        <sz val="10.0"/>
      </rPr>
      <t xml:space="preserve">Relevance analysis ranks input parameters of the model based on their relevance to one of the model’s output parameters (e.g., reliability in our BN). </t>
    </r>
    <r>
      <rPr>
        <rFont val="Arial"/>
        <color theme="1"/>
        <sz val="10.0"/>
      </rPr>
      <t xml:space="preserve">Association rules describe how often two or more facts cooccur in a data set and were employed to check the causal associations in our model. Classification partitions large quantities of data into sets with common characteristics and properties and was used to provide a further check on the structure of the BN models. The initial assumptions made about influences on system reliability and operational performance were mainly satisfied. However, the relevance analysis revealed that sea state had only a minor influence on system error, although, according to domain experts, it is a major influence on human error. Several intermediate nodes had diluted the influence of sea state on system error nodes, so it was necessary to alter the BN causal diagram. </t>
    </r>
    <r>
      <rPr>
        <rFont val="Arial"/>
        <b/>
        <color theme="1"/>
        <sz val="10.0"/>
      </rPr>
      <t>The two BN models for assessing operational performance with different levels of automation showed a similar influence of maintenance on operational performance, which should not be the case. These inaccuracies were addressed by altering the BN’s NPTs to increase the prior probability influence for poor maintenance on automated tasks.</t>
    </r>
    <r>
      <rPr>
        <rFont val="Arial"/>
        <color theme="1"/>
        <sz val="10.0"/>
      </rPr>
      <t xml:space="preserve"> Association analysis identified two rules with high significance levels that were not explicitly defined in the model: IF (DutyTime = High) THEN (Survived = Fail) IF (Workload) = High) THEN (Survived = Fail). </t>
    </r>
    <r>
      <rPr>
        <rFont val="Arial"/>
        <b/>
        <color theme="1"/>
        <sz val="10.0"/>
      </rPr>
      <t>These rules indicated that the causal influences of “DutyTime” and “Workload” were higher than the influences in the BN that had been specified by the domain experts. In order to overcome this problem, we altered the NPT settings to reduce the weighting of these nodes and increase the influence of the “Distractions” node that appeared weak.</t>
    </r>
    <r>
      <rPr>
        <rFont val="Arial"/>
        <color theme="1"/>
        <sz val="10.0"/>
      </rPr>
      <t xml:space="preserve"> Finally, classification analysis pinpointed problems with crew motivation and agent ability nodes, which suggested changes to the BN model structure."]</t>
    </r>
  </si>
  <si>
    <t>S39</t>
  </si>
  <si>
    <t>PS53</t>
  </si>
  <si>
    <t>P67</t>
  </si>
  <si>
    <r>
      <rPr>
        <rFont val="Arial"/>
        <color theme="1"/>
        <sz val="10.0"/>
      </rPr>
      <t xml:space="preserve">["At  the  time  of  building a  BN  from  expert opinion  for  a  particular  group, </t>
    </r>
    <r>
      <rPr>
        <rFont val="Arial"/>
        <b/>
        <color theme="1"/>
        <sz val="10.0"/>
      </rPr>
      <t>a  number of  interviews are conducted with the development team to discuss the type of information they record to measure the  quality  of  their  processes and  new  factors they identify  as  relevant quality  drivers that  are  not currently recorded</t>
    </r>
    <r>
      <rPr>
        <rFont val="Arial"/>
        <color theme="1"/>
        <sz val="10.0"/>
      </rPr>
      <t>. Once this matter has been clarified, it is necessary to group the factors that are interdependent to reflect these dependencies in the network. For example, in the case of the BN model for the requirements phase, an element that will affect the quality of the output, i.e. the requirements specification, is its structural complexity.The  BN  model  shown  in  Figure3 represents  the  factors  and  their  interdependencies  for  the requirements process followed in Motorola Toulouse. The structure of the network is open to further development; therefore it is reasonable to assume that its current structure will undergo improvements as the research evolves. The input and output nodes of the network architecture being discussed are described in TableII. The intermediate nodes used in the network (e.g.REQUncomprehensiveness,andREQAccuracy) integrate information that, in the experts’ experience, is brought together duringthe decision process at any point in the requirements phase. In some cases, the intermediate nodes allow the network architects to express explicitly the dependency that exists between some of the factors used to build the network."] [" e. Depending on the variability of the data, it might not be possible to compute a good predictor just by calibrating current models. In such cases, there are two possibilities. i.</t>
    </r>
    <r>
      <rPr>
        <rFont val="Arial"/>
        <b/>
        <color theme="1"/>
        <sz val="10.0"/>
      </rPr>
      <t xml:space="preserve"> Review</t>
    </r>
    <r>
      <rPr>
        <rFont val="Arial"/>
        <color theme="1"/>
        <sz val="10.0"/>
      </rPr>
      <t xml:space="preserve"> the activities being modelled to determine whether there are </t>
    </r>
    <r>
      <rPr>
        <rFont val="Arial"/>
        <b/>
        <color theme="1"/>
        <sz val="10.0"/>
      </rPr>
      <t>missing factors</t>
    </r>
    <r>
      <rPr>
        <rFont val="Arial"/>
        <color theme="1"/>
        <sz val="10.0"/>
      </rPr>
      <t xml:space="preserve"> or whether some of the </t>
    </r>
    <r>
      <rPr>
        <rFont val="Arial"/>
        <b/>
        <color theme="1"/>
        <sz val="10.0"/>
      </rPr>
      <t>existing factors have not been correctly specified</t>
    </r>
    <r>
      <rPr>
        <rFont val="Arial"/>
        <color theme="1"/>
        <sz val="10.0"/>
      </rPr>
      <t xml:space="preserve">. If this is the case, it may be necessary to </t>
    </r>
    <r>
      <rPr>
        <rFont val="Arial"/>
        <b/>
        <color theme="1"/>
        <sz val="10.0"/>
      </rPr>
      <t>modify the structure</t>
    </r>
    <r>
      <rPr>
        <rFont val="Arial"/>
        <color theme="1"/>
        <sz val="10.0"/>
      </rPr>
      <t xml:space="preserve"> of the existing network, i.e. its nodes and links, subsequently initiating another iteration in the validation procedure."]</t>
    </r>
  </si>
  <si>
    <t>S94</t>
  </si>
  <si>
    <t>Survey with practitioners (questionnaire), learning from data using an automated tool</t>
  </si>
  <si>
    <t>P137</t>
  </si>
  <si>
    <t>Eom, H. S., Park, G. Y., Jang, S. C., Son, H. S., &amp; Kang, H. G.</t>
  </si>
  <si>
    <t>Hao W,Fei P,Chao Z,Pietschker A</t>
  </si>
  <si>
    <r>
      <rPr>
        <rFont val="Arial"/>
        <color theme="1"/>
        <sz val="10.0"/>
      </rPr>
      <t xml:space="preserve">["The Netica tool [13] has been used to build the networks."] ["The calibration enhancements (mean and variance) were achieved through the validation and calibration of the nodes that comprise the existing models using </t>
    </r>
    <r>
      <rPr>
        <rFont val="Arial"/>
        <b/>
        <color theme="1"/>
        <sz val="10.0"/>
      </rPr>
      <t>historical data that were collected in the 2003 projects and in new projects completed in 2004</t>
    </r>
    <r>
      <rPr>
        <rFont val="Arial"/>
        <color theme="1"/>
        <sz val="10.0"/>
      </rPr>
      <t xml:space="preserve"> as part of the quality process improvement activities of the development organization. For this purpose </t>
    </r>
    <r>
      <rPr>
        <rFont val="Arial"/>
        <b/>
        <color theme="1"/>
        <sz val="10.0"/>
      </rPr>
      <t>a data collection tool, the ‘Web questionnaire’, was deployed at Motorola Toulouse</t>
    </r>
    <r>
      <rPr>
        <rFont val="Arial"/>
        <color theme="1"/>
        <sz val="10.0"/>
      </rPr>
      <t>. At the same time, the first model set representing component development was extended by including a ‘code inspection’ model, and a ‘system test effectiveness’ model for system testing."]</t>
    </r>
  </si>
  <si>
    <t>V&amp;V-based remaining fault estimation model for safety–critical software of a nuclear power plant</t>
  </si>
  <si>
    <t>Software project level estimation model framework based on Bayesian belief networks</t>
  </si>
  <si>
    <t>Annals of Nuclear Energy</t>
  </si>
  <si>
    <t>QSIC</t>
  </si>
  <si>
    <r>
      <rPr>
        <rFont val="Arial"/>
        <color theme="1"/>
        <sz val="10.0"/>
      </rPr>
      <t>["Statistical techniques are applied that provide a measurement of the quality of the predictions made by the models, and directions on how the models could be improved. The validation method described in this paper considers two alternative ways to produce an improved network. The first is based mainly on modifying the ranges of the existing nodes, adding interdependencies between them, and varying the weight values associated with each of the nodes that are used as inputs to the intermediate nodes of the BN model. The second possibility uses linear regression and principal component analysis to build the intermediate and output nodes of the network. "] ["</t>
    </r>
    <r>
      <rPr>
        <rFont val="Arial"/>
        <b/>
        <color theme="1"/>
        <sz val="10.0"/>
      </rPr>
      <t>The validation  was  conducted  using  data  collected  from  various  participants</t>
    </r>
    <r>
      <rPr>
        <rFont val="Arial"/>
        <color theme="1"/>
        <sz val="10.0"/>
      </rPr>
      <t xml:space="preserve">  in  the  software development  and  testing  teams,  covering  the  entire  model  input  and  output  factors  for  each development activity. </t>
    </r>
    <r>
      <rPr>
        <rFont val="Arial"/>
        <b/>
        <color theme="1"/>
        <sz val="10.0"/>
      </rPr>
      <t>The answers provided by the development team were fed to the  BN  models to  generate  predictions  for each of  the  network’s  outputs.  The  set  of  output  values  constitutes  a distribution labelled here as the ‘predicted distribution’ (PreDst). This value was then compared against the ‘actual distribution’ (ActDst) recorded by the Motorola Toulouse team during the characterization of  their  software  development process</t>
    </r>
    <r>
      <rPr>
        <rFont val="Arial"/>
        <color theme="1"/>
        <sz val="10.0"/>
      </rPr>
      <t>.  Initial  predictions  showed  a  clear  need  for  calibration  and several  methods  were  applied  to  calibrate  the  models:  adjusting  relations  within  the  models  and also modifying the structure of the model using principal component analysis combined with linear regression. The latter proved to produce the best results, at least on the sample data that were used."] ["Comparing the networks of the validation procedure against the initial requirements network that was built by Toulouse, there are structural differences in addition to the ranges and functions that were used to compute the output node. It was necessary to add another input node, which has been labelled REUSE. Its value is a percentage indicating how much of the requirements in the feature’s specification document are being reused from a previous release. The reusability factor should always be taken into consideration because of the impact it has over the amount of work that needs to be carried out when developing a software feature."] ["The paper demonstrates two alternative ways of producing an improved network. The first is based mainly on modifying the ranges of the existing nodes, adding interdependencies between them, and varying the weight values associated with each of the nodes that are used as inputs to the intermediate nodes  of  a  BN  model.  The  second  possibility  is  to use  PCA  and  linear  regression  to  build  the intermediate and output nodes of the BN network."]</t>
    </r>
  </si>
  <si>
    <t>PS54</t>
  </si>
  <si>
    <t>S95</t>
  </si>
  <si>
    <t>P138</t>
  </si>
  <si>
    <t>Chatterjee, S., &amp; Maji, B.</t>
  </si>
  <si>
    <t>A bayesian belief network based model for predicting software faults in early phase of software development process</t>
  </si>
  <si>
    <t>Applied Intelligence</t>
  </si>
  <si>
    <t>["Like all BNs, the defect model was built using a mixture of data and expert judgements. Understanding cause and effect is a basic form of human knowledge underlying our decisions. For example, a project manager knows that more rigorous testing increases the number – and proportion of – defects found during testing and therefore reduces the number remaining in the delivered software. It is obvious that the relationship is not the other way round. However, it is equally obvious that we need to take into account whatever evidence we have about: the likely number of defects in the software following development; the capabilities of the team; and the adequacy of the time allowed. The expert’s understanding of cause and effect is used to connect the variables of the net with arcs drawn from cause to effect."] ["The dynamic variable is shown with a dashed boundary. We construct the DBN with two nodes for each time-indexed variable: the value in the previous time frame is the ‘input’ node (here ‘Residual defects pre’) and it has no parents in the net. The node representing the value in this time frame is called the ‘output node’ (here ‘Residual defects post’). Note that the variable for the current time frame ‘Residual defects post’ depends on the one for the previous time frame, but as an ancestor rather than as a parent since it is clearer to represent the model with the intermediate variable ‘Total defects in’."]</t>
  </si>
  <si>
    <t>S41</t>
  </si>
  <si>
    <t>P69</t>
  </si>
  <si>
    <t>S Bibi, I Stamelos</t>
  </si>
  <si>
    <t>Literature review, focus group, lifecycle model</t>
  </si>
  <si>
    <t>Software process modeling with Bayesian belief networks</t>
  </si>
  <si>
    <t>International Software Metrics Symposium (Metrics 2004)</t>
  </si>
  <si>
    <r>
      <rPr>
        <rFont val="Arial"/>
        <color rgb="FF000000"/>
        <sz val="10.0"/>
      </rPr>
      <t xml:space="preserve">["We developed this causal model based on a combination of the following sources: - empirical data from the </t>
    </r>
    <r>
      <rPr>
        <rFont val="Arial"/>
        <b/>
        <color rgb="FF000000"/>
        <sz val="10.0"/>
      </rPr>
      <t>literature</t>
    </r>
    <r>
      <rPr>
        <rFont val="Arial"/>
        <color rgb="FF000000"/>
        <sz val="10.0"/>
      </rPr>
      <t xml:space="preserve">; - empirical </t>
    </r>
    <r>
      <rPr>
        <rFont val="Arial"/>
        <b/>
        <color rgb="FF000000"/>
        <sz val="10.0"/>
      </rPr>
      <t>data from the project partners</t>
    </r>
    <r>
      <rPr>
        <rFont val="Arial"/>
        <color rgb="FF000000"/>
        <sz val="10.0"/>
      </rPr>
      <t xml:space="preserve">; - </t>
    </r>
    <r>
      <rPr>
        <rFont val="Arial"/>
        <b/>
        <color rgb="FF000000"/>
        <sz val="10.0"/>
      </rPr>
      <t>subjective judgment of project managers and other experts in the collaborative project</t>
    </r>
    <r>
      <rPr>
        <rFont val="Arial"/>
        <color rgb="FF000000"/>
        <sz val="10.0"/>
      </rPr>
      <t xml:space="preserve">, where no relevant data was available."] ["This section is an overview of the BN model whose factors were elicited from experienced project managers in the MODIST project (MODIST 2003)."] ["The factors used in the model were originally identified by a group of project managers from different partners in the MODIST project. Although from different organisations, it was possible for the project managers to agree on the importance of factors such as ‘Requirements Stability’."] ["We found that the model becomes less sensitive to changes in project size and other factors influencing the ‘effective KLoC implemented this phase’ (Fig. 3) for larger projects. The limit in project size is around 150 KLoC for the most complex projects and around 400 KLoC for the least complex. This can be observed on Fig. 14 as a flatter area in which the predicted number of residual defects does not increase with an increase in project size. These limits arise </t>
    </r>
    <r>
      <rPr>
        <rFont val="Arial"/>
        <b/>
        <color rgb="FF000000"/>
        <sz val="10.0"/>
      </rPr>
      <t>from the original expert-elicitation sessions</t>
    </r>
    <r>
      <rPr>
        <rFont val="Arial"/>
        <color rgb="FF000000"/>
        <sz val="10.0"/>
      </rPr>
      <t xml:space="preserve">; specifically projects beyond that range had never been considered (primarily because the experts were focused on knowledge of components or subsystems). We observed similar insensitivity to project size increases in subsequent scenarios."] ["3.4 </t>
    </r>
    <r>
      <rPr>
        <rFont val="Arial"/>
        <b/>
        <color rgb="FF000000"/>
        <sz val="10.0"/>
      </rPr>
      <t>Subnets for Development Activities</t>
    </r>
    <r>
      <rPr>
        <rFont val="Arial"/>
        <color rgb="FF000000"/>
        <sz val="10.0"/>
      </rPr>
      <t xml:space="preserve"> The model distinguishes three development activities: - </t>
    </r>
    <r>
      <rPr>
        <rFont val="Arial"/>
        <b/>
        <color rgb="FF000000"/>
        <sz val="10.0"/>
      </rPr>
      <t>specification and documentation</t>
    </r>
    <r>
      <rPr>
        <rFont val="Arial"/>
        <color rgb="FF000000"/>
        <sz val="10.0"/>
      </rPr>
      <t xml:space="preserve"> (Fig. 4) with the outcome ‘probability of avoiding specification defects’; - </t>
    </r>
    <r>
      <rPr>
        <rFont val="Arial"/>
        <b/>
        <color rgb="FF000000"/>
        <sz val="10.0"/>
      </rPr>
      <t>design and development</t>
    </r>
    <r>
      <rPr>
        <rFont val="Arial"/>
        <color rgb="FF000000"/>
        <sz val="10.0"/>
      </rPr>
      <t xml:space="preserve"> (Fig. 5) with the outcome ‘probability of avoiding defect in development’; - </t>
    </r>
    <r>
      <rPr>
        <rFont val="Arial"/>
        <b/>
        <color rgb="FF000000"/>
        <sz val="10.0"/>
      </rPr>
      <t>testing and rework</t>
    </r>
    <r>
      <rPr>
        <rFont val="Arial"/>
        <color rgb="FF000000"/>
        <sz val="10.0"/>
      </rPr>
      <t xml:space="preserve"> (Fig. 6) with the outcomes ‘probability of finding defect’ and ‘probability of fixing defect’."] ["Qualitative data are expressed on a five-point ordinal scale. The ordinal values used are: Very High, High, Medium, Low, Very Low. The data values were gathered using a questionnaire, which was completed by the project manager, project quality manger or other senior project staff. Each questionnaire item consists of: &amp; More detailed questions, &amp; An </t>
    </r>
    <r>
      <rPr>
        <rFont val="Arial"/>
        <b/>
        <color rgb="FF000000"/>
        <sz val="10.0"/>
      </rPr>
      <t>interpretation of the ordinal scale</t>
    </r>
    <r>
      <rPr>
        <rFont val="Arial"/>
        <color rgb="FF000000"/>
        <sz val="10.0"/>
      </rPr>
      <t>.For example, for factor S1 ‘Relevant Experience of Spec and Doc Staff’, the additional questions are: 1. Did the Requirements team have adequate experience in analysing and generating requirements? 2. Did the Requirements team have adequate domain expertise? and the ordinal scale points are: Very High: Software engineers with greater than 3 year’s experience in requirements management, and with extensive domain knowledge. High: Software engineers with greater than 3 year’s experience in requirements management, but with limited domain knowledge. Medium: Software engineers having between 1 and 3 year’s experience in requirements management.Low: Software engineers having between 1 and 3 year’s experience, but with no experience in requirements management. Very Low: Software engineers with less than 1 year’s experience, and with no previous domain experience."]</t>
    </r>
  </si>
  <si>
    <t>Ranked Nodes method, partitioned expressions, historical data</t>
  </si>
  <si>
    <t>S42</t>
  </si>
  <si>
    <t>P70</t>
  </si>
  <si>
    <t>Bibi, S., Ampatzoglou, A., &amp; Stamelos, I.</t>
  </si>
  <si>
    <t>A Bayesian belief network for modeling open source software maintenance productivity</t>
  </si>
  <si>
    <t>Open Source Systems: Integrating Communities: 12th IFIP WG 2.13 International Conference, OSS 2016</t>
  </si>
  <si>
    <r>
      <rPr>
        <rFont val="Arial"/>
        <color rgb="FF000000"/>
        <sz val="10.0"/>
      </rPr>
      <t xml:space="preserve">["The data needed for the model was not available in any publicly accessible form, even though similar factors are used in popular models supporting software managers, most notably COCOMO-II (Boehm et al. 1995) for software cost estimation. For example, the </t>
    </r>
    <r>
      <rPr>
        <rFont val="Arial"/>
        <b/>
        <color rgb="FF000000"/>
        <sz val="10.0"/>
      </rPr>
      <t xml:space="preserve">ISBSG dataset </t>
    </r>
    <r>
      <rPr>
        <rFont val="Arial"/>
        <color rgb="FF000000"/>
        <sz val="10.0"/>
      </rPr>
      <t xml:space="preserve">(ISBSG 2007), containing data on about 4,106 projects, helps us to </t>
    </r>
    <r>
      <rPr>
        <rFont val="Arial"/>
        <b/>
        <color rgb="FF000000"/>
        <sz val="10.0"/>
      </rPr>
      <t>quantify some of the relationships in the model</t>
    </r>
    <r>
      <rPr>
        <rFont val="Arial"/>
        <color rgb="FF000000"/>
        <sz val="10.0"/>
      </rPr>
      <t xml:space="preserve">, but it does not help in validation because of the absence of the qualitative, causal factors."] ["One way </t>
    </r>
    <r>
      <rPr>
        <rFont val="Arial"/>
        <b/>
        <color rgb="FF000000"/>
        <sz val="10.0"/>
      </rPr>
      <t>experts</t>
    </r>
    <r>
      <rPr>
        <rFont val="Arial"/>
        <color rgb="FF000000"/>
        <sz val="10.0"/>
      </rPr>
      <t xml:space="preserve"> were used in building the model was </t>
    </r>
    <r>
      <rPr>
        <rFont val="Arial"/>
        <b/>
        <color rgb="FF000000"/>
        <sz val="10.0"/>
      </rPr>
      <t>to estimate the ‘strength’ of the effect of each qualitative factor</t>
    </r>
    <r>
      <rPr>
        <rFont val="Arial"/>
        <color rgb="FF000000"/>
        <sz val="10.0"/>
      </rPr>
      <t xml:space="preserve"> in the causal model. This information is represented in the </t>
    </r>
    <r>
      <rPr>
        <rFont val="Arial"/>
        <b/>
        <color rgb="FF000000"/>
        <sz val="10.0"/>
      </rPr>
      <t>conditional probability table</t>
    </r>
    <r>
      <rPr>
        <rFont val="Arial"/>
        <color rgb="FF000000"/>
        <sz val="10.0"/>
      </rPr>
      <t xml:space="preserve"> for each node in the Bayesian network."] ["The Bayesian net model used in this study is one such method that handles missing data, since the model </t>
    </r>
    <r>
      <rPr>
        <rFont val="Arial"/>
        <b/>
        <color rgb="FF000000"/>
        <sz val="10.0"/>
      </rPr>
      <t>includes prior probability distributions for all the project data</t>
    </r>
    <r>
      <rPr>
        <rFont val="Arial"/>
        <color rgb="FF000000"/>
        <sz val="10.0"/>
      </rPr>
      <t>."] ["</t>
    </r>
    <r>
      <rPr>
        <rFont val="Arial"/>
        <b/>
        <color rgb="FF000000"/>
        <sz val="10.0"/>
      </rPr>
      <t>The values for child nodes in these subnets are calculated using weighted expressions (Fenton et al. 2007a): - weighted max—for ‘requirements creep’;- weighted min—for ‘spec and doc process effectiveness’;- weighted means—for all other child nodes. The weights in these expressions have been estimated by experienced software managers.</t>
    </r>
    <r>
      <rPr>
        <rFont val="Arial"/>
        <color rgb="FF000000"/>
        <sz val="10.0"/>
      </rPr>
      <t xml:space="preserve"> However, users can also add their own factors describing process and people quality as well as modify their importance by changing the weights. Each of the development activity subnets ends with a numeric ‘probability’ node used in the defect insertion and discovery subnet (Fig. 2). </t>
    </r>
    <r>
      <rPr>
        <rFont val="Arial"/>
        <b/>
        <color rgb="FF000000"/>
        <sz val="10.0"/>
      </rPr>
      <t>The expressions for these ‘probability’ nodes are partitioned expressions where, for each state of the parent node (overall effectiveness of the specific activity), the Truncated Normal distribution is entered</t>
    </r>
    <r>
      <rPr>
        <rFont val="Arial"/>
        <color rgb="FF000000"/>
        <sz val="10.0"/>
      </rPr>
      <t xml:space="preserve">. For example, the expression for the probability of finding a defect for the testing when the testing process overall effectiveness is at its lowest value is defined as: TNormal(0.01, 0.001, 0, 1); since the mean here is 0.01 this says that typically we would expect to find only 1% of the defects when the testing process overall effectiveness is at its worst level. When the testing process overall effectiveness is at its highest level the distribution for defects found is defined as: TNormal(0.9, 0.001, 0, 1)—so this says that typically in the best case we would expect to find 90% of the defects. The values for the means in these distributions depending on the value of the parent node are presented in Table 2. The variance for these distributions was 0.001 in all ‘probability’ nodes except in ‘probability of avoiding defect in development’ where it was 0.005. Because of the range of possible probability values we defined truncation points of 0 and 1."] ["Since the “size” in KLOC of the project may not describe the project well enough our model adjusts the value of the project size by two </t>
    </r>
    <r>
      <rPr>
        <rFont val="Arial"/>
        <b/>
        <color rgb="FF000000"/>
        <sz val="10.0"/>
      </rPr>
      <t>ranked variables</t>
    </r>
    <r>
      <rPr>
        <rFont val="Arial"/>
        <color rgb="FF000000"/>
        <sz val="10.0"/>
      </rPr>
      <t xml:space="preserve">: ‘complexity of new functionality’, ‘scale of distributed communication’, and the Boolean variable: ‘integration with third party software’ (Fig. 3). As a result this subnet estimates the ‘effective KLOC implemented this phase’."] ["Qualitative data are expressed on a five-point ordinal scale. The ordinal values used are: Very High, High, Medium, Low, Very Low. </t>
    </r>
    <r>
      <rPr>
        <rFont val="Arial"/>
        <b/>
        <color rgb="FF000000"/>
        <sz val="10.0"/>
      </rPr>
      <t>The data values were gathered using a questionnaire</t>
    </r>
    <r>
      <rPr>
        <rFont val="Arial"/>
        <color rgb="FF000000"/>
        <sz val="10.0"/>
      </rPr>
      <t>, which was completed by the project manager, project quality manger or other senior project staff."] This data set was used for validation only.</t>
    </r>
  </si>
  <si>
    <t>Predictive accuracy, statistical measures (Coefficient of determination (R2), Mean Magnitude of Relative Error (MMRE), Median Magnitude of Relative Error (MdMRE), Balanced Mean Magnitude of Relative Error (BMMRE), Mean Magnitude of Relative Error relative to the Estimate (MEMRE), Median Magnitude of Relative Error relative to the estimate (MdEMRE), Prediction at level l)</t>
  </si>
  <si>
    <r>
      <rPr>
        <rFont val="Arial"/>
        <color rgb="FF000000"/>
        <sz val="10.0"/>
      </rPr>
      <t xml:space="preserve">["The validation results also confirm the need for using the qualitative factors in the model. The dataset may be of interest to other researchers evaluating models with similar aims. </t>
    </r>
    <r>
      <rPr>
        <rFont val="Arial"/>
        <b/>
        <color rgb="FF000000"/>
        <sz val="10.0"/>
      </rPr>
      <t>Based on some typical scenarios we demonstrate how the model can be used for better decision support in operational environments. We also performed sensitivity analysis in which we identified the most influential variables on the number of residual defects</t>
    </r>
    <r>
      <rPr>
        <rFont val="Arial"/>
        <color rgb="FF000000"/>
        <sz val="10.0"/>
      </rPr>
      <t xml:space="preserve">."] ["we used the following evaluation measures which are commonly used and suggested to validate such types of models (Chulani et al. 1999; Fenton et al. 2007b; Kitchenham et al. 2001; Stensrud et al. 2002): 1. </t>
    </r>
    <r>
      <rPr>
        <rFont val="Arial"/>
        <b/>
        <color rgb="FF000000"/>
        <sz val="10.0"/>
      </rPr>
      <t>Coefficient of determination (R2) 2. Mean Magnitude of Relative Error (MMRE) 3. Median Magnitude of Relative Error (MdMRE) 4. Balanced Mean Magnitude of Relative Error (BMMRE) 5. Mean Magnitude of Relative Error relative to the Estimate (MEMRE) 6. Median Magnitude of Relative Error relative to the estimate (MdEMRE) 7. Prediction at level</t>
    </r>
    <r>
      <rPr>
        <rFont val="Arial"/>
        <color rgb="FF000000"/>
        <sz val="10.0"/>
      </rPr>
      <t xml:space="preserve"> l—measures the fraction of observations for which predictions are within ± l percent of actuals."] ["We can observe that the </t>
    </r>
    <r>
      <rPr>
        <rFont val="Arial"/>
        <b/>
        <color rgb="FF000000"/>
        <sz val="10.0"/>
      </rPr>
      <t>predictive accuracy</t>
    </r>
    <r>
      <rPr>
        <rFont val="Arial"/>
        <color rgb="FF000000"/>
        <sz val="10.0"/>
      </rPr>
      <t xml:space="preserve"> of the model, expressed by the different measures presented in Table 14, increases with the size of the project and achieves highly desirable values in such types of models (...)"] ["9 Decision Support for Software Manager A clear benefit of a Bayesian net model, compared for example to a more traditional statistical model derived purely from regression analysis, is its provision of a range of decision-support and risk assessment capabilities. These are potentially extremely valuable to project managers. We illustrate this with two example scenarios in this section. 9.1 Example 1 In the first scenario we assume that the software company is about to deliver software with predicted size of 100 KLoC of ‘medium’ complexity. Without entering any other data as inputs to the model we get a prediction of 1438 (median) residual defects. Let us further assume that there will be no special allowances for testing and reworking on this project and so we set the value for ‘Testing process overall effectiveness’ and the ‘Rework process overall effectiveness’ as ‘medium’. The revised prediction for number of residual defects is 1709 (median). The software manager might decide that this is far too high and that the maximum number of residual defects that can be tolerated is 200. Then in the BN model we can enter the value 200 in the residual defects node. Since the BN is able to propagate evidence backwards as well as forwards we can compare the predictions for unknown variables such as development process effort and development process quality. (...)"]</t>
    </r>
  </si>
  <si>
    <r>
      <rPr>
        <rFont val="Arial"/>
        <color rgb="FF000000"/>
        <sz val="10.0"/>
      </rPr>
      <t xml:space="preserve">["Like all BNs, the defect model was built using a mixture of data and expert judgements.  Understanding cause and effect is a basic form of human knowledge, underlying our decisions.  For example, a project manager knows that more rigorous testing increases the number – and proportion of – defects found during testing and therefore reduces the number remaining in the delivered software. It is obvious that the relationship is not the other way round.  However, it is equally obvious that we need to take into account whatever evidence we have about: the likely number of defects in the software following development; the capabilities of the team; and the adequacy of the time allowed.  The expert’s understanding of cause and effect is used to connect the variables of the net with arcs drawn from cause to effect. "] ["The incremental and waterfall models are just two ends of a continuum.  To cover all parts of this continuum, </t>
    </r>
    <r>
      <rPr>
        <rFont val="Arial"/>
        <b/>
        <color rgb="FF000000"/>
        <sz val="10.0"/>
      </rPr>
      <t>we consider all phases to include one or more of the following development activities</t>
    </r>
    <r>
      <rPr>
        <rFont val="Arial"/>
        <color rgb="FF000000"/>
        <sz val="10.0"/>
      </rPr>
      <t>: • Specification/documentation: This covers any activity whose objective is to understand or describe some existing or proposed functionality. It includes: requirements gathering writing, reviewing, or changing any documentation (other than comments in code).  • Development (or more simply coding):  This covers any activity that starts with some predefined requirements (however vague) and ends with executable code. • Testing and rework: This covers any activity that involves executing code in such a way that defects are found and noted; it also includes fixing known defects. The phase BN includes all these activities, allowing the extent of each activity in any actual phase to be adjusted."]</t>
    </r>
  </si>
  <si>
    <r>
      <rPr>
        <rFont val="Arial"/>
        <color rgb="FF000000"/>
        <sz val="10.0"/>
      </rPr>
      <t xml:space="preserve">[" The MODIST (‘Models of Uncertainty and Risk for Distributed Software Development’) Project [14], which was part-funded by the EC, was concerned with improved predictions of quality in large distributed software projects. The project partners were Agena, Israel Aircraft Industries, QinetiQ and Philips. As part of this project </t>
    </r>
    <r>
      <rPr>
        <rFont val="Arial"/>
        <b/>
        <color rgb="FF000000"/>
        <sz val="10.0"/>
      </rPr>
      <t>a group of experienced project managers identified a set of factors influencing cost and quality outcomes, which we formed into a causal model.</t>
    </r>
    <r>
      <rPr>
        <rFont val="Arial"/>
        <color rgb="FF000000"/>
        <sz val="10.0"/>
      </rPr>
      <t xml:space="preserve"> This model is summarized in Section 2."] ["This section is a summary overview of the causal model whose factors were elicited from experienced project managers in the MODIST project [14]. "] ["We developed this causal model (see [8] for further details) based on a combination of the following sources: • </t>
    </r>
    <r>
      <rPr>
        <rFont val="Arial"/>
        <b/>
        <color rgb="FF000000"/>
        <sz val="10.0"/>
      </rPr>
      <t>empirical data from the literature</t>
    </r>
    <r>
      <rPr>
        <rFont val="Arial"/>
        <color rgb="FF000000"/>
        <sz val="10.0"/>
      </rPr>
      <t xml:space="preserve">; • empirical data from the project partners; • subjective judgment of project managers and other experts in the collaborative project, where no relevant data were available."] ["As the first stage of the development of the causal model outlined in Section 2, </t>
    </r>
    <r>
      <rPr>
        <rFont val="Arial"/>
        <b/>
        <color rgb="FF000000"/>
        <sz val="10.0"/>
      </rPr>
      <t>partners in the MODIST Project [14] identified qualitative factors that they believed had a significant influence on the outcome of a software project.</t>
    </r>
    <r>
      <rPr>
        <rFont val="Arial"/>
        <color rgb="FF000000"/>
        <sz val="10.0"/>
      </rPr>
      <t xml:space="preserve"> Once the model had been built the second stage was to gather a dataset to validate the model; to do this effectively a more detailed description of each factor was needed."]</t>
    </r>
  </si>
  <si>
    <t>["The  resulting  network  takes  account  of  a  range  of  product  and  process  factors from  throughout  the  lifecycle  of  a  software  module.  Because  of  the  size  of  the model,  it  is  impractical  to  display  it  in  a  single  figure.  Instead,  we  provide  a  first schematic view in terms of sub-nets (Figure 4). This modular structure is the actual decomposition that was used to build the network using the SERENE tool."] ["The complete network models the entire development and testing life-cycle of a typical  software  module.  We  believe  it  contains  all  the  critical  causal  factors  at  an appropriate level of granularity, at least within the context of software development within  Philips.  It  contains  65  nodes,  many  with  3-5  ordinal  values,  but  several having continuous scales."]</t>
  </si>
  <si>
    <t>Frequency quantification from experts (nodes with no parents), probabilities extrapolation (nodes with parents)</t>
  </si>
  <si>
    <r>
      <rPr>
        <rFont val="Arial"/>
        <color theme="1"/>
        <sz val="10.0"/>
      </rPr>
      <t xml:space="preserve">["The leaf nodes (those with no parents) are the easiest to deal with since </t>
    </r>
    <r>
      <rPr>
        <rFont val="Arial"/>
        <b/>
        <color theme="1"/>
        <sz val="10.0"/>
      </rPr>
      <t>we can elicit the associated marginal probabilities from the expert simply by asking about frequencies of the individual states.</t>
    </r>
    <r>
      <rPr>
        <rFont val="Arial"/>
        <color theme="1"/>
        <sz val="10.0"/>
      </rPr>
      <t xml:space="preserve"> For example, consider the leaf node novelty in Figure 5. This node has five states “very high”, “high”, “average”, “low”, “very low”. Suppose the expert judgement is that modules typically are not very novel, giving the following weights (as surrogates for the probability distribution), respectively, on the basis of knowledge of all previous modules in a development organisation: 5,10,20,40,20 These are turned into probabilities 0.05, 0.11, 0.21, 0.42, 0.21 (note the slight change of scale to normalise the distribution). The NPTs for all other leaf nodes were determined in a similar manner (by either eliciting weightings or a drawing of the shape of the marginal distribution)."] ["The NPTs for nodes with parents are much more difficult to define – there are just too many of them (there are several million in total in this BBN). </t>
    </r>
    <r>
      <rPr>
        <rFont val="Arial"/>
        <b/>
        <color theme="1"/>
        <sz val="10.0"/>
      </rPr>
      <t>Hence we used the variety of methods and tools that we developed in the afore-mentioned SERENE and IMPRESS projects</t>
    </r>
    <r>
      <rPr>
        <rFont val="Arial"/>
        <color theme="1"/>
        <sz val="10.0"/>
      </rPr>
      <t>. As an example, we will return to the node specification quality in Figure 5. As we have seen, in principle for each value for specification quality we have to define 100 probabilities. Instead of eliciting these all directly we elicit a sample, including those at the ‘extreme’ values as well as typical, and ask the expert to provide the rough shape of the distribution for specification quality in each case.</t>
    </r>
    <r>
      <rPr>
        <rFont val="Arial"/>
        <b/>
        <color theme="1"/>
        <sz val="10.0"/>
      </rPr>
      <t xml:space="preserve"> We then generate an actual probability distribution in each case and extrapolate distributions for all the intermediate values.</t>
    </r>
    <r>
      <rPr>
        <rFont val="Arial"/>
        <color theme="1"/>
        <sz val="10.0"/>
      </rPr>
      <t xml:space="preserve"> To see how this was done, Table 1 shows the actual data we elicited in this case. The first three columns represent the specific sample values and the final column is the rough shape for the distribution of “specification quality” given those values. In the “best case” scenario of row 2 (resources good, stability high, complexity low) the distribution peaks sharply close to 5 (i.e. close to “best” quality specification). If the complexity is high (row 3) then the distribution is still skewed toward the best end, but is not as sharply peaked. In the “worst case” scenario of row 3 (resources bad, stability low, complexity high) the distribution peaks sharply close to 1 (i.e. close to “worst” quality specification). On the basis of the distributions drawn by the expert we derive a function to compute the mean of the specification quality distribution in terms of the parents variables. For example, in this case the mean used was: min(resource_effects,(5*resource_effects + intrinsic_complexity + 5*stability_effects)/11) In this example, to arrive at the distribution shapes drawn by the expert, we make use of "intermediate nodes". For example, there is an intermediate node stability that is the parent of the node stability effects. The stability effects node NPT is defined as the following beta distribution that is generated using the IMPRESS tool: Beta (2.25 * stability - 1.25, -2.25 * stability + 12.25, 1, 5)  Figure 6 shows the actual distribution in the final BBN (using the Hugin tool) for the node specification quality under a number of the scenarios of Table 1. This figure provides a good consistency check – there is an excellent match of the distributions with those specified by the expert. </t>
    </r>
    <r>
      <rPr>
        <rFont val="Arial"/>
        <b/>
        <color theme="1"/>
        <sz val="10.0"/>
      </rPr>
      <t>By applying numerous consistency checks we believe that the resulting NPTs are a fair representation of experience within Philips</t>
    </r>
    <r>
      <rPr>
        <rFont val="Arial"/>
        <color theme="1"/>
        <sz val="10.0"/>
      </rPr>
      <t>."]</t>
    </r>
  </si>
  <si>
    <r>
      <rPr>
        <rFont val="Arial"/>
        <color theme="1"/>
        <sz val="10.0"/>
      </rPr>
      <t>["5. Validation of the Defect Estimation Tool AID The Philips Software Centre (PSC), Bangalore, India, made validation data available. We gratefully acknowledge their support in this way. PSC is a centre for excellence for software development within Philips, and so data was available from a wide diversity of projects from the various Business Divisions within PSC. Data was collected from 31 projects from three Business Divisions: Mainstream Consumer Electronics, Philips Medical Systems and Digital Networks. This gave a spread of different sizes and types of projects. Data was collected from three sources: – Pre-release and post-release defect data was collected from the “Performance Indicators” database. – More extensive project data was available from the Project Database. – Completed questionnaires on selected projects.</t>
    </r>
    <r>
      <rPr>
        <rFont val="Arial"/>
        <b/>
        <color theme="1"/>
        <sz val="10.0"/>
      </rPr>
      <t xml:space="preserve"> In addition, the network was demonstrated in detail on a one to one basis to five experienced quality/test engineers to obtain their reaction to its behaviour under a number of hypothetical scenarios</t>
    </r>
    <r>
      <rPr>
        <rFont val="Arial"/>
        <color theme="1"/>
        <sz val="10.0"/>
      </rPr>
      <t xml:space="preserve">. 5.1. Initial Validation Results The network was used to make predictions of numbers of defects found during unit test, integration test and independent testing of the module once it had been integrated into a product. </t>
    </r>
    <r>
      <rPr>
        <rFont val="Arial"/>
        <b/>
        <color theme="1"/>
        <sz val="10.0"/>
      </rPr>
      <t>These predictions were compared against the actual values obtained. Data from an initial validation run is presented in Table 2 below</t>
    </r>
    <r>
      <rPr>
        <rFont val="Arial"/>
        <color theme="1"/>
        <sz val="10.0"/>
      </rPr>
      <t>:"]</t>
    </r>
  </si>
  <si>
    <t>S45</t>
  </si>
  <si>
    <t>P73</t>
  </si>
  <si>
    <t>H Ziv, DJ Richardson</t>
  </si>
  <si>
    <t>Bayesian-network confirmation of software testing uncertainties</t>
  </si>
  <si>
    <t>ESEC</t>
  </si>
  <si>
    <t>Expert-derived categories/thresholds, discretization approach</t>
  </si>
  <si>
    <t>S46</t>
  </si>
  <si>
    <t>P74</t>
  </si>
  <si>
    <t>Ziv H,Richardson DJ</t>
  </si>
  <si>
    <r>
      <rPr>
        <rFont val="Arial"/>
        <color rgb="FF000000"/>
        <sz val="10.0"/>
      </rPr>
      <t xml:space="preserve">["Like all BNs it was built using a mixture of data and expert judgements. Understanding cause and effect is a basic form of human knowledge, underlying the actions we take. For example, a project manager knows that increasing the number of people in the team may (there is some uncertainty) increase the delivered functionality. It is obvious that the relationship is not the other way round. The expert’s understanding of cause and effect is used to connect the variables of the net with arcs drawn from cause to effect. </t>
    </r>
    <r>
      <rPr>
        <rFont val="Arial"/>
        <b/>
        <color rgb="FF000000"/>
        <sz val="10.0"/>
      </rPr>
      <t>Many of the relationships between variables have been prompted by empirical results described in a range of sources. These include [1, 2, 5, 12, 13, 17, 19, 21, 22, 23, 25, 26, 35]</t>
    </r>
    <r>
      <rPr>
        <rFont val="Arial"/>
        <color rgb="FF000000"/>
        <sz val="10.0"/>
      </rPr>
      <t xml:space="preserve">. "] ["A description of the main variables, including the model’s rationale is given in Table 1. Variables, such as those described in Table 1, representing quality attributes have a </t>
    </r>
    <r>
      <rPr>
        <rFont val="Arial"/>
        <b/>
        <color rgb="FF000000"/>
        <sz val="10.0"/>
      </rPr>
      <t>5-point measurement scale, ranging from very low to very high.</t>
    </r>
    <r>
      <rPr>
        <rFont val="Arial"/>
        <color rgb="FF000000"/>
        <sz val="10.0"/>
      </rPr>
      <t xml:space="preserve"> "] ["The ‘functionality delivered’ subnet is shown in Figure 4; each variable is described in Table 3. The values of variables such as ‘project duration’ are numbers – in this case any number ≥ 0 . </t>
    </r>
    <r>
      <rPr>
        <rFont val="Arial"/>
        <b/>
        <color rgb="FF000000"/>
        <sz val="10.0"/>
      </rPr>
      <t>Since BNs require variables to have discrete states, this range is divided into intervals. To reduce discretisation errors it is desirable to have large numbers of intervals – up to 200 for some variables – and we are able to do this using the techniques described in [31]</t>
    </r>
    <r>
      <rPr>
        <rFont val="Arial"/>
        <color rgb="FF000000"/>
        <sz val="10.0"/>
      </rPr>
      <t xml:space="preserve">. "] ["The variables are discrete: for example, the ‘Process and people quality’ variable has five states, from </t>
    </r>
    <r>
      <rPr>
        <rFont val="Arial"/>
        <b/>
        <color rgb="FF000000"/>
        <sz val="10.0"/>
      </rPr>
      <t>‘very low’ to ‘very high</t>
    </r>
    <r>
      <rPr>
        <rFont val="Arial"/>
        <color rgb="FF000000"/>
        <sz val="10.0"/>
      </rPr>
      <t>’. Other variables, such as ‘Total effective effort’, naturally take a numeric value (in person months);</t>
    </r>
    <r>
      <rPr>
        <rFont val="Arial"/>
        <b/>
        <color rgb="FF000000"/>
        <sz val="10.0"/>
      </rPr>
      <t xml:space="preserve"> intervals are used to approximate these variables discretely</t>
    </r>
    <r>
      <rPr>
        <rFont val="Arial"/>
        <color rgb="FF000000"/>
        <sz val="10.0"/>
      </rPr>
      <t>. "]</t>
    </r>
  </si>
  <si>
    <t>Constructing Bayesian-network models of software testing and maintenance uncertainties</t>
  </si>
  <si>
    <t>Literature review, truncated normal distribution, direct function (e.g., sum, formula), expert judgement</t>
  </si>
  <si>
    <t>Conference on Software Maintenance</t>
  </si>
  <si>
    <r>
      <rPr>
        <rFont val="Arial"/>
        <color theme="1"/>
        <sz val="10.0"/>
      </rPr>
      <t xml:space="preserve">["The </t>
    </r>
    <r>
      <rPr>
        <rFont val="Arial"/>
        <b/>
        <color theme="1"/>
        <sz val="10.0"/>
      </rPr>
      <t>results of empirical research</t>
    </r>
    <r>
      <rPr>
        <rFont val="Arial"/>
        <color theme="1"/>
        <sz val="10.0"/>
      </rPr>
      <t xml:space="preserve"> into some key relationships present in our model, notably between the effort put into a project and the quantity and quality of software developed, has been used to </t>
    </r>
    <r>
      <rPr>
        <rFont val="Arial"/>
        <b/>
        <color theme="1"/>
        <sz val="10.0"/>
      </rPr>
      <t>build the net’s probability tables</t>
    </r>
    <r>
      <rPr>
        <rFont val="Arial"/>
        <color theme="1"/>
        <sz val="10.0"/>
      </rPr>
      <t xml:space="preserve">."] [" Indicator variables used in the BN can be customised to match the indicators used within the organisation. As well as editing names given to an indicator in the questionnaire, its probability table can be adjusted. To make this feasible, the toolset provides a formula language with </t>
    </r>
    <r>
      <rPr>
        <rFont val="Arial"/>
        <b/>
        <color theme="1"/>
        <sz val="10.0"/>
      </rPr>
      <t>appropriate statistical distributions</t>
    </r>
    <r>
      <rPr>
        <rFont val="Arial"/>
        <color theme="1"/>
        <sz val="10.0"/>
      </rPr>
      <t xml:space="preserve">. We have found the </t>
    </r>
    <r>
      <rPr>
        <rFont val="Arial"/>
        <b/>
        <color theme="1"/>
        <sz val="10.0"/>
      </rPr>
      <t>truncated normal distribution</t>
    </r>
    <r>
      <rPr>
        <rFont val="Arial"/>
        <color theme="1"/>
        <sz val="10.0"/>
      </rPr>
      <t xml:space="preserve"> useful for creating a probability expressing an expert’s assessment of the ‘strength’ of an indicator. This approach, which is also used to adjust the probability tables of consequence variables synthesised from a number of causes, is described in detail in [29]. "] ["We are able to use a formula to express the relationship of ‘Total effect adjusted by Brooks factor’ (Teb) on the ‘Project Duration’ (Pd) and ‘Average number of people full time’ (Anp): ( ) 0.8 P(Teb | Pd, Anp) = Pd ∗ 1+ Anp"] ["To ensure that our model is consistent with these empirical findings, </t>
    </r>
    <r>
      <rPr>
        <rFont val="Arial"/>
        <b/>
        <color theme="1"/>
        <sz val="10.0"/>
      </rPr>
      <t>the probability tables in the net are constructed using data, whenever it is available</t>
    </r>
    <r>
      <rPr>
        <rFont val="Arial"/>
        <color theme="1"/>
        <sz val="10.0"/>
      </rPr>
      <t xml:space="preserve">. However, when there is missing data, or the data does not take account of all the causal influences, </t>
    </r>
    <r>
      <rPr>
        <rFont val="Arial"/>
        <b/>
        <color theme="1"/>
        <sz val="10.0"/>
      </rPr>
      <t>expert judgement must be used as well</t>
    </r>
    <r>
      <rPr>
        <rFont val="Arial"/>
        <color theme="1"/>
        <sz val="10.0"/>
      </rPr>
      <t xml:space="preserve">. "] ["However, the data available does not cover the influence of people and processes factors although it is known that when these factors vary from best to worst, productivity (measured by functionality delivered for a given total actual effort) can vary by a factor of 20. This is represented in the net by an adjustment of effort to give ‘total effective effort’. </t>
    </r>
    <r>
      <rPr>
        <rFont val="Arial"/>
        <b/>
        <color theme="1"/>
        <sz val="10.0"/>
      </rPr>
      <t>Experts were asked to judge the size of this adjustment influence, checking that the ‘average’ quality case is consistent with the empirical data</t>
    </r>
    <r>
      <rPr>
        <rFont val="Arial"/>
        <color theme="1"/>
        <sz val="10.0"/>
      </rPr>
      <t>. "]</t>
    </r>
  </si>
  <si>
    <t>S47</t>
  </si>
  <si>
    <t>P75</t>
  </si>
  <si>
    <t>C.-F.Fan and Y.-C.Yu</t>
  </si>
  <si>
    <t>Bbn-based software project risk management</t>
  </si>
  <si>
    <r>
      <rPr>
        <rFont val="Arial"/>
        <color theme="1"/>
        <sz val="10.0"/>
      </rPr>
      <t>["5. Using the Bayesian net for Decision Support What makes the Bayesian resource model so powerful, when compared with traditional software cost models, is that we can enter observations anywhere to perform not just predictions but also many types of trade-off analysis and risk assessment. So we can enter requirements for quality and functionality and let the model show us the distributions for effort and time. Alternatively we can specify the effort and time we have available and let the model predict the distributions for quality and functionality delivered (measured in function points).</t>
    </r>
    <r>
      <rPr>
        <rFont val="Arial"/>
        <b/>
        <color theme="1"/>
        <sz val="10.0"/>
      </rPr>
      <t xml:space="preserve"> We show two examples of the model in use.</t>
    </r>
    <r>
      <rPr>
        <rFont val="Arial"/>
        <color theme="1"/>
        <sz val="10.0"/>
      </rPr>
      <t>"]</t>
    </r>
  </si>
  <si>
    <t>Literature review, statistical analysis of a dataset</t>
  </si>
  <si>
    <t>Statistical analysis of a dataset</t>
  </si>
  <si>
    <r>
      <rPr>
        <rFont val="Arial"/>
        <color rgb="FF000000"/>
        <sz val="10.0"/>
      </rPr>
      <t>["Table 1. Summary of data sources at various stages of model development [</t>
    </r>
    <r>
      <rPr>
        <rFont val="Arial"/>
        <b/>
        <color rgb="FF000000"/>
        <sz val="10.0"/>
      </rPr>
      <t>Stage</t>
    </r>
    <r>
      <rPr>
        <rFont val="Arial"/>
        <color rgb="FF000000"/>
        <sz val="10.0"/>
      </rPr>
      <t xml:space="preserve"> / </t>
    </r>
    <r>
      <rPr>
        <rFont val="Arial"/>
        <b/>
        <color rgb="FF000000"/>
        <sz val="10.0"/>
      </rPr>
      <t>Source of data</t>
    </r>
    <r>
      <rPr>
        <rFont val="Arial"/>
        <color rgb="FF000000"/>
        <sz val="10.0"/>
      </rPr>
      <t>] [</t>
    </r>
    <r>
      <rPr>
        <rFont val="Arial"/>
        <b/>
        <color rgb="FF000000"/>
        <sz val="10.0"/>
      </rPr>
      <t>Identification of variables</t>
    </r>
    <r>
      <rPr>
        <rFont val="Arial"/>
        <color rgb="FF000000"/>
        <sz val="10.0"/>
      </rPr>
      <t xml:space="preserve"> / </t>
    </r>
    <r>
      <rPr>
        <rFont val="Arial"/>
        <b/>
        <color rgb="FF000000"/>
        <sz val="10.0"/>
      </rPr>
      <t>literature survey, analysis of past models, expert knowledg</t>
    </r>
    <r>
      <rPr>
        <rFont val="Arial"/>
        <color rgb="FF000000"/>
        <sz val="10.0"/>
      </rPr>
      <t xml:space="preserve">e] </t>
    </r>
    <r>
      <rPr>
        <rFont val="Arial"/>
        <b/>
        <color rgb="FF000000"/>
        <sz val="10.0"/>
      </rPr>
      <t>[Model structure</t>
    </r>
    <r>
      <rPr>
        <rFont val="Arial"/>
        <color rgb="FF000000"/>
        <sz val="10.0"/>
      </rPr>
      <t xml:space="preserve"> / </t>
    </r>
    <r>
      <rPr>
        <rFont val="Arial"/>
        <b/>
        <color rgb="FF000000"/>
        <sz val="10.0"/>
      </rPr>
      <t>expert knowledge</t>
    </r>
    <r>
      <rPr>
        <rFont val="Arial"/>
        <color rgb="FF000000"/>
        <sz val="10.0"/>
      </rPr>
      <t>] "] ["Model structure has been defined to reflect expert knowledge and other soft information reported in earlier studies. This stage involved building the core of the model with only minimum set of trade-off variables and successively adding new variables and subnets extending model functionality. "] ["</t>
    </r>
    <r>
      <rPr>
        <rFont val="Arial"/>
        <b/>
        <color rgb="FF000000"/>
        <sz val="10.0"/>
      </rPr>
      <t xml:space="preserve">These factors have been identified as predictors in the statistical analysis </t>
    </r>
    <r>
      <rPr>
        <rFont val="Arial"/>
        <color rgb="FF000000"/>
        <sz val="10.0"/>
      </rPr>
      <t xml:space="preserve">of ISBSG dataset [6] containing data on 3024 software projects described by 99 variables. This analysis involved the following steps [12]: 1) analyzing dependent variables and applying transformations to logged distributions; </t>
    </r>
    <r>
      <rPr>
        <rFont val="Arial"/>
        <b/>
        <color rgb="FF000000"/>
        <sz val="10.0"/>
      </rPr>
      <t>2) preparing list of potential predictors based on experience and on analysis of factors incorporated in similar models in the past, mainly [2; 3; 4];</t>
    </r>
    <r>
      <rPr>
        <rFont val="Arial"/>
        <color rgb="FF000000"/>
        <sz val="10.0"/>
      </rPr>
      <t xml:space="preserve"> 3) analyzing categories of potential nominal predictors which resulted in removing one predictor from further analysis (unclear interpretation) and setting new categories grouping many similar low-frequency states for some variables; 4) </t>
    </r>
    <r>
      <rPr>
        <rFont val="Arial"/>
        <b/>
        <color rgb="FF000000"/>
        <sz val="10.0"/>
      </rPr>
      <t>identifying relationships between predictors and dependent variables using Spearman’s rank correlation coefficient, Kruskal-Wallis analysis of variance and box-plots</t>
    </r>
    <r>
      <rPr>
        <rFont val="Arial"/>
        <color rgb="FF000000"/>
        <sz val="10.0"/>
      </rPr>
      <t>; 5) identifying correlations and associations among predictors to include in the model only those predictors which are independent of each other – using the same measures as in the previous stage and additionally: Phi, Cramer’s V and contingency coefficients."]</t>
    </r>
  </si>
  <si>
    <t>S49</t>
  </si>
  <si>
    <t>P77</t>
  </si>
  <si>
    <r>
      <rPr>
        <rFont val="Arial"/>
        <color theme="1"/>
        <sz val="10.0"/>
      </rPr>
      <t xml:space="preserve">["3.3. Weights for process factors The final version of the model was calibrated with the results of </t>
    </r>
    <r>
      <rPr>
        <rFont val="Arial"/>
        <b/>
        <color theme="1"/>
        <sz val="10.0"/>
      </rPr>
      <t>questionnaire survey mostly experienced project managers or developers</t>
    </r>
    <r>
      <rPr>
        <rFont val="Arial"/>
        <color theme="1"/>
        <sz val="10.0"/>
      </rPr>
      <t>. The aim of this survey was to determine experts’ opinions about the impact of relevant factors on software quality and development team productivity. Due to contradictory responses the weights have been assigned to each respondent depending on respondent’s experience (as provided by each respondent) and known approach of each respondent to filling the questionnaire (motivation and time spent on thinking about providing responses). Table 2 illustrates summarized results of this survey by presenting the mean, median and weighted mean of the values provided by respondents. The impact of predictors on dependent variables was measured from ‘0’ (no impact) to ‘10’ (the highest impact). The weighted mean values from Table 2 have been directly entered to the model as the weights for process factors. "] ["3.4.</t>
    </r>
    <r>
      <rPr>
        <rFont val="Arial"/>
        <b/>
        <color theme="1"/>
        <sz val="10.0"/>
      </rPr>
      <t xml:space="preserve"> Impact of ranked variables on numeric variables </t>
    </r>
    <r>
      <rPr>
        <rFont val="Arial"/>
        <color theme="1"/>
        <sz val="10.0"/>
      </rPr>
      <t xml:space="preserve">Figure 5 illustrates respondents’ opinions on the expected change in productivity and software quality depending on different combinations of controllable and uncontrollable factors. The scale for these changes is from ‘0’ to ‘10’. Value ‘0’ indicates the greatest possible decrease in productivity and software quality, value ‘5’ means no change and value ‘10’ indicates the highest possible increase.  To incorporate results from Figure 5 it was necessary to find the expressions which best suit the gathered data. </t>
    </r>
    <r>
      <rPr>
        <rFont val="Arial"/>
        <b/>
        <color theme="1"/>
        <sz val="10.0"/>
      </rPr>
      <t>When analyzing the perceived impact of controllable and uncontrollable factors on productivity and software quality it turned out that these relationships are most accurately reflected by the weighted min function [5] – a combination of min and weighted mean functions. The weights in this function have been estimated using Generalized Reduced Gradient algorithm implemented in Microsoft Excel’s Solver tool by minimizing the mean magnitude of relative error (MMRE) between the actual values provided by respondents and the estimates produced by the weighted min function.</t>
    </r>
    <r>
      <rPr>
        <rFont val="Arial"/>
        <color theme="1"/>
        <sz val="10.0"/>
      </rPr>
      <t xml:space="preserve"> Table 3 summarizes these estimated weights. "]</t>
    </r>
  </si>
  <si>
    <t>M. Abouelela and L. Benedicenti</t>
  </si>
  <si>
    <t>Bayesian network based XP process modelling</t>
  </si>
  <si>
    <t>International Journal of Software Engineering &amp; Applications (IJSEA)</t>
  </si>
  <si>
    <t>PS55</t>
  </si>
  <si>
    <t>S96</t>
  </si>
  <si>
    <t>P139</t>
  </si>
  <si>
    <t>Chatzimparmpas, A., &amp; Bibi, S.</t>
  </si>
  <si>
    <t>Maintenance process modeling and dynamic estimations based on Bayesian networks and association rules</t>
  </si>
  <si>
    <t>["This part of the model incorporates results of analysis [20] which we performed using mainly the publicly available ISBSG database of software projects [11], and also compared these results with analyses available in the literature . "]</t>
  </si>
  <si>
    <t>S50</t>
  </si>
  <si>
    <t>P78</t>
  </si>
  <si>
    <t>Q Li, M Jiang, H Li, M Lu</t>
  </si>
  <si>
    <t>Software Reliability Qualitative evaluation Method Based on Bayesian Networks</t>
  </si>
  <si>
    <t>International Conference on Education Technology and Computer</t>
  </si>
  <si>
    <t>PS56</t>
  </si>
  <si>
    <t>S101</t>
  </si>
  <si>
    <t>P144</t>
  </si>
  <si>
    <t>Kang, H. G., Lee, S. H., Lee, S. J., Chu, T. L., Varuttamaseni, A., Yue, M., ... &amp; Li, M.</t>
  </si>
  <si>
    <t>Development of a Bayesian belief network model for software reliability quantification of digital protection systems in nuclear power plants</t>
  </si>
  <si>
    <t>S51</t>
  </si>
  <si>
    <t>P79</t>
  </si>
  <si>
    <t>Nagy, A. , Njima, M. , Mkrtchyan, L.</t>
  </si>
  <si>
    <t>A Bayesian based method for agile method software development release planning and project health monitoring</t>
  </si>
  <si>
    <t>IEEE International Conference on Intelligent Networking and Collaborative Systems</t>
  </si>
  <si>
    <t>["Factors influencing productivity and defect rates The ISBSG database [3] contains data about 3024 software projects described by 100 variables. For data analysis we selected only those variables which were identified as important in estimating PDR in relevant literature [2, 5, 6, 7, 8, 11, 12]. We also reduced the dataset by removing outliers and filtering data in the following stages: • We removed projects with productivity rate outside the 5th to 95th percentile. Because the 5th percentile equalled to the lowest value for defect rate we kept all those projects for the analysis and removed only those above 95th percentile. • We filtered data by leaving only those projects for which: data quality was classified as ‘A’ or ‘B’ (meaning good quality); function points count approach was ‘IFPUG’; and resource level included only development team effort as suggested in [4]. As a result we had data about 260 projects for analyzing defect rate and 1880 for productivity rate. For these empirical defect and productivity rates we fitted probability distributions. Among the several probability distributions analysed, the Log Normal appeared to best fit these empirical data for both productivity and defect rates, either for the whole dataset used in the analysis or by grouping projects using different categories of descriptive data. However, for some projects no defects were found and so the defect rate was 0. The Log Normal distribution accepts only input data with values above 0, but we wanted to avoid excluding them from the analysis. Hence, we adjusted the value of ‘number of defects’ by entering very small positive value (0.1) for projects which actually had no defects. As a result we achieved a small positive value of defect rate for these projects, which we could transform using the Ln function and so keep these projects in the analysis. We also analyzed correlations between potential predictor variables suggested in the literature and PDR. Our analysis confirmed that most of these predictor variables were correlated (linearly or not linearly) with both productivity and defect rates. However, a few of them influenced only one of productivity or defect rate. For predictor variables expressed on a nominal scale we performed analysis of variance (ANOVA). This also confirmed that most of these predictor variables influenced PDR. We have used results from ANOVA in the expressions for productivity and defect rates adjusted by specific predictor variables.   Bayesian Net (BN) for prior productivity and defect rate estimation Currently this model estimates productivity rate in ‘number of function points delivered per person-hour’ and defect rate in ‘number of defects per function point’. We used the native units of measurement for software size and effort because of their popularity in practice and to avoid transformation inaccuracies from function points to e.g. KLOC (thousands lines of code) or person-hours to e.g. person-months. We have analyzed several structures of the net to be applied for this model. The structure that best captures all necessary relationships is a structure where predicted variables (PDR) depend on a set predictor variables. Here predicted variables are expressed as functions of predictor variables. This would cause large Node Probability Tables (NPTs) for predicted variables. We would have to analyze every possible combination of states of predictor variables. We were not able to do it because of the lack of necessary volume of project data – the majority of combinations did not contain even a single observation and only for very few combinations would we have had enough observations to be able to build an inference rule (expression for predicted variable).  In our BN we decided on a different structure. For each predictor variable the model calculates the adjusted productivity or defect rate. These adjusted rates are Log Normal distributions estimated mainly from the ISBSG data. For example, ‘productivity rate adjusted by language type’ has the following partitioned expressions defined: • for language type = ‘2GL’: Log Normal( = -2.46498, σ = 0.874257), • for language type = ‘3GL’: Log Normal( = -2.43887, σ = 0.813331), • for language type = ‘4GL’: Log Normal( = -2.04536, σ = 0.781440), • for language type = ‘Application generator’: Log Normal( = -1.83327, σ = 0.565044). For some of the descriptive (labelled) predictor variables in the BN we had to limit number of states because of lack of necessary volume of data. For example, in variable ‘Organisation type’ we only allowed observations for states for which we had more than 5 projects’ data. But we still had to face the problem of missing data. We included 30 states for ‘Organisation type’. So we had to define 30 expressions for estimating ‘productivity rate adjusted by organisation type’. That was not a problem. On the other hand, we also had to use these states for estimating ‘defect rate adjusted by organisation type’. But only for a few states we could do it using ISBSG dataset because of the low volume of data. For the rest we entered the probability distribution estimated for the whole dataset (without categorization). The final PDRs are weighted geometrical means of these adjusted rates. The weights are combinations of correlation strength estimated from ISBSG data, other additional data from relevant literature and our subjective belief on the strength of impact of predictor variable on PDR. The BN also included variables which do not exist in the ISBSG database but which are known to have significant impact on PDR, such as CMM level [2]. "]</t>
  </si>
  <si>
    <t>PS57</t>
  </si>
  <si>
    <t>S103</t>
  </si>
  <si>
    <t>P146</t>
  </si>
  <si>
    <t>Wiesweg, F., Vogelsang, A., &amp; Mendez, D.</t>
  </si>
  <si>
    <t>Data-driven risk management for requirements engineering: An automated approach based on Bayesian networks</t>
  </si>
  <si>
    <t>International Requirements Engineering Conference (RE)</t>
  </si>
  <si>
    <r>
      <rPr>
        <rFont val="Arial"/>
        <color rgb="FF000000"/>
        <sz val="10.0"/>
      </rPr>
      <t xml:space="preserve">The factors of the model are described according to the authors' reasoning and assumptions. ["To model the relationship between total effort and PV, there is a single controlling factor that we call Process Effectiveness, e. This is a real number in the range [0; 1]. A Process Effectiveness of one means that all available effort becomes part of the productive effort. The Process Effectiveness is, in turn, controlled by two further parameters: Effectiveness Limit, l, and Process Improvement, r. The Process Improvement is the amount by which the Process Effectiveness increases from one XP iteration to the next. To allow for failing projects, the Process Improvement can take on negative values. The Effectiveness Limit recognizes the fact that there are often limits to how productive a team of people can be. Every software development process has overheads. Even when all team members are working at their peak efficiency, these overheads prevent them from applying 100 percent of the available effort to delivering new functionality. And even though the team’s productivity may improve over time, it is always bounded by this process-dependent limit. Effectiveness Limit is therefore the maximum value that the model allows Process Effectiveness to take. Note that all of this relies on minimal assumptions: Effort either contributes to delivered functionality or it does not. The ratio between productive effort and total effort exists whether we call it Process Effectiveness or not. This ratio varies between iterations and has a limit, even if the limit is unity. As the core model contains variables based only on these factors, it too is based upon minimal assumptions."] ["An </t>
    </r>
    <r>
      <rPr>
        <rFont val="Arial"/>
        <b/>
        <color rgb="FF000000"/>
        <sz val="10.0"/>
      </rPr>
      <t>indicator node</t>
    </r>
    <r>
      <rPr>
        <rFont val="Arial"/>
        <color rgb="FF000000"/>
        <sz val="10.0"/>
      </rPr>
      <t xml:space="preserve"> for the Effectiveness Limit is shown in Fig. 13: the “Collective Ownership” node. This is the extent to which collective code ownership is practiced. (The node is added for illustration purposes only, we make no claims as to the real effect of changes in this particular XP practice.) </t>
    </r>
    <r>
      <rPr>
        <rFont val="Arial"/>
        <b/>
        <color rgb="FF000000"/>
        <sz val="10.0"/>
      </rPr>
      <t>It is a ranked node, consisting of five discrete values ranging from Very Low to Very High.</t>
    </r>
    <r>
      <rPr>
        <rFont val="Arial"/>
        <color rgb="FF000000"/>
        <sz val="10.0"/>
      </rPr>
      <t xml:space="preserve"> Ranked nodes allow the user to enter a range of values for “Collective Ownership.” The probability of these five values is derived from a truncated normal distribution whose mean is li and whose variance is arbitrarily set to 0.1. The variance determines the strength of the relationship—a small variance makes the nodes highly dependent, a large variance makes the marginal distribution of the indicator closer to being uniform. This distribution ensures that a high degree of collective ownership leads to a high effectiveness limit. More information on ranked nodes and the use of the truncated normal distribution can be found in [12]."]</t>
    </r>
  </si>
  <si>
    <t>The Ranked Nodes method, literature review, normal distribution, lognormal distribution</t>
  </si>
  <si>
    <t>PS58</t>
  </si>
  <si>
    <t>S104</t>
  </si>
  <si>
    <t>P147</t>
  </si>
  <si>
    <t>Kalinowski, M., Curty, P., Paes, A., Ferreira, A., Spínola, R., Fernández, D. M., ... &amp; Wagner, S.</t>
  </si>
  <si>
    <t>Supporting defect causal analysis in practice with cross-company data on causes of requirements engineering problems</t>
  </si>
  <si>
    <t>ICSE-SEIP</t>
  </si>
  <si>
    <t>P82</t>
  </si>
  <si>
    <t>Rees, K., Coolen, F., Goldstein, M., &amp; Wooff, D.</t>
  </si>
  <si>
    <r>
      <rPr>
        <rFont val="Arial"/>
        <color theme="1"/>
        <sz val="10.0"/>
      </rPr>
      <t xml:space="preserve">["An indicator node for the Effectiveness Limit is shown in Fig. 13: the “Collective Ownership” node. This is the extent to which collective code ownership is practiced. (The node is added for illustration purposes only, we make no claims as to the real effect of changes in this particular XP practice.) It is a </t>
    </r>
    <r>
      <rPr>
        <rFont val="Arial"/>
        <b/>
        <color theme="1"/>
        <sz val="10.0"/>
      </rPr>
      <t>ranked node</t>
    </r>
    <r>
      <rPr>
        <rFont val="Arial"/>
        <color theme="1"/>
        <sz val="10.0"/>
      </rPr>
      <t xml:space="preserve">, consisting of five discrete values ranging from Very Low to Very High. Ranked nodes allow the user to enter a range of values for “Collective Ownership.” The probability of these five values is derived from a </t>
    </r>
    <r>
      <rPr>
        <rFont val="Arial"/>
        <b/>
        <color theme="1"/>
        <sz val="10.0"/>
      </rPr>
      <t xml:space="preserve">truncated normal distribution </t>
    </r>
    <r>
      <rPr>
        <rFont val="Arial"/>
        <color theme="1"/>
        <sz val="10.0"/>
      </rPr>
      <t xml:space="preserve">whose </t>
    </r>
    <r>
      <rPr>
        <rFont val="Arial"/>
        <b/>
        <color theme="1"/>
        <sz val="10.0"/>
      </rPr>
      <t>mean</t>
    </r>
    <r>
      <rPr>
        <rFont val="Arial"/>
        <color theme="1"/>
        <sz val="10.0"/>
      </rPr>
      <t xml:space="preserve"> is li and whose </t>
    </r>
    <r>
      <rPr>
        <rFont val="Arial"/>
        <b/>
        <color theme="1"/>
        <sz val="10.0"/>
      </rPr>
      <t>variance</t>
    </r>
    <r>
      <rPr>
        <rFont val="Arial"/>
        <color theme="1"/>
        <sz val="10.0"/>
      </rPr>
      <t xml:space="preserve"> is arbitrarily set to 0.1. The variance determines the strength of the relationship—a small variance makes the nodes highly dependent, a large variance makes the marginal distribution of the indicator closer to being uniform. This distribution ensures that a high degree of collective ownership leads to a high effectiveness limit. More information on ranked nodes and the use of the truncated normal distribution can be found in [12]."] ["For iteration 0, the prior distributions of the input effectiveness limit ðl0Þ, process improvement ðr0Þ, and process effectiveness ðe0Þ are all set to be normal distributions with a standard deviation of 0.3 and means of 0.8, 0.2, and 0.3, respectively. These values are based on a controlled case study by Abrahamsson and Koskela [8], where process effectiveness varied between 0.4 and 0.75. We have simply extended this range slightly and chosen r0 so that the lowest to highest transition can take place within four iterations. The prior of the estimation bias ðb0Þ is set to a lognormal distribution with a mean of approximately 1.0 and a variance of 0.1. The lognormal distribution follows from the fact that the bias cannot be less than zero but has no upper bound. For example, a pessimistic bias, where estimates are twice the actual, results in a bias of 2, whereas an optimistic bias results in a bias of 0.5. This distribution is confirmed empirically, for example, by Little [13]."]</t>
    </r>
  </si>
  <si>
    <t>Statistical measures (Magnitude of Relative Error (MRE), Mean of the MRE values (MMRE))</t>
  </si>
  <si>
    <t>Managing the uncertainties of software testing: a Bayesian approach</t>
  </si>
  <si>
    <t>Quality and Reliability Engineering International</t>
  </si>
  <si>
    <t>PS59</t>
  </si>
  <si>
    <t>S107</t>
  </si>
  <si>
    <t>P150</t>
  </si>
  <si>
    <t>Hu Y,Mo X,Zhang X,Zeng Y,Du J,Xie K</t>
  </si>
  <si>
    <t>Intelligent analysis model for outsourced software project risk using constraint-based Bayesian Network</t>
  </si>
  <si>
    <t>Journal of Software</t>
  </si>
  <si>
    <t>PS60</t>
  </si>
  <si>
    <t>S108</t>
  </si>
  <si>
    <t>P151</t>
  </si>
  <si>
    <t>Y. Hu, X. Zhang, E. W. T. Ngai, R. Cai, and M. Liu</t>
  </si>
  <si>
    <t>Software project risk analysis using Bayesian networks with causality constraints</t>
  </si>
  <si>
    <t>Decision Support Systems</t>
  </si>
  <si>
    <r>
      <rPr>
        <rFont val="Arial"/>
        <color theme="1"/>
        <sz val="10.0"/>
      </rPr>
      <t xml:space="preserve">["MODEL VALIDATION We apply the model to an industrial case study (Section 6.1). The model can learn from the initial data entered from the project (Section 6.2) and adjusts its predictions once beneficial XP practices are taken into account (Section 6.3). Section 6.4 provides an example of how the model can be calibrated for a specific XP practice. Finally, in Section 6.5, the model provides predictions for the time taken to deliver a fixed amount of functionality. These are in good agreement with the actual functionality delivered. (...) 6.5 Timescale Prediction Fig. 23 shows a slightly modified version of the velocity fragment of the model. This includes an additional link node, si, which acts as the cumulative sum of V to date. Plots of si for the initial prediction, the learned prediction (after two iterations), and the actual scenarios are shown in Fig. 24. If the total estimate to complete the project is, say, 200 IEDs, then we can immediately read off from the graph how long it will take to complete the project. The initial predictions of the model are too optimistic. However, once the model has learned from the V 1 and V 2 observations and account has been taken of the onsite customer, the predictions are virtually indistinguishable from the actual outcome. We can measure the </t>
    </r>
    <r>
      <rPr>
        <rFont val="Arial"/>
        <b/>
        <color theme="1"/>
        <sz val="10.0"/>
      </rPr>
      <t>Magnitude of Relative Error (MRE)</t>
    </r>
    <r>
      <rPr>
        <rFont val="Arial"/>
        <color theme="1"/>
        <sz val="10.0"/>
      </rPr>
      <t xml:space="preserve"> for median values of si, defined by MREi ¼ jsi _x0003_ sij si : ð3Þ The model’s initial median predictions have MRE values between 0.3 and 0.96. This range reduces to 1E-5 to 0.07 after learning. The improvement is summarized in Table 4. As further evidence is entered into the model however, the accuracy of its predictions does not necessarily improve. For example, when V 3 is entered, the model has no way of knowing that the next PV will be affected by the Christmas break. It therefore predicts a much higher value than is actually achieved. This causes the model’s accuracy to degrade when V 3 is entered. We can examine this effect quantitatively by taking the </t>
    </r>
    <r>
      <rPr>
        <rFont val="Arial"/>
        <b/>
        <color theme="1"/>
        <sz val="10.0"/>
      </rPr>
      <t>Mean of the MRE values (MMRE)</t>
    </r>
    <r>
      <rPr>
        <rFont val="Arial"/>
        <color theme="1"/>
        <sz val="10.0"/>
      </rPr>
      <t xml:space="preserve"> for the model’s median si predictions. After V 3 is entered, this jumps suddenly before gradually improving once again. This is illustrated in Fig. 25. We discuss this behavior further in Section 7. The Motorola project completed 224 IEDs of functionality before the project ended. The model can quantify the uncertainty involved in completing 224 IEDs within eight iterations. Fig. 26 shows the cumulative distribution functions for the si node in iteration 8. The vertical line allows us to read off the probability of completing up to 224 IEDs by the end of the eighth iteration. For the “Initial” scenario, there is only a 25 percent chance of completing up to 200 IEDs. Once the model has learned from V 1 and V 2, the probability is revised up to a 65 percent probability. This means that the model was initially too optimistic in its predictions (a 65 percent chance of delivering up to 224 IEDs means a 35 percent chance of delivering more than 224 IEDs)."]</t>
    </r>
  </si>
  <si>
    <t>P83</t>
  </si>
  <si>
    <t>S Mohanta, G Vinod, AK Ghosh, R Mall</t>
  </si>
  <si>
    <t>An approach for early prediction of software reliability</t>
  </si>
  <si>
    <t>PS61</t>
  </si>
  <si>
    <t>ACM SIGSOFT Software Engineering Notes</t>
  </si>
  <si>
    <t>S110</t>
  </si>
  <si>
    <t>P153</t>
  </si>
  <si>
    <t>S Bibi, I Stamelos, L Angelis</t>
  </si>
  <si>
    <t>Bayesian belief networks as a software productivity estimation tool</t>
  </si>
  <si>
    <t>1st Balkan Conference in Informatics, Thessaloniki, Greece</t>
  </si>
  <si>
    <t>PS62</t>
  </si>
  <si>
    <t>S111</t>
  </si>
  <si>
    <t>P154</t>
  </si>
  <si>
    <t>K Hamdan, S Bibi, L Angelis, I Stamelos</t>
  </si>
  <si>
    <t>A Bayesian belief network cost estimation model that incorporates cultural and project leadership factors</t>
  </si>
  <si>
    <t>IEEE Symposium on Industrial Electronics &amp; Applications</t>
  </si>
  <si>
    <t>PS63</t>
  </si>
  <si>
    <t>S113</t>
  </si>
  <si>
    <t>P156</t>
  </si>
  <si>
    <t>The use of a bayesian network for web effort estimation</t>
  </si>
  <si>
    <t>International Conference on Web Engineering, ICWE</t>
  </si>
  <si>
    <r>
      <rPr>
        <rFont val="Arial"/>
        <color theme="1"/>
        <sz val="10.0"/>
      </rPr>
      <t xml:space="preserve">The factors of the model are described according to the authors' reasoning and assumptions. ["The topology of the Defect Density BBN is shown in Figure A. The ellipses represent ‘chance’ variables, the rectangles show the ‘decisions’, the diamonds represent ‘utility’ (cost/benefit) variables and the arrows show the flow of information or cause-effect links. </t>
    </r>
    <r>
      <rPr>
        <rFont val="Arial"/>
        <b/>
        <color theme="1"/>
        <sz val="10.0"/>
      </rPr>
      <t>The variables represented are measured on ordinal, subjective, scales</t>
    </r>
    <r>
      <rPr>
        <rFont val="Arial"/>
        <color theme="1"/>
        <sz val="10.0"/>
      </rPr>
      <t>. Subjective scales are used to make the model simpler; there is no theoretical impediment to modelling ratio scales and continuous variables. Each variable has the following states: very-high, high, medium, low, very low or none (optional for some variables). The probabilities attached to each of these states is determined from an analysis of the literature or common-sense assumptions about the direction and strength of relations between variables."] ["Any mismatch between the problem complexity and design effort is likely to cause the introduction of defects and a greater design complexity. Hence the arrows between design effort, problem complexity, introduced defects and design complexity."]</t>
    </r>
  </si>
  <si>
    <t>["The topology of the Defect Density BBN is shown in Figure A. The ellipses represent ‘chance’ variables, the rectangles show the ‘decisions’, the diamonds represent ‘utility’ (cost/benefit) variables and the arrows show the flow of information or causeeffect links. The variables represented are measured on ordinal, subjective, scales. Subjective scales are used to make the model simpler; there is no theoretical impediment to modelling ratio scales and continuous variables. Each variable has the following states: very-high, high, medium, low, very low or none (optional for some variables). The probabilities attached to each of these states is determined from an analysis of the literature or common-sense assumptions about the direction and strength of relations between variables."]</t>
  </si>
  <si>
    <t>S55</t>
  </si>
  <si>
    <t>P85</t>
  </si>
  <si>
    <t>Nauman, A.B. and Aziz, R.</t>
  </si>
  <si>
    <t>Development of Simple Effort Estimation Model based on Fuzzy Logic using Bayesian Networks</t>
  </si>
  <si>
    <t>International Journal of Computer Applications</t>
  </si>
  <si>
    <t>PS64</t>
  </si>
  <si>
    <t>S114</t>
  </si>
  <si>
    <t>P157</t>
  </si>
  <si>
    <t>X Wang, C Wu, L Ma</t>
  </si>
  <si>
    <t>Software project schedule variance prediction using Bayesian Network</t>
  </si>
  <si>
    <t>IEEE International Conference on Advanced Management Science (ICAMS 2010)</t>
  </si>
  <si>
    <t>S56</t>
  </si>
  <si>
    <t>P86</t>
  </si>
  <si>
    <t>Noothong, T. and Sutivong, D.</t>
  </si>
  <si>
    <t>Software Project Management Using Decision Networks</t>
  </si>
  <si>
    <t>Sixth International Conference on Intelligent Systems Design and Applications</t>
  </si>
  <si>
    <t>["The BBN can be explained in two stages. The first stage covers the life-cycle processes of specification, design or coding and the second stage covers testing. In Figure A problem complexity represents the degree of complexity inherent in the set of problems to be solved by development. We can think of these problems as being discrete functional requirements in the specification. Solving these problems accrues benefits to the user. At the specification stage a project manager assesses the complexity of the problems and assigns design effort accordingly. The skill with which this is done is denoted by the variable: assessor skill—specification. This assessment process could involve formal measurement, using function points for example, subjective judgement or some combination of both. Assessing the complexity of the problem accrues an assessment cost—specification. Any mismatch between the problem complexity and design effort is likely to cause the introduction of defects and a greater design complexity. Hence the arrows between design effort, problem complexity, introduced defects and design complexity. For example an optimistic project manager may allocate a small amount of design effort to a complex problem simply because the complexity was underestimated during assessment of the specification. Applying design effort incurs a design cost. In Figure A the testing stage follows the design stage. Here design complexity is assessed by the project manager in order to gauge the amount of testing effort to allocate. This decision is represented by the assessor skill—testing variable. This is similar to the specification assessment process in that the project manager may measure the design complexity directly using appropriate static or dynamic metrics or will make a guess based on intuition and experience. The extent to which either of these measure precisely the actual design complexity will be uncertain. Doing the assessment will incur assessment cost—testing. Ideally any testing effort allocated would match that required by the design complexity. However in practice the testing effort actually allocated may be much less, whether by intent or accident. The mismatch between testing effort and design complexity will influence the number of defects detected, which is bounded by the number introduced. Fixing these defects during testing incurs a de-bugging cost. The difference between the defects detected and defects introduced is the residual defects count. Any residual defects will be released with the product and may increase the maintenance costs, incurred by the user and maintainer. Figure B shows the execution of the defect density BBN model for the ‘Is Bigger Better?’ dilemma using the Hugin Explorer tool. Each of the decision and chance variables is shown as a window with a histogram of the predictions made based on the facts entered. The scenario runs as follows. A very complex problem is represented as a fact set at ‘very high’. Assume the project manager performs no precise estimation on this so the assessment skill—specification variable is set to ‘no measurement’. This results in the allocation of ‘high’ design effort, rather than ‘very high’ commensurate with the problem complexity. The model then propagates these ‘facts’ and predicts the design complexity with a peak at ‘high’ with probability of approx. 90%. The introduced defects follows a modal distribution shape with a peak at ‘medium’ with probability of around 27%.  We may also find that the project manger is again optimistic. He does not measure the design complexity and allocates a ‘low’ level of testing effort. This results in low levels of defects detected, with approximately 60% probability of finding no defects at all. From the predicted values for detected and introduced defects is propagated to predict the residual defects. Residual defects peaks at ‘low’ with around 40% probability but with a significant tail towards medium and high numbers of residual defects. From the model we can see a credible explanation for observing large ‘modules’ with lower defect densities. Under allocation of design effort for complex problems results in more introduced defects and higher design complexity. Higher design complexity requires more testing effort, which is unavailable, leading to less defects being discovered than are actually there. Dividing the small detected defect counts with large design complexity values will result in small defect densities! The model explains the “is bigger better” phenomena without ad-hoc explanation or identification of ‘outliers’."]</t>
  </si>
  <si>
    <t>PS65</t>
  </si>
  <si>
    <t>S116</t>
  </si>
  <si>
    <t>P159</t>
  </si>
  <si>
    <t>Pendharkar, P. C., &amp; Rodger, J. A.</t>
  </si>
  <si>
    <t>Probabilistic and analytical estimation of software development team size</t>
  </si>
  <si>
    <t>S57</t>
  </si>
  <si>
    <t>P87</t>
  </si>
  <si>
    <t>International Journal of Hybrid Intelligent Systems</t>
  </si>
  <si>
    <t>Y Yu, BW Johnson</t>
  </si>
  <si>
    <t>A bbn approach to certifying the reliability of cots software systems</t>
  </si>
  <si>
    <t>Annual Reliability and Maintainability Symposium</t>
  </si>
  <si>
    <t>PS66</t>
  </si>
  <si>
    <t>P88</t>
  </si>
  <si>
    <t>S118</t>
  </si>
  <si>
    <t>Abdi, M.K., Lounis, H., Sahraoui, H.A.</t>
  </si>
  <si>
    <t>Predicting change impact in object-oriented applications with bayesian networks</t>
  </si>
  <si>
    <t>P161</t>
  </si>
  <si>
    <t>COMPSAC</t>
  </si>
  <si>
    <t>Fuentetaja, R., Borrajo, D., López, C. L., &amp; Ocón, J.</t>
  </si>
  <si>
    <r>
      <rPr>
        <rFont val="Arial"/>
        <color rgb="FF000000"/>
        <sz val="10.0"/>
      </rPr>
      <t xml:space="preserve">["Detailed analysis of software quality requires investigating a variety of quality factors. </t>
    </r>
    <r>
      <rPr>
        <rFont val="Arial"/>
        <b/>
        <color rgb="FF000000"/>
        <sz val="10.0"/>
      </rPr>
      <t>This paper is based on the breakdown of software quality proposed in ISO 250xx series of standards [11][12], which superseded an older 9126 standard [13]</t>
    </r>
    <r>
      <rPr>
        <rFont val="Arial"/>
        <color rgb="FF000000"/>
        <sz val="10.0"/>
      </rPr>
      <t xml:space="preserve">. On the first level there are 11 quality features: compatibility, flexibility, functional suitability, maintainability, operability, performance efficiency, portability, reliability, safety, security, and usability. Then each feature is decomposed into a set of sub-features. For example, reliability has five sub-features defined: availability, fault tolerance, maturity, recoverability, and reliability compliance. On the third level there are measures describing specific sub-features. These measures should be carefully selected depending on the purpose of analysis and environment where such model will be used. In this paper, a term „quality factors‟ refers to all levels of software quality, i.e., features, sub-features and measures."] ["Quality features are linked with other. These links have been defined according to a knowledge base that contains results from a </t>
    </r>
    <r>
      <rPr>
        <rFont val="Arial"/>
        <b/>
        <color rgb="FF000000"/>
        <sz val="10.0"/>
      </rPr>
      <t>literature survey</t>
    </r>
    <r>
      <rPr>
        <rFont val="Arial"/>
        <color rgb="FF000000"/>
        <sz val="10.0"/>
      </rPr>
      <t xml:space="preserve"> [20][21]. Figure 2 illustrates some of these links. "] ["VI. PLANS FOR MODEL CALIBRATION AND VALIDATION Currently, the process of model calibration with industrial partners is performed. In the first step, a tradeoff between model complexity, usability and clearness is investigated. It is focused on answering a question: how large the model can be so that it is clear enough for being used in industry? This </t>
    </r>
    <r>
      <rPr>
        <rFont val="Arial"/>
        <b/>
        <color rgb="FF000000"/>
        <sz val="10.0"/>
      </rPr>
      <t>calibration</t>
    </r>
    <r>
      <rPr>
        <rFont val="Arial"/>
        <color rgb="FF000000"/>
        <sz val="10.0"/>
      </rPr>
      <t xml:space="preserve"> is performed using a customized technique of</t>
    </r>
    <r>
      <rPr>
        <rFont val="Arial"/>
        <b/>
        <color rgb="FF000000"/>
        <sz val="10.0"/>
      </rPr>
      <t xml:space="preserve"> structured interviews</t>
    </r>
    <r>
      <rPr>
        <rFont val="Arial"/>
        <color rgb="FF000000"/>
        <sz val="10.0"/>
      </rPr>
      <t xml:space="preserve"> based on repertory grid [3][15]. After investigating some patterns from this analysis, the model structure will be adjusted. Then, detailed model calibration will be performed using structured interviews. This will enable capturing relevant expert knowledge that would be difficult to express using only a predefined questionnaire.  "]</t>
    </r>
  </si>
  <si>
    <t>Multi-step generation of bayesian networks models for software projects estimations</t>
  </si>
  <si>
    <t>International Journal of Computational Intelligence Systems</t>
  </si>
  <si>
    <t>["Proper definition of the quantitative part, i.e., probability distributions for variables, is a challenging step in the process of building a BN. All variables in this model are defined using a 5-point ranked scale from „very low‟ to „very high‟ level of intensity. Probability distributions are not defined by manually filling probability tables but using a set of expressions such as weighted mean, weighted max and weighted min [9]."]</t>
  </si>
  <si>
    <t>["The internal validation of the model will be focused on investigating how well the model incorporates data/knowledge gathered during the calibration stage. A variety of fitness measures will be used here. In the external validation, industrial partners will be granted access to the model to familiarize with it and assess a variety of its features, such as correctness, usability, clearness, ease of use and ease of customization/calibration.  "]</t>
  </si>
  <si>
    <t>["Software quality is typically expressed in science and industry as a range of features rather than a single aggregated value. This study follows the ISO approach where software quality is defined as a “degree to which the software product satisfies stated and implied needs when used under specified conditions” [1]. This standard defines eleven characteristics, shown in Fig. 1 with dark backgrounds."] ["In our approach we follow the general taxonomy of software quality proposed by ISO. However, our approach is not limited to the ISO point of view and may be adjusted according to specific needs."] ["Our approach assumes that the industrial-scale model for integrated software quality prediction has to be calibrated for specific needs and environment before it can be used in decision support. Normally such calibration should be performed among domain experts from the target environment, for example using a questionnaire survey. However, at this point such survey has not been completed yet so the current model has been built fully based on the available literature and expert knowledge of the modellers. This is the reason why the model is currently at the “conceptual” stage. The literature used includes quality standards [1, 18, 2, 19, 20, 21], widely accepted results on software quality [22, 23, 24, 17, 3, 25, 26, 27, 28, 29], and experience from building models for similar areas of software engineering [8, 9, 10, 11, 12, 30, 13, 14, 15, 16]. Available literature provides useful information on the relationships among quality features. "]</t>
  </si>
  <si>
    <r>
      <rPr>
        <rFont val="Arial"/>
        <color rgb="FF000000"/>
        <sz val="10.0"/>
      </rPr>
      <t xml:space="preserve">["This study strongly refers to the set of </t>
    </r>
    <r>
      <rPr>
        <rFont val="Arial"/>
        <b/>
        <color rgb="FF000000"/>
        <sz val="10.0"/>
      </rPr>
      <t>ISO standards for software quality</t>
    </r>
    <r>
      <rPr>
        <rFont val="Arial"/>
        <color rgb="FF000000"/>
        <sz val="10.0"/>
      </rPr>
      <t>. Specifically, these include the family of 9126 standards [13], [14], [15], [16], revised by the new family of 250xx standards, mainly [11], [12], some of which are still under development. We have selected these standards mainly because they are the newest, thus refer to ‘modern’ software, and are maintained by standardizing organization (ISO), thus are popular and widely accepted."] ["Following the framework proposed in previous section, we have developed a Bayesian net for integrated software quality prediction. The framework assumes performing the questionnaire survey to gather the expert knowledge and then encoding it in the model. Because we have not completed the survey yet, we have built this model based on developed knowledge base. This knowledge base reflects expert knowledge and empirical data published in software quality literature as well as scientific and industrial experience of author and collaborators."]</t>
    </r>
  </si>
  <si>
    <t>The Ranked Nodes method</t>
  </si>
  <si>
    <r>
      <rPr>
        <rFont val="Arial"/>
        <color theme="1"/>
        <sz val="10.0"/>
      </rPr>
      <t xml:space="preserve">["All features, sub-features and process variables are defined on a </t>
    </r>
    <r>
      <rPr>
        <rFont val="Arial"/>
        <b/>
        <color theme="1"/>
        <sz val="10.0"/>
      </rPr>
      <t>ranked scale with five states from ‘very low’ to ‘very high’ and probability distributions in the form of expressions</t>
    </r>
    <r>
      <rPr>
        <rFont val="Arial"/>
        <color theme="1"/>
        <sz val="10.0"/>
      </rPr>
      <t xml:space="preserve">. These definitions exploit the functionality available in AgenaRisk BN tool [2], where the ranked variable is internally a numeric variable over the range (0, 1). This range is divided into a set of five equal-length intervals such as (0, 0.2) for ‘very low’, (0.2, 0.4) for ‘low’ and so on. This enables using various types of expressions that are usually easier to elicit, more informative, and easier to adjust in comparison with manually filling the probability tables. It also enables calculating summary statistics for predicted variables as for typical numeric variables. Table 1 provides examples of expressions for selected variables. We have defined them using </t>
    </r>
    <r>
      <rPr>
        <rFont val="Arial"/>
        <b/>
        <color theme="1"/>
        <sz val="10.0"/>
      </rPr>
      <t xml:space="preserve">truncated normal distribution (TNormal) </t>
    </r>
    <r>
      <rPr>
        <rFont val="Arial"/>
        <color theme="1"/>
        <sz val="10.0"/>
      </rPr>
      <t xml:space="preserve">with the following parameters: 1. </t>
    </r>
    <r>
      <rPr>
        <rFont val="Arial"/>
        <b/>
        <color theme="1"/>
        <sz val="10.0"/>
      </rPr>
      <t>Mean</t>
    </r>
    <r>
      <rPr>
        <rFont val="Arial"/>
        <color theme="1"/>
        <sz val="10.0"/>
      </rPr>
      <t xml:space="preserve"> – typically referring to the parent variable (e.g. in sub-features) or more complex expression performed on a set of parent variables (e.g. in features). 2. </t>
    </r>
    <r>
      <rPr>
        <rFont val="Arial"/>
        <b/>
        <color theme="1"/>
        <sz val="10.0"/>
      </rPr>
      <t>Variance</t>
    </r>
    <r>
      <rPr>
        <rFont val="Arial"/>
        <color theme="1"/>
        <sz val="10.0"/>
      </rPr>
      <t xml:space="preserve"> – for features has been set to 0.05, for sub-features as different values from 0.01 (strong relationship with parent variable) to 0.1 (medium relationship), for some controllable variables to 0.001 (very strong relationship). 3. Left truncation point – the value at which the left side of distribution is truncated, for ranked variables always set to 0. 4. Right truncation point – the value at which the right side of distribution is truncated, for ranked variables always set to 1. The </t>
    </r>
    <r>
      <rPr>
        <rFont val="Arial"/>
        <b/>
        <color theme="1"/>
        <sz val="10.0"/>
      </rPr>
      <t>‘wmean’</t>
    </r>
    <r>
      <rPr>
        <rFont val="Arial"/>
        <color theme="1"/>
        <sz val="10.0"/>
      </rPr>
      <t xml:space="preserve"> denotes weighted mean function with even number of parameters. The odd-numbered parameters are the values of weights for the even-numbered parameters. The BaNISoQ model does not provide the aggregated value of software quality, but it is possible to add it to the model. This overall quality may be defined using weighted expressions, such as </t>
    </r>
    <r>
      <rPr>
        <rFont val="Arial"/>
        <b/>
        <color theme="1"/>
        <sz val="10.0"/>
      </rPr>
      <t>WMEAN, WMAX or WMIN</t>
    </r>
    <r>
      <rPr>
        <rFont val="Arial"/>
        <color theme="1"/>
        <sz val="10.0"/>
      </rPr>
      <t xml:space="preserve"> [10]. It would aggregate the levels of quality features with appropriate weights, depending on particular analysis environment. We will investigate it in future."]</t>
    </r>
  </si>
  <si>
    <t>S60</t>
  </si>
  <si>
    <t>P91</t>
  </si>
  <si>
    <t>De Melo A.C.V., Sanchez A.J.</t>
  </si>
  <si>
    <t>Software maintenance project delays prediction using Bayesian Networks</t>
  </si>
  <si>
    <t>S61</t>
  </si>
  <si>
    <t>P92</t>
  </si>
  <si>
    <t>G.J. Pai, J.B. Dugan</t>
  </si>
  <si>
    <t>Enhancing Software Reliability Estimation using Bayesian Networks and Fault Trees</t>
  </si>
  <si>
    <t xml:space="preserve"> IEEE International Symposium on Software Reliability Engineering</t>
  </si>
  <si>
    <r>
      <rPr>
        <rFont val="Arial"/>
        <color theme="1"/>
        <sz val="10.0"/>
      </rPr>
      <t xml:space="preserve">["6 Validation The main aim for the validation stage was to analyze if the model correctly encodes relationships between relevant variables (simulations 1 and 2). This involved investigating predicted probability distributions and summary statistics. Due to space constraints, we present results for calculated mean values for predicted variables – using the fact that the underlying scale for ranked variables is (0, 1) as explained in Section 5.2. The third simulation reveals the model potential for decision support. The first simulation has been focused on validating correctness of links among different quality features. Here, we analyzed the impact of each quality feature in two runs. In the first run, we assigned the state ‘medium’ to a particular feature, in the second run – a state ‘very high’. For the first run, with the state ‘medium’ assigned to any quality feature, the predicted mean value for all other features was 0.5 (analyzed to 15 decimal places). This shows that the model provides correct baseline estimates. Table 2 illustrates the results for the second run. Values above 0.5 indicate the increase of feature level caused by setting an observation ‘very high’ to a single feature. For example, the first value in row ‘reliability’ indicates that setting reliability to ‘very high’ instead of default distribution causes the shift of mean value for functional suitability from 0.5 to 0.55. Values above 0.5 in Table 2 correspond to marks ‘+’ in Fig. 2 while values below 0.5 in Table 2 correspond to marks ‘–’ in Fig. 2. It means that the model correctly encodes the relationships from knowledge base. The second simulation has been focused on analyzing the correctness of links between controllable factors (allocation of effort and process quality) and software quality features. This simulation, as the first one, also involved two runs. In the first run, we have assigned a state ‘medium’ to each controllable factor (one by one). Predicted mean value for all quality features was 0.5 (analyzed to 15 decimal places), so the model provides correct baseline estimates. In the second run we have assigned a state ‘very high’ to each controllable factor (also one by one) and we have investigated the levels of predicted quality features. Table 3 illustrates the results of this </t>
    </r>
    <r>
      <rPr>
        <rFont val="Arial"/>
        <b/>
        <color theme="1"/>
        <sz val="10.0"/>
      </rPr>
      <t>simulation</t>
    </r>
    <r>
      <rPr>
        <rFont val="Arial"/>
        <color theme="1"/>
        <sz val="10.0"/>
      </rPr>
      <t xml:space="preserve"> run – the interpretation of values is the same as for simulation 1. The predicted mean values for all investigated quality features are above 0.5. It means that the increase of development effort causes the increase of the level of all relevant quality features, as assumed in knowledge base. The values in Table 3 deviate more from the baseline value 0.5 than in Table 2. It means that the relationships between effort and quality features are stronger than among quality features. Thus, the model correctly encodes this assumption.The third simulation has been focused on illustrating how the model may be used for decision support in a hypothetical situation. Let us suppose that some knowledge about an ongoing project is available. Due to the project complexity, ‘high’ amount of effort in requirements and implementation phases is required. After entering this information, the model predicts the levels of quality features. Fig. 4 (top) illustrates two of them. Let us assume that for a project manager predicted level of reliability is unacceptably low and the desired level is ‘high’. The model provides revised predictions and says that it is possible to achieve such target by increasing the amount of testing effort and testing process quality (Fig. 4 middle). However, the manager is aware that the project is under time pressure and they may allocate only ‘low’ level of testing effort. When entering this observation to the model and relaxing the one for reliability, the model provides further revised prediction for reliability and usability (Fig. 4 bottom), which are expected to be even lower than in the baseline scenario. This simulation demonstrates high potential for various types of analysis for which the model may be used for, including goal-seeking, tradeoff analysis, causal and diagnostic inference."]</t>
    </r>
  </si>
  <si>
    <t>S62</t>
  </si>
  <si>
    <t>P93</t>
  </si>
  <si>
    <t>Hui, A.K.T.   Liu, D.B.</t>
  </si>
  <si>
    <t>A Bayesian belief network model and tool to evaluate risk and impact in software development projects</t>
  </si>
  <si>
    <t>Annual Symposium on Reliability and Maintainability</t>
  </si>
  <si>
    <t>S63</t>
  </si>
  <si>
    <t>P94</t>
  </si>
  <si>
    <t>J Van Gurp, J Bosch</t>
  </si>
  <si>
    <t>Using Bayesian belief networks in assessing software architectures</t>
  </si>
  <si>
    <t>Proceedings of the First BeNeLux Conference on the State-of-the-Art of ICT Architecture</t>
  </si>
  <si>
    <r>
      <rPr>
        <rFont val="Arial"/>
        <color rgb="FF000000"/>
        <sz val="10.0"/>
      </rPr>
      <t xml:space="preserve">["The aim of </t>
    </r>
    <r>
      <rPr>
        <rFont val="Arial"/>
        <b/>
        <color rgb="FF000000"/>
        <sz val="10.0"/>
      </rPr>
      <t>statistical analysis</t>
    </r>
    <r>
      <rPr>
        <rFont val="Arial"/>
        <color rgb="FF000000"/>
        <sz val="10.0"/>
      </rPr>
      <t xml:space="preserve"> was </t>
    </r>
    <r>
      <rPr>
        <rFont val="Arial"/>
        <b/>
        <color rgb="FF000000"/>
        <sz val="10.0"/>
      </rPr>
      <t>to identify variables influencing the proportions of defects of different types and to establish the nature (direction and strength) of these influences</t>
    </r>
    <r>
      <rPr>
        <rFont val="Arial"/>
        <color rgb="FF000000"/>
        <sz val="10.0"/>
      </rPr>
      <t>. This analysis was performed on a publicly available ISBSG dataset [7] containing data on 3024 software projects described by 99 variables."] ["</t>
    </r>
    <r>
      <rPr>
        <rFont val="Arial"/>
        <b/>
        <color rgb="FF000000"/>
        <sz val="10.0"/>
      </rPr>
      <t>This statistical analysis involved the following sequence of steps</t>
    </r>
    <r>
      <rPr>
        <rFont val="Arial"/>
        <color rgb="FF000000"/>
        <sz val="10.0"/>
      </rPr>
      <t xml:space="preserve"> previously performed in [14] when the same dataset was used: 1. Analyzing dependent variables and applying transformations to logged distributions; 2. </t>
    </r>
    <r>
      <rPr>
        <rFont val="Arial"/>
        <b/>
        <color rgb="FF000000"/>
        <sz val="10.0"/>
      </rPr>
      <t>Preparing list of potential predictors based on experience and availability of data</t>
    </r>
    <r>
      <rPr>
        <rFont val="Arial"/>
        <color rgb="FF000000"/>
        <sz val="10.0"/>
      </rPr>
      <t xml:space="preserve">: a. continuous: average team size, defect rate, functional size, max team size, productivity rate, project elapsed time, summary work effort and value adjustment factor, b. nominal, including boolean: activity build, activity design, activity implement, activity planning, activity specification, activity test, application type, architecture, business area type, case tool used, client-server, development platform, development type, how methodology acquired, intended market, language type, organisation type, package customization, primary programming language and used methodology, c. ordinal: user base – business units, user base – concurrent users, user base – locations. 3. </t>
    </r>
    <r>
      <rPr>
        <rFont val="Arial"/>
        <b/>
        <color rgb="FF000000"/>
        <sz val="10.0"/>
      </rPr>
      <t>Analyzing categories of potential nominal predictors which resulted in removing one predictor (how methodology acquired) from further analysis due to unclear interpretation of its values and setting new categories grouping many similar low frequency states for some variables</t>
    </r>
    <r>
      <rPr>
        <rFont val="Arial"/>
        <color rgb="FF000000"/>
        <sz val="10.0"/>
      </rPr>
      <t xml:space="preserve">. 4. </t>
    </r>
    <r>
      <rPr>
        <rFont val="Arial"/>
        <b/>
        <color rgb="FF000000"/>
        <sz val="10.0"/>
      </rPr>
      <t>Identifying relationships between predictors and dependent variables</t>
    </r>
    <r>
      <rPr>
        <rFont val="Arial"/>
        <color rgb="FF000000"/>
        <sz val="10.0"/>
      </rPr>
      <t xml:space="preserve"> </t>
    </r>
    <r>
      <rPr>
        <rFont val="Arial"/>
        <b/>
        <color rgb="FF000000"/>
        <sz val="10.0"/>
      </rPr>
      <t>using</t>
    </r>
    <r>
      <rPr>
        <rFont val="Arial"/>
        <color rgb="FF000000"/>
        <sz val="10.0"/>
      </rPr>
      <t xml:space="preserve"> </t>
    </r>
    <r>
      <rPr>
        <rFont val="Arial"/>
        <b/>
        <color rgb="FF000000"/>
        <sz val="10.0"/>
      </rPr>
      <t>Spearman’s rank correlation coefficient, Kruskal-Wallis analysis of variance, categorized histograms and box-plots</t>
    </r>
    <r>
      <rPr>
        <rFont val="Arial"/>
        <color rgb="FF000000"/>
        <sz val="10.0"/>
      </rPr>
      <t xml:space="preserve"> </t>
    </r>
    <r>
      <rPr>
        <rFont val="Arial"/>
        <b/>
        <color rgb="FF000000"/>
        <sz val="10.0"/>
      </rPr>
      <t>as well as analyzing if identified relationships were valid from a causal perspective.</t>
    </r>
    <r>
      <rPr>
        <rFont val="Arial"/>
        <color rgb="FF000000"/>
        <sz val="10.0"/>
      </rPr>
      <t xml:space="preserve"> This step resulted in keeping 3 predictors for prop minor and prop major: defect rate, activity test and activity implement, and 8 predictors for prop extreme: defect rate, functional size, productivity rate, activity test, activity implement, intended market, package customization and used methodology. 5. Identifying correlations and associations among predictors to keep only these predictors which are independent on each other – using the same measures as in the previous stage and additionally: Phi, Cramer’s V and contingency coefficients."] ["Statistical analysis of data resulted in identifying very few predictors for dependent variables. "] ["In many cases Naïve Bayesian Classifiers (NBC) are generated automatically from the data. Due to the reasons discussed above in this case </t>
    </r>
    <r>
      <rPr>
        <rFont val="Arial"/>
        <b/>
        <color rgb="FF000000"/>
        <sz val="10.0"/>
      </rPr>
      <t>it was not sensible to build a NBC with such unsupervised learning using the ISBSG dataset but to build a model incorporating the mixture of expert knowledge and the results from this data analysis</t>
    </r>
    <r>
      <rPr>
        <rFont val="Arial"/>
        <color rgb="FF000000"/>
        <sz val="10.0"/>
      </rPr>
      <t>. This enabled to add more predictors which were either not included in the dataset or which were included in the dataset but not found correlated/associated with dependent variables but which we believe influence the dependent variables."]</t>
    </r>
  </si>
  <si>
    <t>Frequency quantification from historical/empirical data</t>
  </si>
  <si>
    <r>
      <rPr>
        <rFont val="Arial"/>
        <color theme="1"/>
        <sz val="10.0"/>
      </rPr>
      <t xml:space="preserve">["The prior proportions of number of defects of each type are mixtures from ISBSG, Apache [1] and Mozilla [12] datasets (as analyzed previously in [15]) </t>
    </r>
    <r>
      <rPr>
        <rFont val="Arial"/>
        <b/>
        <color theme="1"/>
        <sz val="10.0"/>
      </rPr>
      <t>based on the frequencies of observations and adjusted by expert judgement.</t>
    </r>
    <r>
      <rPr>
        <rFont val="Arial"/>
        <color theme="1"/>
        <sz val="10.0"/>
      </rPr>
      <t xml:space="preserve"> They are the following: - for ‘prop minor’ – 0.68, - for ‘prop major’ – 0.25, - for ‘prop extreme’ – 0.07. "]</t>
    </r>
  </si>
  <si>
    <t>["Examples of model usage To validate the DTM several scenarios have been applied. The aim of this validation was to analyse if the DTM correctly captures results of empirical data and expert knowledge. No validation in terms of accuracy of predictions purely against empirical data set has been performed because of different scales for some of variables in the model and in the dataset, and because the model contains additional variables missing in the dataset."]</t>
  </si>
  <si>
    <t>S64</t>
  </si>
  <si>
    <t>P95</t>
  </si>
  <si>
    <t>SH Houmb, G Georg, R France, J Bieman, J Jurjens</t>
  </si>
  <si>
    <t>Cost-benefit trade-off analysis using BBN for aspect-oriented risk-driven development</t>
  </si>
  <si>
    <t>IEEE International Conference on Engineering of Complex Computer Systems (ICECCS'05)</t>
  </si>
  <si>
    <t>S65</t>
  </si>
  <si>
    <t>P96</t>
  </si>
  <si>
    <t>M Bouissou, F Martin, A Ourghanlian</t>
  </si>
  <si>
    <t>Assessment of a safety-critical system including software: a Bayesian belief network for evidence sources</t>
  </si>
  <si>
    <r>
      <rPr>
        <rFont val="Arial"/>
        <color rgb="FF000000"/>
        <sz val="10.0"/>
      </rPr>
      <t xml:space="preserve">["2.2 Computation of metrics from use cases Use cases and the associated analysis can be used to compute some simple metrics (table 2) which can be directly obtained from the use cases. Besides these, </t>
    </r>
    <r>
      <rPr>
        <rFont val="Arial"/>
        <b/>
        <color rgb="FF000000"/>
        <sz val="10.0"/>
      </rPr>
      <t>additional metrics have been developed by Marchesi [8], for use case complexity analysis</t>
    </r>
    <r>
      <rPr>
        <rFont val="Arial"/>
        <color rgb="FF000000"/>
        <sz val="10.0"/>
      </rPr>
      <t xml:space="preserve">. Each of these metrics are evaluated for every main use case in a use case diagram. The metrics subscripted with the term missing are metrics to measure the related missing parameter as identified by the IV&amp;V analysis. These derived metrics are defined as follows."] ["3 IV&amp;V process flow The primary function of IV&amp;V at the SRS stage is the identification and mitigation of risks. </t>
    </r>
    <r>
      <rPr>
        <rFont val="Arial"/>
        <b/>
        <color rgb="FF000000"/>
        <sz val="10.0"/>
      </rPr>
      <t>A proposed IV&amp;V process flow, developed in earlier work [9], for addressing the risks associated with use case based requirements is shown as an activity diagram in figure 5</t>
    </r>
    <r>
      <rPr>
        <rFont val="Arial"/>
        <color rgb="FF000000"/>
        <sz val="10.0"/>
      </rPr>
      <t xml:space="preserve">. The tasks identified include aspects of the traditional IV&amp;V analysis criteria at the SRS phase i.e. analysing correctness, completeness, consistency, accuracy, readability and testability [3]. </t>
    </r>
    <r>
      <rPr>
        <rFont val="Arial"/>
        <b/>
        <color rgb="FF000000"/>
        <sz val="10.0"/>
      </rPr>
      <t>This process flow is used to construct the bayesian network with which quantitative analysis can be performed</t>
    </r>
    <r>
      <rPr>
        <rFont val="Arial"/>
        <color rgb="FF000000"/>
        <sz val="10.0"/>
      </rPr>
      <t xml:space="preserve">."] ["4.1 BN structure Figure 6 shows one possible BN reflecting our reasoning or belief as to the relations between the proposed IV&amp;V process activities and the general properties which need to be checked for maturity assessment of use cases. The nodes with the capitalized names - Clarity, Complexity, Complete, Correct, Consistent, Constraints, Traceable - represent the features that are typically desired from a requirements specification document. Each of the parents for these nodes are factors that we believe are relevant in determining the maturity of the requirements by applying the IV&amp;V process flow. </t>
    </r>
    <r>
      <rPr>
        <rFont val="Arial"/>
        <b/>
        <color rgb="FF000000"/>
        <sz val="10.0"/>
      </rPr>
      <t>The BN was essentially constructed manually by relating the key process activities to the properties of the requirements, that the activities are checking. For example, the clarity of a use case is being checked by the activities that examine whether the use case boundary and its scope has been clearly defined, as well as by the presence of domain or context information. Complexity, on the other hand is related to the number of interactions among the use cases, between actors and use cases, the UCP metric as suggested by Marchesi [8], and on how understandable the use cases are</t>
    </r>
    <r>
      <rPr>
        <rFont val="Arial"/>
        <color rgb="FF000000"/>
        <sz val="10.0"/>
      </rPr>
      <t xml:space="preserve">. Consistence and correctness are dependent on whether the result of scenario executions match the expected output, as well as the consistent use of use case modelling rules, unique use case and actor names and use case design rules."] ["One approach to </t>
    </r>
    <r>
      <rPr>
        <rFont val="Arial"/>
        <b/>
        <color rgb="FF000000"/>
        <sz val="10.0"/>
      </rPr>
      <t>validate such a network</t>
    </r>
    <r>
      <rPr>
        <rFont val="Arial"/>
        <color rgb="FF000000"/>
        <sz val="10.0"/>
      </rPr>
      <t xml:space="preserve"> is to actually </t>
    </r>
    <r>
      <rPr>
        <rFont val="Arial"/>
        <b/>
        <color rgb="FF000000"/>
        <sz val="10.0"/>
      </rPr>
      <t>determine from IV&amp;V analysts whether these are the criteria used.</t>
    </r>
    <r>
      <rPr>
        <rFont val="Arial"/>
        <color rgb="FF000000"/>
        <sz val="10.0"/>
      </rPr>
      <t xml:space="preserve"> The presence of other alternative criteria is easily handled since the network can be modified to include them."] ['Each node in this BN has three states &lt;True,Unknown,False&gt;. True represents the state where the conditions for that node are true, while False represents the state that the conditions for the node are false. The state Unknown captures the uncertainty that</t>
    </r>
    <r>
      <rPr>
        <rFont val="Arial"/>
        <b/>
        <color rgb="FF000000"/>
        <sz val="10.0"/>
      </rPr>
      <t xml:space="preserve"> the analyst</t>
    </r>
    <r>
      <rPr>
        <rFont val="Arial"/>
        <color rgb="FF000000"/>
        <sz val="10.0"/>
      </rPr>
      <t xml:space="preserve"> is not completely sure whether the node is in either of the former two states."]</t>
    </r>
  </si>
  <si>
    <t>Expert elicitation, frequency quantification from historical/empirical data (root nodes), the Quantifying Judgment (QJ) method (child nodes)</t>
  </si>
  <si>
    <r>
      <rPr>
        <rFont val="Arial"/>
        <color theme="1"/>
        <sz val="10.0"/>
      </rPr>
      <t xml:space="preserve">["4.2 Specifying root node probabilities (...) The </t>
    </r>
    <r>
      <rPr>
        <rFont val="Arial"/>
        <b/>
        <color theme="1"/>
        <sz val="10.0"/>
      </rPr>
      <t>prior distribution on the root nodes</t>
    </r>
    <r>
      <rPr>
        <rFont val="Arial"/>
        <color theme="1"/>
        <sz val="10.0"/>
      </rPr>
      <t xml:space="preserve"> is a specification of the likelihood that the node is in a particular state. Some of these are </t>
    </r>
    <r>
      <rPr>
        <rFont val="Arial"/>
        <b/>
        <color theme="1"/>
        <sz val="10.0"/>
      </rPr>
      <t>constructed from the metrics</t>
    </r>
    <r>
      <rPr>
        <rFont val="Arial"/>
        <color theme="1"/>
        <sz val="10.0"/>
      </rPr>
      <t xml:space="preserve"> defined earlier in this paper. Other nodes can presently only be </t>
    </r>
    <r>
      <rPr>
        <rFont val="Arial"/>
        <b/>
        <color theme="1"/>
        <sz val="10.0"/>
      </rPr>
      <t>quantified from observations</t>
    </r>
    <r>
      <rPr>
        <rFont val="Arial"/>
        <color theme="1"/>
        <sz val="10.0"/>
      </rPr>
      <t xml:space="preserve"> of an inspection or from </t>
    </r>
    <r>
      <rPr>
        <rFont val="Arial"/>
        <b/>
        <color theme="1"/>
        <sz val="10.0"/>
      </rPr>
      <t xml:space="preserve">subjective judgement </t>
    </r>
    <r>
      <rPr>
        <rFont val="Arial"/>
        <color theme="1"/>
        <sz val="10.0"/>
      </rPr>
      <t xml:space="preserve">e.g. the node Understandability which models cognitive complexity. "] ["The most difficult task in the BN based approach is quantifying the conditional probability tables for intermediate nodes. The size of the table grows exponentially with the number of parents and their states. </t>
    </r>
    <r>
      <rPr>
        <rFont val="Arial"/>
        <b/>
        <color theme="1"/>
        <sz val="10.0"/>
      </rPr>
      <t xml:space="preserve">To construct the conditional node probability tables (NPT) associated with child nodes, we use the quantifying judgement (QJ) method </t>
    </r>
    <r>
      <rPr>
        <rFont val="Arial"/>
        <color theme="1"/>
        <sz val="10.0"/>
      </rPr>
      <t>[12], summarised in section 4.3. 4.3 Specifying conditional node probability tables The QJ methodology developed by Donohue et al. [12], proposes that the knowledge that a child node is in a particular state is contributed by those parent nodes which are in the same state as the child."]</t>
    </r>
  </si>
  <si>
    <r>
      <rPr>
        <rFont val="Arial"/>
        <color theme="1"/>
        <sz val="10.0"/>
      </rPr>
      <t xml:space="preserve">["5 Discussion The original requirements document from which use cases were constructed was specified in natural language. This document was 22 pages long. 14 modules were analysed and there were 52 use cases in all, including primary and secondary use cases. These were described as operations in scenarios of the main use cases. The analysis was conducted by one graduate student, with no relevant domain knowledge of the system, over a period of three months. 5.1 Analysis results We provide use case analysis results and the computed metrics for the Digital sun sensor Interface module in table 3. Figure 7 shows a snapshot of the BN subnet used to estimate the likelihood that the module Digital Sun Sensor Interface was completely specified. As shown in the figure, the network estimated that about 68% of the module was completely specified. Figure 8 shows the values that were elicited for the quantifying judgement analysis from the IV&amp;V analyst. Table 4 shows the probability distribution over all the properties that were assessed using the BN for the module Digital Sun Sensor Interface.] [" Since the analysis is being performed at a very early stage, the true nature of the relations between the nodes is yet unknown. Hence, a subjectively qualified NPT is an attractive option. Thus, the variance in the </t>
    </r>
    <r>
      <rPr>
        <rFont val="Arial"/>
        <b/>
        <color theme="1"/>
        <sz val="10.0"/>
      </rPr>
      <t>model results and the actual values</t>
    </r>
    <r>
      <rPr>
        <rFont val="Arial"/>
        <color theme="1"/>
        <sz val="10.0"/>
      </rPr>
      <t xml:space="preserve"> is to be expected. These are primarily due to the uncertain nature of the NPT itself."]</t>
    </r>
  </si>
  <si>
    <t>S66</t>
  </si>
  <si>
    <t>P97</t>
  </si>
  <si>
    <t>DÁ Montini, FRM Cardoso, FS Marcondes, PM Tasinaffo, LAV Dias, AM da Cunha</t>
  </si>
  <si>
    <t>Using GQM hypothesis restriction to infer bayesian network testing</t>
  </si>
  <si>
    <t>2009 Sixth International Conference on Information Technology: New Generations</t>
  </si>
  <si>
    <r>
      <rPr>
        <rFont val="Arial"/>
        <color rgb="FF000000"/>
        <sz val="10.0"/>
      </rPr>
      <t xml:space="preserve">["GETR Methodology has three main elements: a model whose elements represent </t>
    </r>
    <r>
      <rPr>
        <rFont val="Arial"/>
        <b/>
        <color rgb="FF000000"/>
        <sz val="10.0"/>
      </rPr>
      <t>activities and artifacts identified in the literature</t>
    </r>
    <r>
      <rPr>
        <rFont val="Arial"/>
        <color rgb="FF000000"/>
        <sz val="10.0"/>
      </rPr>
      <t xml:space="preserve"> as being </t>
    </r>
    <r>
      <rPr>
        <rFont val="Arial"/>
        <b/>
        <color rgb="FF000000"/>
        <sz val="10.0"/>
      </rPr>
      <t>effective assessors of software quality</t>
    </r>
    <r>
      <rPr>
        <rFont val="Arial"/>
        <color rgb="FF000000"/>
        <sz val="10.0"/>
      </rPr>
      <t>, a process for populating certain parts of the model, and methods for analyzing the importance of contributions made by individual evidence to the determination of overall system quality"] ["3.1. A Brief Overview of GETR BBN GETR BBN provides a probabilistic assessment of software’s overall ‘”good enough’ to release” quality based on the assessment of process and product evidence. The base model is given in Figure 3, below. Product evidence includes artifacts of validation and verification (V&amp;V) activities and the documentation of the satisfaction of specified release criteria; process evidence includes judgments as to the quality of various aspects of the development process, such as the skill sets of development personnel, change management policies, and project management. The V&amp;V activities are those</t>
    </r>
    <r>
      <rPr>
        <rFont val="Arial"/>
        <b/>
        <color rgb="FF000000"/>
        <sz val="10.0"/>
      </rPr>
      <t xml:space="preserve"> identified as the most effective practices by published experimental results</t>
    </r>
    <r>
      <rPr>
        <rFont val="Arial"/>
        <color rgb="FF000000"/>
        <sz val="10.0"/>
      </rPr>
      <t xml:space="preserve">; refer to [1] for details. The other activities and processes are those identified as “best practices” in the </t>
    </r>
    <r>
      <rPr>
        <rFont val="Arial"/>
        <b/>
        <color rgb="FF000000"/>
        <sz val="10.0"/>
      </rPr>
      <t>literature and by experts</t>
    </r>
    <r>
      <rPr>
        <rFont val="Arial"/>
        <color rgb="FF000000"/>
        <sz val="10.0"/>
      </rPr>
      <t xml:space="preserve">; refer to [3] for details. "] ["V={Acceptable, Unacceptable, Unknown} for all nodes in GETR BBN; these three states represent the main “touch points” of the release assessment as </t>
    </r>
    <r>
      <rPr>
        <rFont val="Arial"/>
        <b/>
        <color rgb="FF000000"/>
        <sz val="10.0"/>
      </rPr>
      <t>we’ve chosen to model it</t>
    </r>
    <r>
      <rPr>
        <rFont val="Arial"/>
        <color rgb="FF000000"/>
        <sz val="10.0"/>
      </rPr>
      <t>. That is, the states represent the possible evaluations of individual and overall system quality. Consider the answers one would give to questions such as “will the system work as intended?” and “are the test results acceptable?”: “yes,” “no,” and “I don’t know.” These three states capture the spirit of those answers."]</t>
    </r>
  </si>
  <si>
    <t>Survey with practitioners (root nodes), the Quantifying Judgment (QJ) method (child nodes)</t>
  </si>
  <si>
    <t>P98</t>
  </si>
  <si>
    <r>
      <rPr>
        <rFont val="Arial"/>
        <color theme="1"/>
        <sz val="10.0"/>
      </rPr>
      <t xml:space="preserve">["The assessment of overall software “good enough”-ness is derived from the two sets of probabilities mentioned in the previous section. GETR BBN </t>
    </r>
    <r>
      <rPr>
        <rFont val="Arial"/>
        <b/>
        <color theme="1"/>
        <sz val="10.0"/>
      </rPr>
      <t>root node probabilities</t>
    </r>
    <r>
      <rPr>
        <rFont val="Arial"/>
        <color theme="1"/>
        <sz val="10.0"/>
      </rPr>
      <t xml:space="preserve"> can be derived from either </t>
    </r>
    <r>
      <rPr>
        <rFont val="Arial"/>
        <b/>
        <color theme="1"/>
        <sz val="10.0"/>
      </rPr>
      <t>objective or subjective sources</t>
    </r>
    <r>
      <rPr>
        <rFont val="Arial"/>
        <color theme="1"/>
        <sz val="10.0"/>
      </rPr>
      <t xml:space="preserve">. Objective probabilities come from the </t>
    </r>
    <r>
      <rPr>
        <rFont val="Arial"/>
        <b/>
        <color theme="1"/>
        <sz val="10.0"/>
      </rPr>
      <t>quantification of empirical evidence</t>
    </r>
    <r>
      <rPr>
        <rFont val="Arial"/>
        <color theme="1"/>
        <sz val="10.0"/>
      </rPr>
      <t xml:space="preserve">. Subjective probabilities are developed by using </t>
    </r>
    <r>
      <rPr>
        <rFont val="Arial"/>
        <b/>
        <color theme="1"/>
        <sz val="10.0"/>
      </rPr>
      <t>engineering judgment</t>
    </r>
    <r>
      <rPr>
        <rFont val="Arial"/>
        <color theme="1"/>
        <sz val="10.0"/>
      </rPr>
      <t xml:space="preserve"> to assess the quality of evidence. We assume that these probabilities are fairly dynamic, and thus are assigned and updated by an assessor throughout the assessment process. GETR BBN </t>
    </r>
    <r>
      <rPr>
        <rFont val="Arial"/>
        <b/>
        <color theme="1"/>
        <sz val="10.0"/>
      </rPr>
      <t>child node probabilities are developed using QJ-BBN</t>
    </r>
    <r>
      <rPr>
        <rFont val="Arial"/>
        <color theme="1"/>
        <sz val="10.0"/>
      </rPr>
      <t xml:space="preserve">. The contribution information is elicited in a manner intended to reduce the well-known problem of bias and imprecision in elicited probabilities. [4] The result is a set of subjective conditional probabilities. We assume that these probabilities are fairly static, and thus they are rarely updated after their initial assignment for a given assessment. "] ["We obtained the information upon which all of our case studies are based via a survey. The survey is used to elicit two types of information: background information on the particular release assessment, and the information needed to recreate the release assessment using GETR BBN. </t>
    </r>
    <r>
      <rPr>
        <rFont val="Arial"/>
        <b/>
        <color theme="1"/>
        <sz val="10.0"/>
      </rPr>
      <t>The root node probabilities are directly elicited in the survey. To populate GETR BBN’s conditional NPT, we selected the most appropriate weights for QJ-BBN from our library of expert opinion and used that information along with any reported SI as input into QJ-BBN.</t>
    </r>
    <r>
      <rPr>
        <rFont val="Arial"/>
        <color theme="1"/>
        <sz val="10.0"/>
      </rPr>
      <t xml:space="preserve">"] ["3.2. A Brief Overview of QJ-BBN Populating conditional NPT in a consistent and coherent fashion is one of the challenges identified in the literature [see, for example, 6] that must be resolved in the development of a BBN. The challenge increases when relationships between and among input must be considered.(...)"] </t>
    </r>
  </si>
  <si>
    <t>J Li, M Li, D Wu, H Song</t>
  </si>
  <si>
    <t>Case study (evaluation of model usefulness)</t>
  </si>
  <si>
    <t>An integrated risk measurement and optimization model for trustworthy software process management</t>
  </si>
  <si>
    <t>Information Sciences</t>
  </si>
  <si>
    <t>["4.1.3. Developer’s evaluation of case study results. The developer rated the usefulness of the information provided by Pr(GETR) as a 3 on a scale of 1 (not useful at all) to 5 (extremely useful), and the information provided by CIA as a 5, since that information provided “insight into what areas to focus on if I were to trying to boost my (and my customer's) confidence that the candidate software was good enough to release.” He also provided rankings from the customer point of view, rating the usefulness of the information provided by Pr(GETR) as a 5, since it provides an “independent assessment of whether the (feedback) I gave to them was accurate.”"] ["4.2.3 Expert’s evaluation of case study results. The expert rated having the evaluation of the tool’s GETR and the information provided by the CA both as a 4, using the scale previously reported. The expert commented that “I think it’s useful in the sense that it validates my intuition.” [email correspondence 12 – 13 January 2005] "]</t>
  </si>
  <si>
    <r>
      <rPr>
        <rFont val="Arial"/>
        <color rgb="FF000000"/>
        <sz val="10.0"/>
      </rPr>
      <t xml:space="preserve">["To identify the contributing </t>
    </r>
    <r>
      <rPr>
        <rFont val="Arial"/>
        <b/>
        <color rgb="FF000000"/>
        <sz val="10.0"/>
      </rPr>
      <t>variables and their inter-dependencies</t>
    </r>
    <r>
      <rPr>
        <rFont val="Arial"/>
        <color rgb="FF000000"/>
        <sz val="10.0"/>
      </rPr>
      <t xml:space="preserve"> are the first step in Bayesian networks modeling, and it involves clearly </t>
    </r>
    <r>
      <rPr>
        <rFont val="Arial"/>
        <b/>
        <color rgb="FF000000"/>
        <sz val="10.0"/>
      </rPr>
      <t>description of the inspection process structure</t>
    </r>
    <r>
      <rPr>
        <rFont val="Arial"/>
        <color rgb="FF000000"/>
        <sz val="10.0"/>
      </rPr>
      <t xml:space="preserve"> and </t>
    </r>
    <r>
      <rPr>
        <rFont val="Arial"/>
        <b/>
        <color rgb="FF000000"/>
        <sz val="10.0"/>
      </rPr>
      <t>investigation with experienced inspectors</t>
    </r>
    <r>
      <rPr>
        <rFont val="Arial"/>
        <color rgb="FF000000"/>
        <sz val="10.0"/>
      </rPr>
      <t xml:space="preserve">. Generally, the contributing variables can be divided into three groups: inspection structure factors, artifacts under inspection, and related inspection proceeding status data. Firstly, software inspection has no unified procedure and many variations have been evolved ever since Fagan’s basic method. As a result, different Bayesian networks structure should be developed for different inspection structures. </t>
    </r>
    <r>
      <rPr>
        <rFont val="Arial"/>
        <b/>
        <color rgb="FF000000"/>
        <sz val="10.0"/>
      </rPr>
      <t>Without loss of generality, we take Fagan’s basic structure as illustration</t>
    </r>
    <r>
      <rPr>
        <rFont val="Arial"/>
        <color rgb="FF000000"/>
        <sz val="10.0"/>
      </rPr>
      <t xml:space="preserve"> [10]. Secondly, the software artifact under inspection has great influence on the effectiveness, both its size and complexity. The Bayesian networks dealing with these two groups have been proposed with a clearly defined hierarchical network structure [6]. However, that model fails to incorporate the critical information reflecting the status of the inspection process, i.e., the remaining number of faults. As denoted earlier, many research works have been devoted in evaluating inspection effectiveness with respect to this measurement through subjective or objective estimation approaches. Naturally, this estimated variable would influence the belief over the inspection effectiveness, and it can be regarded as collected evidence successively updated over the whole inspection process. By adding this variable, our evaluation on the effectiveness could be updated with new collected data, keeping the inspection process under track. Accordingly, the network structure is shown in Figure 2. "]</t>
    </r>
  </si>
  <si>
    <t>Distribution fitting (dependent nodes), AHP (root parents)</t>
  </si>
  <si>
    <r>
      <rPr>
        <rFont val="Arial"/>
        <color theme="1"/>
        <sz val="10.0"/>
      </rPr>
      <t xml:space="preserve">["3.2.1 </t>
    </r>
    <r>
      <rPr>
        <rFont val="Arial"/>
        <b/>
        <color theme="1"/>
        <sz val="10.0"/>
      </rPr>
      <t>Prior conditional probability distribution</t>
    </r>
    <r>
      <rPr>
        <rFont val="Arial"/>
        <color theme="1"/>
        <sz val="10.0"/>
      </rPr>
      <t xml:space="preserve">. Some </t>
    </r>
    <r>
      <rPr>
        <rFont val="Arial"/>
        <b/>
        <color theme="1"/>
        <sz val="10.0"/>
      </rPr>
      <t>questionnaires based on the brain-storming of the inspectors</t>
    </r>
    <r>
      <rPr>
        <rFont val="Arial"/>
        <color theme="1"/>
        <sz val="10.0"/>
      </rPr>
      <t xml:space="preserve"> have been used to generate these probabilities in [6]. </t>
    </r>
    <r>
      <rPr>
        <rFont val="Arial"/>
        <b/>
        <color theme="1"/>
        <sz val="10.0"/>
      </rPr>
      <t>An alternative approach is to assume the conditional distribution follow some specific distribution, and to fit the distribution over the normalized data.</t>
    </r>
    <r>
      <rPr>
        <rFont val="Arial"/>
        <color theme="1"/>
        <sz val="10.0"/>
      </rPr>
      <t xml:space="preserve"> Here we assume a general Beta distribution with probability density function (pdf) defined in [0, 1] as..."] ["3.2.2 </t>
    </r>
    <r>
      <rPr>
        <rFont val="Arial"/>
        <b/>
        <color theme="1"/>
        <sz val="10.0"/>
      </rPr>
      <t>Prior probability distribution</t>
    </r>
    <r>
      <rPr>
        <rFont val="Arial"/>
        <color theme="1"/>
        <sz val="10.0"/>
      </rPr>
      <t xml:space="preserve">. Specifically, some variables such as “product size” and “product complexity” are common software metrics which can be measured with the artifact under inspection [12]. The number of remaining faults can be estimated through traditional statistical modeling approach [24] and [19]. </t>
    </r>
    <r>
      <rPr>
        <rFont val="Arial"/>
        <b/>
        <color theme="1"/>
        <sz val="10.0"/>
      </rPr>
      <t>The rest root parents’ probability distributions are highly human-oriented and have to be extracted from inspector’s experiences</t>
    </r>
    <r>
      <rPr>
        <rFont val="Arial"/>
        <color theme="1"/>
        <sz val="10.0"/>
      </rPr>
      <t xml:space="preserve">. In [6], these distributions are set to be uniform, and such a scheme would waste the prior experience from inspectors.  To develop model for any specific inspection, it is favorable to extract the prior knowledge from experienced inspectors. </t>
    </r>
    <r>
      <rPr>
        <rFont val="Arial"/>
        <b/>
        <color theme="1"/>
        <sz val="10.0"/>
      </rPr>
      <t>Considering the risk of inconsistent probability elicitation, mathematics-based AHP method [22] is proposed to elicit the consistent probabilities from experts.</t>
    </r>
    <r>
      <rPr>
        <rFont val="Arial"/>
        <color theme="1"/>
        <sz val="10.0"/>
      </rPr>
      <t xml:space="preserve"> AHP is based on the pairwise judgments of the importance of the different attributes of interest, and then a priority ordering of these attributes can be derived, with a measure of inconsistency. Firstly, for each root parent, all the possible values are given as its attributes, such as “poor, fair, and good”. Then with respect to this variable, the pairwise judgments are generated on these values, and then the priority is then regarded as the distribution of this variable over these values. The mathematics related to AHP provides a rule for consistency checking, and it provides a systematic approach for prior belief elicitation. "] ["4.2 Networks probability distributions 4.2.1 </t>
    </r>
    <r>
      <rPr>
        <rFont val="Arial"/>
        <b/>
        <color theme="1"/>
        <sz val="10.0"/>
      </rPr>
      <t>Prior conditional probability table.</t>
    </r>
    <r>
      <rPr>
        <rFont val="Arial"/>
        <color theme="1"/>
        <sz val="10.0"/>
      </rPr>
      <t xml:space="preserve"> Through investigation with software inspectors, </t>
    </r>
    <r>
      <rPr>
        <rFont val="Arial"/>
        <b/>
        <color theme="1"/>
        <sz val="10.0"/>
      </rPr>
      <t>a large number of data are collected related to the conditional distributions</t>
    </r>
    <r>
      <rPr>
        <rFont val="Arial"/>
        <color theme="1"/>
        <sz val="10.0"/>
      </rPr>
      <t xml:space="preserve">. </t>
    </r>
    <r>
      <rPr>
        <rFont val="Arial"/>
        <b/>
        <color theme="1"/>
        <sz val="10.0"/>
      </rPr>
      <t xml:space="preserve">These data are normalized into the value interval [0, 1], and Beta distribution is used to fit these data to get the conditional distribution table. Here we use Best-fit software to find out the best-fit distribution for those data. </t>
    </r>
    <r>
      <rPr>
        <rFont val="Arial"/>
        <color theme="1"/>
        <sz val="10.0"/>
      </rPr>
      <t xml:space="preserve">For example, with Group A data in Table 2 of the importance of quality of inspection on inspection effectiveness, the Pearson-Tukey three-point approximation is used for estimating the probability distribution for each parameter whose variation is represented, which was proposed [7] as the first of the discrete-distribution approximations. The Pearson-Tukey approximation suggested using the 5, 50, and 95 percentiles to get the probabilities of the approximate pmf as 0.185, 0.630, and 0.185. The procedure is aided with software tool Best-Fit. Thus, we could see Beta distribution can fit this data well, and we get the parameters as Beta-General (0.12424, 0.12637, 0, 9). Then, we could give the probability as: • The inspection effectiveness is poor ( 0.05 x ): 0.05 with value equal to 0. • The inspection effectiveness is fair ( 0.5 x ): 0.5 with value equal to 4.32 • The inspection effectiveness is good ( 0.95 x ): 0.95 with value equal to 9. By using that method, we could give out the conditional probability table to construct the Bayesian Network for software inspection. 4.2.2 </t>
    </r>
    <r>
      <rPr>
        <rFont val="Arial"/>
        <b/>
        <color theme="1"/>
        <sz val="10.0"/>
      </rPr>
      <t>Prior probability distribution</t>
    </r>
    <r>
      <rPr>
        <rFont val="Arial"/>
        <color theme="1"/>
        <sz val="10.0"/>
      </rPr>
      <t xml:space="preserve">. First, we could ask the expert to give the pair-wise comparison matrix. In practice, the inconsistency always occurs. As a compromise, the 10% Rule of Practice will be used to judge whether the matrix is acceptable or not. If not, we should ask the expert to re-judge the probability, and redo it until we get the acceptable matrix. Then we would use </t>
    </r>
    <r>
      <rPr>
        <rFont val="Arial"/>
        <b/>
        <color theme="1"/>
        <sz val="10.0"/>
      </rPr>
      <t>AHP to get the corresponding sets of weights. Thus, we could obtain the original expert data to use in Bayesian Network</t>
    </r>
    <r>
      <rPr>
        <rFont val="Arial"/>
        <color theme="1"/>
        <sz val="10.0"/>
      </rPr>
      <t>. For example, we have the expert opinion to evaluate the variable of quality of process. Then, we use the Expert Choice [9] to treat it as the Analytic Hierarchy Process (AHP). This variable is supposed to take values as poor, fair, and good, and then we ask the expert to give their opinion with their experiences as in Table 3. Then we obtain the priority, i.e., the distribution w = [0.4, 0.3, 0.3]. After that, we need to check for the inconsistency of the matrix. Fortunately, we found that it was a perfectly consistent matrix, and we take this as the belief for this variable.  Similarly, the probability distributions for the other human-oriented variables can be gathered to configure the Bayesian network model. "]</t>
    </r>
  </si>
  <si>
    <t>Sensitivity analysis</t>
  </si>
  <si>
    <t>S69</t>
  </si>
  <si>
    <t>P101</t>
  </si>
  <si>
    <t>K Jeet, VK Mago, B Prasad, RS Minhas</t>
  </si>
  <si>
    <t>["Apart from such direct analysis, Bayesian networks inference can be developed through any direction. Therefore, it is convenient and flexible to develop sensitivity analysis. NETICA [17] is used to carry out a sensitivity analysis for this Bayesian Network. Also, we consider part of network as shown in Figure 4.  The sensitivity analysis is to examine the corresponding change of the network “output” with the change of some “input”. With the help of NETICA, the analysis procedure is illustrated with the following Figures 6-8. We could change some factors and see the corresponding changes. "]</t>
  </si>
  <si>
    <t>An Influence Diagram Based Approach for Estimating Staff Training in Software Industry</t>
  </si>
  <si>
    <t>Journal of Intelligent Systems</t>
  </si>
  <si>
    <t>Literature review, selection of variables from a dataset</t>
  </si>
  <si>
    <t>Automatic discretization (Varis' methodology), expert-derived categories/thresholds</t>
  </si>
  <si>
    <t>Market-basket analysis</t>
  </si>
  <si>
    <t>S70</t>
  </si>
  <si>
    <t>P102</t>
  </si>
  <si>
    <t>G Dahll</t>
  </si>
  <si>
    <t>Combining disparate sources of information in the safety assessment of software-based systems</t>
  </si>
  <si>
    <t>Nuclear Engineering and Design</t>
  </si>
  <si>
    <r>
      <rPr>
        <rFont val="Arial"/>
        <color rgb="FF000000"/>
        <sz val="10.0"/>
      </rPr>
      <t xml:space="preserve">["Recently, Bayesian probabilistic models have been used for predicting software development effort. One of the reasons for the interest in the use of Bayesian probabilistic models, when compared to traditional point forecast estimation models, is that Bayesian models provide tools for risk estimation and allow decision-makers to combine historical data with subjective expert estimates. In this paper, we use a Bayesian network model and illustrate how a belief updating procedure can be used to incorporate decision-making risks. </t>
    </r>
    <r>
      <rPr>
        <rFont val="Arial"/>
        <b/>
        <color rgb="FF000000"/>
        <sz val="10.0"/>
      </rPr>
      <t>We develop a causal model from the literature</t>
    </r>
    <r>
      <rPr>
        <rFont val="Arial"/>
        <color rgb="FF000000"/>
        <sz val="10.0"/>
      </rPr>
      <t xml:space="preserve"> and, using a data set of 33 real-world software projects, we illustrate how decision-making risks can be incorporated in the Bayesian networks. We compare the predictive performance of the Bayesian model with popular nonparametric neural-network and regression tree forecasting models and show that the Bayesian model is a competitive model for forecasting software development effort."] ["</t>
    </r>
    <r>
      <rPr>
        <rFont val="Arial"/>
        <b/>
        <color rgb="FF000000"/>
        <sz val="10.0"/>
      </rPr>
      <t xml:space="preserve">Using the COCOMO II model variables and the studies of Subramanian and Zarnich [35] and Pendharkar and Subramanian [31], we propose the following causal model for the prediction of software effort </t>
    </r>
    <r>
      <rPr>
        <rFont val="Arial"/>
        <color rgb="FF000000"/>
        <sz val="10.0"/>
      </rPr>
      <t>(Fig. 1). This causal model is limited to the three variables studied in [35], [31] and these variables are shown in Fig. 1. As mentioned earlier, we do understand that there are other complex variables that could also be studied if data on these variables are available."] ["Since software development effort is continuous and the Bayesian network required the use of discrete variables,</t>
    </r>
    <r>
      <rPr>
        <rFont val="Arial"/>
        <b/>
        <color rgb="FF000000"/>
        <sz val="10.0"/>
      </rPr>
      <t xml:space="preserve"> we approximated the effort using three different discrete intervals. Varis [36] provides a methodology for discretization of continuous variables for Bayesian networks. Using the Varis [36] methodology and adjusting for sparse data, we used three discrete approximations</t>
    </r>
    <r>
      <rPr>
        <rFont val="Arial"/>
        <color rgb="FF000000"/>
        <sz val="10.0"/>
      </rPr>
      <t xml:space="preserve">. The three different approximations were as follows: Effort was categorized as low when the actual effort was less than or equal to 10 manmonths."] ["In defining the data, methodology and tool are selfexplanatory. The methodology is defined as RAD or SDLC. The ICASE tool experience category is broken into three levels. </t>
    </r>
    <r>
      <rPr>
        <rFont val="Arial"/>
        <b/>
        <color rgb="FF000000"/>
        <sz val="10.0"/>
      </rPr>
      <t>This three level classification was chosen by us in consultation with the selected project managers from these organizations.</t>
    </r>
    <r>
      <rPr>
        <rFont val="Arial"/>
        <color rgb="FF000000"/>
        <sz val="10.0"/>
      </rPr>
      <t xml:space="preserve"> The first level, low experience, is determined as no project member has over 1.5 years of experience utilizing the respective ICASE tool. The third level, high experience, is determined as at least one-half of the project members have over 3 years of experience utilizing the respective ICASE tool. The second level, medium experience, is determined as the project team falling somewhere between the low and high levels of experience."] ["Our Bayesian network assumes that independent variables in the causal network are independent of each other [28]. Since our variables are binary/discrete, </t>
    </r>
    <r>
      <rPr>
        <rFont val="Arial"/>
        <b/>
        <color rgb="FF000000"/>
        <sz val="10.0"/>
      </rPr>
      <t>we test for associations among the variables using market-basket analysis</t>
    </r>
    <r>
      <rPr>
        <rFont val="Arial"/>
        <color rgb="FF000000"/>
        <sz val="10.0"/>
      </rPr>
      <t xml:space="preserve">. Market basket analysis is a popular data mining technique that tests for associations among binary variables. More information on market-basket analysis and the algorithm Apriori that is used for market-basket analysis can be found in Chen et al. [8]. Since market-basket analysis requires binary variables and the tool experience variable has three categories, we combine categories low and medium into one category. The remaining two variables, methodology and tool, were binary and kept unchanged. Using the Apriori algorithm in the SPSS data mining package Clementine, we conducted the market-basket analysis to test the associations among the independent variables. For low support and threshold values of both equal to 0.6, </t>
    </r>
    <r>
      <rPr>
        <rFont val="Arial"/>
        <b/>
        <color rgb="FF000000"/>
        <sz val="10.0"/>
      </rPr>
      <t>we did not find any associations among the independent variables</t>
    </r>
    <r>
      <rPr>
        <rFont val="Arial"/>
        <color rgb="FF000000"/>
        <sz val="10.0"/>
      </rPr>
      <t>."]</t>
    </r>
  </si>
  <si>
    <t>S71</t>
  </si>
  <si>
    <t>Naive Bayes procedure</t>
  </si>
  <si>
    <t>P103</t>
  </si>
  <si>
    <t>Gran, B. A.</t>
  </si>
  <si>
    <t>["Using a previous study as a basis, we divide our original data set into 26 training and 7 test examples [31]. "] ["Tables 1 and 2 illustrate the values of prior and conditional probabilities, which were obtained by executing naive Bayes procedure."]</t>
  </si>
  <si>
    <t>Use of Bayesian Belief Networks when combining disparate sources of information in the safety assessment of software-based systems</t>
  </si>
  <si>
    <t>International Journal of Systems Science</t>
  </si>
  <si>
    <t>Comparison with existing models</t>
  </si>
  <si>
    <r>
      <rPr>
        <rFont val="Arial"/>
        <color theme="1"/>
        <sz val="10.0"/>
      </rPr>
      <t xml:space="preserve">["We develop a causal model from the literature and, using a data set of 33 real-world software projects, we illustrate how decision-making risks can be incorporated in the Bayesian networks. We compare the predictive performance of the Bayesian model with popular </t>
    </r>
    <r>
      <rPr>
        <rFont val="Arial"/>
        <b/>
        <color theme="1"/>
        <sz val="10.0"/>
      </rPr>
      <t>nonparametric neural-network and regression tree forecasting models</t>
    </r>
    <r>
      <rPr>
        <rFont val="Arial"/>
        <color theme="1"/>
        <sz val="10.0"/>
      </rPr>
      <t xml:space="preserve"> and show that the Bayesian model is a competitive model for forecasting software development effort."]</t>
    </r>
  </si>
  <si>
    <t>P104</t>
  </si>
  <si>
    <t>López-Martínez, J., Ramírez-Noriega, A., Juárez-Ramírez, R., Licea, G., &amp; Jiménez, S.</t>
  </si>
  <si>
    <t>User stories complexity estimation using Bayesian networks for inexperienced developers</t>
  </si>
  <si>
    <t>Cluster computing</t>
  </si>
  <si>
    <t>["This paper presents a software project level estimation model framework based on Bayesian Belief Networks. The framework is constructed by using four basic BBN sub-models, component estimation, test effectiveness estimation, residual defect estimation and test estimation sub-models."] ["In our research, we constructed four sub-models based on BBN, which are used to model the relationships between quality, effort, schedule and scope for software development and testing separately. The sub-models are: • Component Estimation Model Contains variables related to component development activities which cover defect introduction, development effort, duration estimation and resources allocation. • Test Effectiveness Estimation Model Contains variables related to test activities which mainly cover test effectiveness estimation. • Residual Defect Estimation Model Contains variables which are used to estimate the number of residual defects after defect removal activities have taken place. • Test Estimation Model Contains variables related to test effort, schedule estimation and resources allocation. These sub-models work as basic building blocks for constructing the project level model. By using them, managers can model different projects with high flexibility. An example can be found in Section 3."] ["In real projects, the resources are not distributed equally through the project duration. Different project phases may involve different staff. So, normally an average number of people can be used to depict such resource usage for the whole duration. In [5] Jensen et al. model the relationship of size, effort and schedule as in Figure 2. average number of people can be depicted by this formula: Schedule = Effort/AV #P eople (1) By adopting such an approach, like in Figure 2, we introduced two nodes: AV# People, and Development Duration. The relationship between them is quantitatively modeled as Conditional Probability Tables (CPT) in the Development Duration node. This approach is also used in the Test Estimation sub-model, which will be introduced later. By using this sub-model, we can estimate the number of defects introduced during component development and effort and schedule needed for development."]</t>
  </si>
  <si>
    <t>Direct function (e.g., sum, formula), frequency quantification from historical/empirical data</t>
  </si>
  <si>
    <t>["The CPT of Introduced Defect Number for next phase is generated by simply using addition equation. Till now, we constructed the project level estimation model for the sample project. The building method is flexible and can be used for any tailored development process by utilizing four building blocks - sub-models."] ["The CPDs in node COCOMO Quality Estimation and COCOMO Effort Estimation are retrieved by approximating COQUALMO and COCOMOII [2] calculations using historical data from older projects."]</t>
  </si>
  <si>
    <t>It provides examples of estimation and trade-off analysis. ["4 Project Level Estimation Model Applications With the project level BBN model depicted in Figure 8, the relationships between quality, effort, schedule and scope for the whole project and each phase are established. Now, project managers can get better decision support. In following sub-sections several common model applications are discussed. 4.1 Quality, Effort and Schedule Estimation Resource estimation and allocation is critical for project planning. Here an example is used to illustrate how resource estimation can be supported by the model. In this example, we consider that managers only know that the delivered sizes of three components should be 500, 1000 and 2000 KLOC, and the average number for these three component development is 20, 30, 40. The requirement number for component 1, 2, 3 unit test, system integration test and system test is 30, 40, 50, 25 and 35 respectively. For system integration test and system test, there are on average 30 testers in each phase. This information is used as input in the Component Estimation sub-models. Thus, the model predicts that the project quality, effort and schedule can be reflected in the Table 1. So, the total estimated effort is 26351.3 staff-days. Normally, component development and unit test are piped together, and different component development can be organized in parallel. Thus, the duration needed for component 1 development and unit test is 268.30 days. The other two is 382.56 and 101.16. So component 3 development and unit test is on the critical path of the whole project. Then the duration for the whole project is 373.10 + 32.58 + 45.81 = 451.49 days. The quality target can be set as 13 residual defects after system test. Till now, quality, effort and schedule estimation can be done using the concrete model for the sample project. 4.2 Trade-off analysis for ”Magic” triangle Either for the whole project or for the individual phase, we can make a trade-off analysis. Such analysis can help decision makers to investigate constrains between scope, quality, effort and schedule. Here, we will use the estimation result as our basis for trade-off analysis. In the example, we notice that the duration of component 3 development and test is much more longer than the other two. And now schedule is more important than other factors. Thus, manager wonders that if he can reduce schedule by putting more people in component 2 development and testing. Now suppose the average people for component 3 development and test will be both 50. Use the model, we can estimate the schedule for development and test is 240.63 and 39.00 days. So the duration forschedule will reduce to 358.02 days. Similarly other factors can also be changed to make trade-off analysis."] ["Further work is related to: • provide guidelines on how to apply the approach to specific project life cycle • assess the validity of our approach by applying it on real projects"]</t>
  </si>
  <si>
    <t>Selection of variables from a dataset</t>
  </si>
  <si>
    <r>
      <rPr>
        <rFont val="Arial"/>
        <color theme="1"/>
        <sz val="10.0"/>
      </rPr>
      <t xml:space="preserve">["In Section 2, we present a short overview of BBNs and their advantages, and in Section 3 we explain how they can be used in productivity estimation. In Section 4, we demonstrate an example of use of BBNs in the productivity estimation, </t>
    </r>
    <r>
      <rPr>
        <rFont val="Arial"/>
        <b/>
        <color theme="1"/>
        <sz val="10.0"/>
      </rPr>
      <t>based on the COCOMO81 cost factors</t>
    </r>
    <r>
      <rPr>
        <rFont val="Arial"/>
        <color theme="1"/>
        <sz val="10.0"/>
      </rPr>
      <t xml:space="preserve"> [1]."] ["For the task of providing an estimate, a BBN specific to the problem domain and development context must be devised. In its construction, one or more experts need to identify the significant factors, which are likely to influence the productivity of a software project lying in the specific domain and development context. Of course, already proposed and defined factors from other cost methods may be used too."] ["</t>
    </r>
    <r>
      <rPr>
        <rFont val="Arial"/>
        <b/>
        <color theme="1"/>
        <sz val="10.0"/>
      </rPr>
      <t>We demonstrate our approach using an example based on the popular COCOMO81 intermediate cost model [1]. Our choice was motivated by the widespread of the model, the availability of the ratings for the cost drivers and the availability of the COCOMO81 project data</t>
    </r>
    <r>
      <rPr>
        <rFont val="Arial"/>
        <color theme="1"/>
        <sz val="10.0"/>
      </rPr>
      <t>."] ["</t>
    </r>
    <r>
      <rPr>
        <rFont val="Arial"/>
        <b/>
        <color theme="1"/>
        <sz val="10.0"/>
      </rPr>
      <t>We constructed the BBN shown in Fig. 2, based on Boehm’s informal classification of cost factors</t>
    </r>
    <r>
      <rPr>
        <rFont val="Arial"/>
        <color theme="1"/>
        <sz val="10.0"/>
      </rPr>
      <t xml:space="preserve">. </t>
    </r>
    <r>
      <rPr>
        <rFont val="Arial"/>
        <b/>
        <color theme="1"/>
        <sz val="10.0"/>
      </rPr>
      <t>The product related factors — RELY, DATA and CPLX — are aggregated to the Product node. In the same sense, TIME, STOR, VIRT,  TURN factors are aggregated to the Computer node, ACAP,  AEXP, PCAP, VEXP, and LEXP are aggregated to the personnel node and MODP, TOOL, SCED, and RVOL are aggregated to the project node</t>
    </r>
    <r>
      <rPr>
        <rFont val="Arial"/>
        <color theme="1"/>
        <sz val="10.0"/>
      </rPr>
      <t xml:space="preserve">."] ["We demonstrated our approach using an example of a BBN based on the COCOMO81 cost factors. In the construction of the BBN used in the example above, we were based on the COCOMO81 intermediate model for the construction of the network and also for the determination of the probability tables of the nodes."] ["We demonstrate our approach using an example based on the popular COCOMO81 intermediate cost model [1]. Our choice was motivated by the wide spread of the model, the availability of the ratings for the cost drivers and </t>
    </r>
    <r>
      <rPr>
        <rFont val="Arial"/>
        <b/>
        <color theme="1"/>
        <sz val="10.0"/>
      </rPr>
      <t>the availability of the COCOMO81 project data.(...) The variables of each node are discrete. In each node, except of the productivity node, the variables take five values, namely Very Low, Low, Average, High, and Very High. In the productivity node, the variable takes eight values which are numeric intervals given by an expert.</t>
    </r>
    <r>
      <rPr>
        <rFont val="Arial"/>
        <color theme="1"/>
        <sz val="10.0"/>
      </rPr>
      <t>"]</t>
    </r>
  </si>
  <si>
    <t>P108</t>
  </si>
  <si>
    <r>
      <rPr>
        <rFont val="Arial"/>
        <color theme="1"/>
        <sz val="10.0"/>
      </rPr>
      <t xml:space="preserve">["For the purposes of the examples of the BBNs in Sections 2 and 4, i.e. for their graphical representations and </t>
    </r>
    <r>
      <rPr>
        <rFont val="Arial"/>
        <b/>
        <color theme="1"/>
        <sz val="10.0"/>
      </rPr>
      <t>various probability calculations, we used the SERENE 1.0 tool</t>
    </r>
    <r>
      <rPr>
        <rFont val="Arial"/>
        <color theme="1"/>
        <sz val="10.0"/>
      </rPr>
      <t xml:space="preserve"> [14]."] ["We demonstrate our approach using an example based on the popular COCOMO81 intermediate cost model [1]. Our choice was motivated by the wide spread of the model, </t>
    </r>
    <r>
      <rPr>
        <rFont val="Arial"/>
        <b/>
        <color theme="1"/>
        <sz val="10.0"/>
      </rPr>
      <t>the availability of the ratings for the cost drivers and the availability of the COCOMO81 project data</t>
    </r>
    <r>
      <rPr>
        <rFont val="Arial"/>
        <color theme="1"/>
        <sz val="10.0"/>
      </rPr>
      <t xml:space="preserve">.(...) The variables of each node are discrete. In each node, except of the productivity node, the variables take five values, namely Very Low, Low, Average, High, and Very High. (...) </t>
    </r>
    <r>
      <rPr>
        <rFont val="Arial"/>
        <b/>
        <color theme="1"/>
        <sz val="10.0"/>
      </rPr>
      <t>In order to fill in the NPTs of each node with probability values we relied entirely on the cost driver ratings for each of the 63 projects in COCOMO81 project database as they are given in Ref. [1]</t>
    </r>
    <r>
      <rPr>
        <rFont val="Arial"/>
        <color theme="1"/>
        <sz val="10.0"/>
      </rPr>
      <t xml:space="preserve">, pp. 496–497. </t>
    </r>
    <r>
      <rPr>
        <rFont val="Arial"/>
        <b/>
        <color theme="1"/>
        <sz val="10.0"/>
      </rPr>
      <t>The NPT values were decided empirically by the authors, by observing the conditional probabilities of the cost factor ratings.</t>
    </r>
    <r>
      <rPr>
        <rFont val="Arial"/>
        <color theme="1"/>
        <sz val="10.0"/>
      </rPr>
      <t xml:space="preserve"> Productivity probability distributions for each of the 63 projects selecting observed values for the nodes of the first level (product, computer, personnel and project) were also computed. These figures were used to choose semi-automatically the NPT values and </t>
    </r>
    <r>
      <rPr>
        <rFont val="Arial"/>
        <b/>
        <color theme="1"/>
        <sz val="10.0"/>
      </rPr>
      <t>were further refined based on the authors’ intuition</t>
    </r>
    <r>
      <rPr>
        <rFont val="Arial"/>
        <color theme="1"/>
        <sz val="10.0"/>
      </rPr>
      <t>."] ["The reader is reminded that cost factor ratings and values were derived in the first place by Boehm, by consulting the managers of the projects in the COCOMO81 data base. The publicly available information about COCOMO81 provided us with a situation in which part of the expert opinion we needed to construct a BBN was already partially modeled. Overall, we tried to emulate the way an expert might work for constructing a BBN, based on available information and productivity data. In general, in a real case, we would have consulted one or more experts and/or combine their opinions, expressed as probability values in the NPTs, with existing statistical data if available. Nevertheless, we believe that this issue deserves further investigation."]</t>
    </r>
  </si>
  <si>
    <t>Manzano, M., Mendes, E., Gómez, C., Ayala, C., &amp; Franch, X.</t>
  </si>
  <si>
    <t>Using Bayesian networks to estimate strategic indicators in the context of rapid software development</t>
  </si>
  <si>
    <r>
      <rPr>
        <rFont val="Arial"/>
        <color theme="1"/>
        <sz val="10.0"/>
      </rPr>
      <t xml:space="preserve">["After having determined the BBN, we conducted a trial study in which we took again into account the information available in the COCOMO81 project dataset. We derived values for the BBN nodes by using simple aggregation rules for the corresponding leaf COCOMO81 cost drivers. For example, in project no. 48, the reported values for the cost drivers affecting personnel are ACAP=Low, AEXP=High, PCAP=Low, VEXP=High, and  LEXP=High. These values have been aggregated to PERSONNEL=Average for the purposes of our tentative BBN. Eventually, for project no. 48 we used the observed values: PRODUCT=High, COMPUTER=VeryHigh, PROJECT=Average, and PERSONNEL=Average, and produced the output productivity distribution shown in Table3. In this project, the productivity will range between 160 and 270 DSI/MM with a probability of 70%. An estimation based on the interval of 160–270 DSI/MM would be successful, since the actual productivity of this project was 244.4 DSI/MM. </t>
    </r>
    <r>
      <rPr>
        <rFont val="Arial"/>
        <b/>
        <color theme="1"/>
        <sz val="10.0"/>
      </rPr>
      <t>Comparing the results of this trial study with the actual productivity values</t>
    </r>
    <r>
      <rPr>
        <rFont val="Arial"/>
        <color theme="1"/>
        <sz val="10.0"/>
      </rPr>
      <t xml:space="preserve"> we found that the interval estimated contained the actual value in roughly 52–67% of the projects, depending on whether we chose one or two neighboring intervals, respectively. The above figures indicate the potential of providing reasonable estimates, which can be further improved through suitable refinement." ]</t>
    </r>
  </si>
  <si>
    <t>Literature review, lifecycle model (RUP)</t>
  </si>
  <si>
    <t>Lifecycle model (RUP)</t>
  </si>
  <si>
    <t>The authors suggest that factors and relationships should be identified by the experts to construct the BN structure, but it was not clear what indeed was done. ["The first step is to define the structure of the BBN. The significant factors that are likely to influence the effort needed for a particular project lying in the specific domain, should be identified. The cause-effect relations among these factors should also be defined. The set of factors will be the set of nodes of the BBN, the relations among them will be represented by the links whose direction will show the dependencies among them. In addition for each node an appropriate measurement scale must be defined. The outputs of the BBN can be probability distributions of interval estimates of effort. For defining the structure of the BBN that will estimate the effort needed for the completion of a software development project with the help of RUP, the significant actions that take place in each phase should be identified. Already proposed and defined factors from other cost methods will be used too. "] ["It would be useful to define the dependencies between the nine workflows as well as the workflows whose effort affect directly the total effort required for the completion of a project.  For this purpose one or more experts need to identify the significant workflows that influence the effort required for a software project, and their interdependencies. In the model two of the supporting workflows, configuration&amp;change management and environment, are omitted due to their limited participation at each iteration and also for simplicity purposes. It is important to keep the model as simple and interpretable as possible. Also some of the actions performed in these workflows are also embedded in other workflows (for example anticipation regarding configuration and change management is shown in every workflow). The next step is to define among the rest seven workflows which are the most critical that influence directly productivity. The requirements and the implementation workflows require significant amount of effort due to their extensive participation in the elaboration and construction phase. It is obvious that when the requirements phase is time consuming then there is a high probability that the analysis&amp;design and the implementation phase will also require a significant amount of effort and the total effort required will be affected. The influence of requirements along with other implementation factors to the development effort has been indicated by other studies as well [1], [6].  "] ["The BBNs proposed previously are based on Rational Unified Process. The generalised model presented in figure 7 can be used for estimating the effort for the completion of a project created using many types of models from the Waterfall model (considering no iterations) to prototype or any other incremental, iterative model (considering the estimated number of iterations). Nevertheless for different types of projects, some differentiation of the BBNs may appear, including or excluding some nodes or links, in order to reflect different development processes. It must be stressed that it is only an intuitive model based on the experience of the experts, and the results of other studies in cost estimation.  "]</t>
  </si>
  <si>
    <t>Automatic discretization (equal frequency binning)</t>
  </si>
  <si>
    <t>Case study, statistical analysis of a dataset</t>
  </si>
  <si>
    <t>P111</t>
  </si>
  <si>
    <t>Fatima, R., Zeshan, F., Ahmad, A., Hamid, M., Ahmad, A., &amp; Tahir, S. A.</t>
  </si>
  <si>
    <t>Software Requirements Change Prediction Model</t>
  </si>
  <si>
    <t>International Conference on Decision Aid Sciences and Application (DASA)</t>
  </si>
  <si>
    <r>
      <rPr>
        <rFont val="Arial"/>
        <color rgb="FF000000"/>
        <sz val="10.0"/>
      </rPr>
      <t xml:space="preserve">["In this paper we attempt to unveil and discuss relationships between maintenance productivity, the structural quality of the source code and process metrics like the type of a release and the number of downloads. To achieve this goal, we developed a Bayesian Belief Network (BBN) involving several maintainability predictors and three managerial indices for maintenance (i.e., duration, production, and productivity) on 20 open source software projects."] ["Although the exploration of the relationship between software units maintained and structural quality measures is not novel (see Sect. 2), to the best of our knowledge this is the first study that considers maintenance productivity. To achieve this goal we used a Bayesian Belief Network (BBN) to model the relationships between the input (structural software metrics) and output parameters (maintenance production, maintenance duration, and maintenance productivity). The network has been trained through a case study on 454 versions of 20 Open Source Software (OSS)."] ["Maintainability Predictors: In this study we focus on metrics that are the most accurate software maintainability predictors. </t>
    </r>
    <r>
      <rPr>
        <rFont val="Arial"/>
        <b/>
        <color rgb="FF000000"/>
        <sz val="10.0"/>
      </rPr>
      <t>According to Riaz et al. [22] the metric suites proposed by Li and Henry [15] and Chidamber and Kemerer [8] are the most accurate ones, while the model of van Koten and Gray [26] is the most stable one [22]. The metric suite that is used from the aforementioned study is presented in Table 1</t>
    </r>
    <r>
      <rPr>
        <rFont val="Arial"/>
        <color rgb="FF000000"/>
        <sz val="10.0"/>
      </rPr>
      <t xml:space="preserve">. In order to automate the calculation of software quality metrics we used Percerons Client (http:// www.percerons.com), i.e., a tool developed in our research group."] ["In order to </t>
    </r>
    <r>
      <rPr>
        <rFont val="Arial"/>
        <b/>
        <color rgb="FF000000"/>
        <sz val="10.0"/>
      </rPr>
      <t>investigate the influence of structural quality in several managerial maintenance indices</t>
    </r>
    <r>
      <rPr>
        <rFont val="Arial"/>
        <color rgb="FF000000"/>
        <sz val="10.0"/>
      </rPr>
      <t xml:space="preserve"> (i.e., duration, effort and productivity), </t>
    </r>
    <r>
      <rPr>
        <rFont val="Arial"/>
        <b/>
        <color rgb="FF000000"/>
        <sz val="10.0"/>
      </rPr>
      <t>we performed a case study on 20 open-source software (OSS) projects</t>
    </r>
    <r>
      <rPr>
        <rFont val="Arial"/>
        <color rgb="FF000000"/>
        <sz val="10.0"/>
      </rPr>
      <t>. The case study is designed and reported according to the guidelines of Runeson et al. [23]. 4.1 Objectives and Research Questions</t>
    </r>
    <r>
      <rPr>
        <rFont val="Arial"/>
        <b/>
        <color rgb="FF000000"/>
        <sz val="10.0"/>
      </rPr>
      <t xml:space="preserve"> The objective of this study is to analyze software metrics and investigate their influence on the maintenance production, duration and productivity.</t>
    </r>
    <r>
      <rPr>
        <rFont val="Arial"/>
        <color rgb="FF000000"/>
        <sz val="10.0"/>
      </rPr>
      <t xml:space="preserve"> In particular we investigate three research questions: </t>
    </r>
    <r>
      <rPr>
        <rFont val="Arial"/>
        <b/>
        <color rgb="FF000000"/>
        <sz val="10.0"/>
      </rPr>
      <t>RQ1:  Which quality metrics are related to the duration of maintenance among two successive releases?</t>
    </r>
    <r>
      <rPr>
        <rFont val="Arial"/>
        <color rgb="FF000000"/>
        <sz val="10.0"/>
      </rPr>
      <t xml:space="preserve"> (...) Therefore, we downloaded and collected metrics data from 20 popular OSS projects so as to build a dataset that is adequate for</t>
    </r>
    <r>
      <rPr>
        <rFont val="Arial"/>
        <b/>
        <color rgb="FF000000"/>
        <sz val="10.0"/>
      </rPr>
      <t xml:space="preserve"> statistical analysis.</t>
    </r>
    <r>
      <rPr>
        <rFont val="Arial"/>
        <color rgb="FF000000"/>
        <sz val="10.0"/>
      </rPr>
      <t xml:space="preserve"> Some demographics for these projects are presented in Table 2."] ["To apply the BBN analysis we had to further process the gathered metrics, since quality metrics present continuous arithmetic values. In particular, </t>
    </r>
    <r>
      <rPr>
        <rFont val="Arial"/>
        <b/>
        <color rgb="FF000000"/>
        <sz val="10.0"/>
      </rPr>
      <t>continuous values had to be transformed to categorical ones</t>
    </r>
    <r>
      <rPr>
        <rFont val="Arial"/>
        <color rgb="FF000000"/>
        <sz val="10.0"/>
      </rPr>
      <t>, so as to be utilized in BBN analysis. The transformation method used was the</t>
    </r>
    <r>
      <rPr>
        <rFont val="Arial"/>
        <b/>
        <color rgb="FF000000"/>
        <sz val="10.0"/>
      </rPr>
      <t xml:space="preserve"> equal frequency binning</t>
    </r>
    <r>
      <rPr>
        <rFont val="Arial"/>
        <color rgb="FF000000"/>
        <sz val="10.0"/>
      </rPr>
      <t xml:space="preserve"> [28]. This method automatically sets the boundaries of each bin (category), so as to ensure that all of them have an equal number of observations. Each metric that is represented in a categorical form has five distinct categories (VL—Very Low, L—Low, A—Average, H—High, and VH—Very High).] ["On the completion of the aforementioned process we applied the Bayesian Network analysis and utilized heatmaps to graphically represent our data. Our goal was to better depict the influence of the independent variables on the dependent ones. </t>
    </r>
    <r>
      <rPr>
        <rFont val="Arial"/>
        <b/>
        <color rgb="FF000000"/>
        <sz val="10.0"/>
      </rPr>
      <t>The first step of the analysis includes the selection and tuning of the variables that affect the structure of the BBN</t>
    </r>
    <r>
      <rPr>
        <rFont val="Arial"/>
        <color rgb="FF000000"/>
        <sz val="10.0"/>
      </rPr>
      <t xml:space="preserve">. </t>
    </r>
    <r>
      <rPr>
        <rFont val="Arial"/>
        <b/>
        <color rgb="FF000000"/>
        <sz val="10.0"/>
      </rPr>
      <t>In this step expert input is required to set the order of the variables that will affect the causal relationships that the model will define</t>
    </r>
    <r>
      <rPr>
        <rFont val="Arial"/>
        <color rgb="FF000000"/>
        <sz val="10.0"/>
      </rPr>
      <t xml:space="preserve">."] ["In this section we present the results obtained from the BBN analysis, organized by research question. The extracted network including all structural quality metrics, process measures, and managerial maintenance indices is presented in Fig. 2. </t>
    </r>
    <r>
      <rPr>
        <rFont val="Arial"/>
        <b/>
        <color rgb="FF000000"/>
        <sz val="10.0"/>
      </rPr>
      <t>We note that since this study aims to investigate the interdependencies between the nodes of the graph, the estimation accuracy of the network is not explored.</t>
    </r>
    <r>
      <rPr>
        <rFont val="Arial"/>
        <color rgb="FF000000"/>
        <sz val="10.0"/>
      </rPr>
      <t xml:space="preserve"> A discussion/interpretation of the most important relationships presented in the network is provided later in this section, while answering each research question."] ["With regard to internal validity, we need to clarify that the relationships obtained through the network are influenced by some confounding factors. For example, the load of high-level changes from one version of the system to another (e.g., new features, number of fixed bugs, etc.) is not considered in this study. However, we believe that the large size of our dataset imposed a normal distribution of actual changes that minimizes the effect of the confounding factor. Additionally, we remind that the investigation of the strength of relationships is out of the scope of this study, since it only aims at their identification."]</t>
    </r>
  </si>
  <si>
    <t>Argumentation model</t>
  </si>
  <si>
    <t>["The construction of our model proceeds in the usual stages of model variable identification, definition, and respective state-space construction; BBN topology construction to represent graphically assumed conditional independencies (CIs) among the model variables; and, finally, local node conditional probability table definition. In this ordered presentation of the process, the discoveries and difficulties encountered during later stages may well feed back into adjustments and refinements to earlier stages. The first stage in building a BBN is the identification of model variables. Our model variables are defined in the following list, which gives in square brackets the state-space we have used, in this paper, for each variable. For the sake of simplicity, in this initial model formulation, the statespaces are all Boolean, apart from the first. In some cases, this is a deliberate simplification of the real situation, which we do not intend to retain in all our future work: S. The system’s unknown, true probability of failure on demand (pfd) [0 &lt;= S &lt;= 1]. . Z. The system specification Z E {correct; incorrect}. A system verification is performed directly against this specification to form one leg of the system dependability argument. (...) C. The acceptance (or otherwise) of final claim as to whether or not the system is fit for use [C E {accepted; rejected}]. Of course, C’s two parents, T and V , are both observable nodes. Therefore, in one usage scenario we have in mind for this model, C will be a “deterministic” node, in the sense that its realized value will be a chosen deterministic function of its parents’ values. For the purposes of illustration throughout this paper, we will use the claim that the operational system pfd S is better than 10-3."] ["The ultimate purpose of the following BBN model is to derive posterior distributions of random variables S and C of practical importance (goal variables), following the observation of other variables T and V whose values are directly measurable (or amenable to direct human assessment). The model, like most other BBN models, also includes essential model-structural “mediating variables” Z and O, in this case, which fall into neither of these two categories. Formally, the BBN topology encodes a system of CI assumptions, collectively termed a Markov model, (in)- dependency relation, (in)dependency model, or CI relation—see [7, p. 91], [8, Section 2.4], and [9, p. 5]—which enable the grand multivariate distribution of all model variables to be composed of several node conditional probability distributions of lower dimension. Consequently, the required posterior distributions of goal variables given evidence can likewise be expressed, in Section 3, in terms of these node conditional distributions. The CI assumptions encoded in the topology justify the derivations involved, and the pictorial representation of this topology, properly understood, efficiently communicates these CI assumptions (some more evidently than others). Thus, probabilistic CI assumptions and the BBN topologies that encode them are devices for constructing, communicating, and reasoning with multivariate probability models. The theoretical study of how a probabilistic CI model may be precisely represented by a graph is based on an analogy of probabilistic CI relations with various notions of the separation of two sets of graph nodes by a third “separator” set of nodes. The formal notions of “d-separation,” “graphoid,” “semigraphoid,” and “I-map” are central to this theory. See [7], [8], [9], [10] for further details."] ["The graph topology of our BBN can be thought of as an embodiment of a Markov model, that is, a complete and consistent4 set of CI beliefs of an expert concerning the model random variables. There are many ways of specifying the dependency model, which this graph topology represents. For example, one economical and logically independent set of CI assumptions that together completely specify the model is O??SV jZ T ??ZV j OS C ??OSZ j VT: Expressed in terms of its 26 elementary CI statements5 as in [8], the same dependency model can be written O??S jZ O??S jZV O??V jZ O??V jZS O??V j SZT O??V j SZTC Z??T j OS Z??T j OSV Z??T j OSV C V ??T j OS V ??T j OSZ V ??T j SZ Z??C j VT Z??C j VTO Z??C j VTS Z??C j V TOS Z??C j OSV O??C j VT O??C j VTS O??C j VTZ O??C j V TSZ O??C j SZT S??C j VT S??C j VTO S??C j VTZ S??C j V TOZ: When an expert declares himself satisfied with a BBN topology such as that in Fig. 1, he is really saying that he believes the CI assertions that are entailed by the topology."]</t>
  </si>
  <si>
    <t>Theoretical modeling, Beta distribution, direct function (e.g., sum, formula)</t>
  </si>
  <si>
    <t>See Section 4 Node Probability Assumptions</t>
  </si>
  <si>
    <t>See Section 6 How Effective is this Multilegged Argument Approach in Gaining Confidence in Dependability Claims?</t>
  </si>
  <si>
    <t>S79</t>
  </si>
  <si>
    <t>P114</t>
  </si>
  <si>
    <t>Ibrahim, H., Elamy, A. H. H., Far, B. H., &amp; Eberlein, A.</t>
  </si>
  <si>
    <t>UnHOS: A method for uncertainty handling in commercial off-the-shelf (COTS) selection</t>
  </si>
  <si>
    <t>International Journal of Energy, Information &amp; Communications</t>
  </si>
  <si>
    <r>
      <rPr>
        <rFont val="Arial"/>
        <color rgb="FF000000"/>
        <sz val="10.0"/>
      </rPr>
      <t>["This software quality research effort attempts to identify, model, and validate those factors that influence the quality of a software product.</t>
    </r>
    <r>
      <rPr>
        <rFont val="Arial"/>
        <b/>
        <color rgb="FF000000"/>
        <sz val="10.0"/>
      </rPr>
      <t xml:space="preserve"> The following three premises are proposed as a basis for the structure of the software quality model: 1. Maturity of software development </t>
    </r>
    <r>
      <rPr>
        <rFont val="Arial"/>
        <color rgb="FF000000"/>
        <sz val="10.0"/>
      </rPr>
      <t xml:space="preserve">processes is a causal factor in software product quality. 2. </t>
    </r>
    <r>
      <rPr>
        <rFont val="Arial"/>
        <b/>
        <color rgb="FF000000"/>
        <sz val="10.0"/>
      </rPr>
      <t>Complexity of the software problem</t>
    </r>
    <r>
      <rPr>
        <rFont val="Arial"/>
        <color rgb="FF000000"/>
        <sz val="10.0"/>
      </rPr>
      <t xml:space="preserve"> is a causal factor in software product quality. 3. </t>
    </r>
    <r>
      <rPr>
        <rFont val="Arial"/>
        <b/>
        <color rgb="FF000000"/>
        <sz val="10.0"/>
      </rPr>
      <t>Capability of the software development team</t>
    </r>
    <r>
      <rPr>
        <rFont val="Arial"/>
        <color rgb="FF000000"/>
        <sz val="10.0"/>
      </rPr>
      <t xml:space="preserve"> is a causal factor in software product quality. The intent of this research is to model these causal factors as drivers of software product quality, and validate the accuracy of the model in predicting product quality."] ["</t>
    </r>
    <r>
      <rPr>
        <rFont val="Arial"/>
        <b/>
        <color rgb="FF000000"/>
        <sz val="10.0"/>
      </rPr>
      <t>3.1 Assessing Development Team Capability</t>
    </r>
    <r>
      <rPr>
        <rFont val="Arial"/>
        <color rgb="FF000000"/>
        <sz val="10.0"/>
      </rPr>
      <t xml:space="preserve"> The approach taken to assess the development team capability involved two stages: to provide a criterion for rating the skills of individual team members, and then to provide a method for consolidating the various individual capabilities into a team capability. At the individual level, a four-tier ordinal rating scheme was created to capture a software developer’s skill and experience. Each software project team member is assigned a separate rating (1, 2, 3, or 4) for each of the four major life cycle phases: Requirements Development, Design Development, Implementation, and Integration/Test. The rating of an individual for a given phase is based on a set of criteria for that phase that takes formal education, formal training, and industry experience into account."] ["The overall Development Team Capability is captured as 16 discrete variables which represent the distribution of team skill in each of the four life cycle phases. Table 1 below lists those variables that were used to quantify the collective skill and experience of a software development team. Each of the 16 variables is comprised of a four-tiered scale representing the percentage of the team with the corresponding skill level. Each tier corresponds to a percentage range of the overall team. For example, one of the 16 variables used to represent overall Development Team Capability captures the proportion of team members with Requirements Skill Level 1. The four tiers used represent the ranges 0%- 25%, 26%-50%, 51%-75%, and 76%-100%. So, if there are four development team members involved in requirements development, and one of them has been appraised at Requirements Skill Level 1, then the Requirements Skill 1 rating for the overall team is 1 (25% of the team). Similarly, proportions may be determined for each of the 16 team skill ratings (4 skill levels for each of the four phases). This level of detail provides the model with a complete picture of the skill set within the development team, and for each phase of the software life cycle. "] ["</t>
    </r>
    <r>
      <rPr>
        <rFont val="Arial"/>
        <b/>
        <color rgb="FF000000"/>
        <sz val="10.0"/>
      </rPr>
      <t>3.2 Assessing Software Process Maturity</t>
    </r>
    <r>
      <rPr>
        <rFont val="Arial"/>
        <color rgb="FF000000"/>
        <sz val="10.0"/>
      </rPr>
      <t xml:space="preserve"> Software process maturity is quantified using the </t>
    </r>
    <r>
      <rPr>
        <rFont val="Arial"/>
        <b/>
        <color rgb="FF000000"/>
        <sz val="10.0"/>
      </rPr>
      <t>ISO/IEC 15504 [7] standard as guide in determining the elements of the software process to consider</t>
    </r>
    <r>
      <rPr>
        <rFont val="Arial"/>
        <color rgb="FF000000"/>
        <sz val="10.0"/>
      </rPr>
      <t>. The ISO/IEC 15504 is an international standard for software process assessment, and is the product of a collaborative effort of several major software process improvement efforts. "] ["</t>
    </r>
    <r>
      <rPr>
        <rFont val="Arial"/>
        <b/>
        <color rgb="FF000000"/>
        <sz val="10.0"/>
      </rPr>
      <t>3.3 Assessing Software Problem Complexity</t>
    </r>
    <r>
      <rPr>
        <rFont val="Arial"/>
        <color rgb="FF000000"/>
        <sz val="10.0"/>
      </rPr>
      <t xml:space="preserve"> Software problem complexity is captured differently for each phase of the development life cycle. In the requirements phase, complexity is determined by assessing whether or not the functional needs of the customer have been addressed, and how frequently those needs change after baseline. In the design phase, the complexity of the software problem can be characterized by the complexity of the design itself and the volatility of the design baseline. Complexity in the implementation phase is represented by the prevalence of quality requirements and needs in the software, and by the volatility of the source code units. Test complexity represents the extent to which the test covers the expected functionality of the product. "] ["</t>
    </r>
    <r>
      <rPr>
        <rFont val="Arial"/>
        <b/>
        <color rgb="FF000000"/>
        <sz val="10.0"/>
      </rPr>
      <t>3.4 Assessing Software Product Quality</t>
    </r>
    <r>
      <rPr>
        <rFont val="Arial"/>
        <color rgb="FF000000"/>
        <sz val="10.0"/>
      </rPr>
      <t xml:space="preserve"> Software product quality in this research is captured using the </t>
    </r>
    <r>
      <rPr>
        <rFont val="Arial"/>
        <b/>
        <color rgb="FF000000"/>
        <sz val="10.0"/>
      </rPr>
      <t>ISO/IEC 9126 [11] as a guide for the expectations of quality within the delivered software product.</t>
    </r>
    <r>
      <rPr>
        <rFont val="Arial"/>
        <color rgb="FF000000"/>
        <sz val="10.0"/>
      </rPr>
      <t xml:space="preserve"> The ISO/IEC 9126 is an international standard for software product quality that represents the quality of a delivered software product in terms of six major characteristics: Functionality, Efficiency, Reliability, Usability, Maintainability, and Portability. In the standard, each of the six quality characteristics is further partitioned into sub-characteristics and associated indicator metrics that allow for consistent measurement and assessment of quality. "]</t>
    </r>
  </si>
  <si>
    <r>
      <rPr>
        <rFont val="Arial"/>
        <color theme="1"/>
        <sz val="10.0"/>
      </rPr>
      <t xml:space="preserve">["This research used </t>
    </r>
    <r>
      <rPr>
        <rFont val="Arial"/>
        <b/>
        <color theme="1"/>
        <sz val="10.0"/>
      </rPr>
      <t>software engineering data from 21 different software development projects</t>
    </r>
    <r>
      <rPr>
        <rFont val="Arial"/>
        <color theme="1"/>
        <sz val="10.0"/>
      </rPr>
      <t xml:space="preserve"> in order </t>
    </r>
    <r>
      <rPr>
        <rFont val="Arial"/>
        <b/>
        <color theme="1"/>
        <sz val="10.0"/>
      </rPr>
      <t>to train</t>
    </r>
    <r>
      <rPr>
        <rFont val="Arial"/>
        <color theme="1"/>
        <sz val="10.0"/>
      </rPr>
      <t xml:space="preserve"> and validate</t>
    </r>
    <r>
      <rPr>
        <rFont val="Arial"/>
        <b/>
        <color theme="1"/>
        <sz val="10.0"/>
      </rPr>
      <t xml:space="preserve"> the BBN</t>
    </r>
    <r>
      <rPr>
        <rFont val="Arial"/>
        <color theme="1"/>
        <sz val="10.0"/>
      </rPr>
      <t xml:space="preserve"> that makes up this software quality model. The software projects used were all small in scale, and were generally completed within a 3-4 month time frame. The project teams varied in size from 1 to 4 developers, and were comprised of various combinations of graduate students and software engineering professionals. While all of the projects did not necessarily use the same software development process, they were selected for this study because they each addressed the four major phases of the development life cycle: development of requirements, development of design, implementation, and integration/test."] ["The approach taken to assess the development team capability involved two stages: to provide a criterion for rating the skills of individual team members, and then to provide a method for consolidating the various individual capabilities into a team capability. At the individual level, a four-tier ordinal rating scheme was created to capture a software developer’s skill and experience. Each software project team member is assigned a separate rating (1, 2, 3, or 4) for each of the four major life cycle phases: Requirements Development, Design Development, Implementation, and Integration/Test. The rating of an individual for a given phase is based on a set of criteria for that phase that takes formal education, formal training, and industry experience into account."] ["The overall Development Team Capability is captured as 16 discrete variables which represent the distribution of team skill in each of the four life cycle phases. Table 1 below lists those variables that were used to quantify the collective skill and experience of a software development team. Each of the 16 variables is comprised of a four-tiered scale representing the percentage of the team with the corresponding skill level. Each tier corresponds to a percentage range of the overall team. For example, one of the 16 variables used to represent overall Development Team Capability captures the proportion of team members with Requirements Skill Level 1. The four tiers used represent the ranges 0%- 25%, 26%-50%, 51%-75%, and 76%-100%. So, if there are four development team members involved in requirements development, and one of them has been appraised at Requirements Skill Level 1, then the Requirements Skill 1 rating for the overall team is 1 (25% of the team). Similarly, proportions may be determined for each of the 16 team skill ratings (4 skill levels for each of the four phases). This level of detail provides the model with a complete picture of the skill set within the development team, and for each phase of the software life cycle. "]</t>
    </r>
  </si>
  <si>
    <t>Cross validation</t>
  </si>
  <si>
    <r>
      <rPr>
        <rFont val="Arial"/>
        <color theme="1"/>
        <sz val="10.0"/>
      </rPr>
      <t xml:space="preserve">["The proposed software quality model was validated in terms of its predictive accuracy. A </t>
    </r>
    <r>
      <rPr>
        <rFont val="Arial"/>
        <b/>
        <color theme="1"/>
        <sz val="10.0"/>
      </rPr>
      <t>“leave one out” cross-validation</t>
    </r>
    <r>
      <rPr>
        <rFont val="Arial"/>
        <color theme="1"/>
        <sz val="10.0"/>
      </rPr>
      <t xml:space="preserve"> approach was to taken to evaluate the model’s ability to provide reliable forecasts of software quality. In this approach, the model is trained using all but one of the available projects. The remaining project’s life cycle data is input into the model in order to make predictions about software quality, and verify the accuracy of those predictions versus the actual values. When performed for each of the 21 participating projects, the result is a collection of forecasted versus actual values for each of the software quality measures being validated."]</t>
    </r>
  </si>
  <si>
    <t>["In the unit test scenario, a software entity is considered valid if it meets customer needs and expectations (cf.[GJM91]). Thus, valid design representation is traceable to requirements, valid code units successfully implement designs, etc. Given this definition, complete confidence in validity is clearly hard (if not impossible) to achieve in practice. Instead, a probabilistic belief value is associated with the statement "this entity is valid," and assigned to the corresponding entity. Network node D represents a design specication element, say ElevatorControllerInterfaceSpec,  in the unit test scenario. The probability Bel(D) represents prior prior belief that D is valid. Similarly, node M represents an Ada code module, say ElevatorControllerPackage, in the unit test scenario. M is assigned a probability Bel(M), representing prior belief that M is valid. There exists a causal relationship, M implements D, indicated by a directed edge &lt;D;M&gt; in Figure1. In addition, test nodes T1 and T2 represent two test suites, corresponding to two different test selection criteria, say All-Edges and All-Uses. Test suites are executed against implemented code units and may succeed or fail. Test suite execution succeeds when no defects are detected, i.e., actual test results match expected results. Expected results for test result checking are provided either manually or by a test oracle. Here, a code module becomes invalid whenever a single defect is detected, i.e., if execution of one or more related test suite fails; consequently, the belief value assigned to the corresponding node is set to zero5. Note, however, that successful test execution does not instill complete confidence and, consequently, merely increases one's confidence in the module's validity. Expected increases and decreases in confidence values for elevator artifacts are confirmed in the unit test scenario by way of Bayesian updating, as reported below."]</t>
  </si>
  <si>
    <t>["A directed edge &lt;D;M&gt;indicates that M implements D. Conditional probabilities in the corresponding edge matrix represent beliefs that M is valid (or invalid) given that D is valid (or invalid). Here, conditional probabilities were determined by domain experts as follows:(...)"</t>
  </si>
  <si>
    <t>See subsections 6.1.1, 6.1.2, and 6.1.3</t>
  </si>
  <si>
    <t>Software documentation</t>
  </si>
  <si>
    <t>["First we studied the CEquencer requirements documentation [Bec97], Though the requirements were determined and specified prior to our study, we found the documentation commensurate with a REquirements Building process we have been using in research and classroom situations, called REBUS [SZH+91]. This enabled us to capture CEquencer requirements as a DAG of REBUS nodes, explained next. REBUS allows for software requirements to be captured as a hierarchical DAG of requirements elements. For CEquencer. the top levels of its requirements DAG are: 1.The root node represents the entire CEquencer system. 2. The main subcomponents of the system include Run (for running a method or sample table). Edit (for editing a method or sample table). Data analysis. Data management, and Help. 3. Here, the main subcomponents above are decomposed into their respective subrequirements. The Run component is the most complex of the five, and includes File management. Direct control. Run menu operations. Tools. Log operations, and Replenish. Additional levels of decomposition exist, but space does not permit their inclusion here. Instead. a graphical depiction of the top most levels of CEquencer's REBUS DAG. detailing Run requirements, is shown in Figure 1."] ["Specifically, early depictions of CEquencer artifact webs were developed as Java applets and placed on the World Wide Web (see [Ziv97b]); these applets were then viewed and reviewed by Beckman developers for accuracy and relevancy. "]</t>
  </si>
  <si>
    <t>["Basic factors affecting software project risks can be organized first as a BBN template. A simple sample is shown in Fig. 4. The square boxes in the figure are the nodes that can be further expanded. We categorize factors into two groups: (1) organization-related factors, (2) project-related factors."] ["Our proposed BBN-based risk management procedure is given in Fig. 6. Similar to the tasks recommended by IEEE Standard 1540 (2001), our steps are grouped into the following tasks: (1) Initialization, (2) Maintaining Project Risk Profile, (3) Performing Risk Analysis and monitoring, (4) Performing Risk Treatment. The procedure is explained below. Step 1 (BBN initialization): Expand the basic BBN template to further comprise factors specific to the examined case. Assumptions and expected states are saved. Nodes to be monitored are also set."] ["If the proposed BBN-based risk management was used in a similar case, the potential progress might be as described below. The BBN diagrams would be the same as the generic ones shown in Figs. 4 and 5, except that we added a user-cost estimation accuracy node as a child of estimation accuracy node."]</t>
  </si>
  <si>
    <t>["The CPTs of these BBNs are not shown here. They can be assigned by a group of experts."]</t>
  </si>
  <si>
    <t>["5. Analytical cases The above procedure was verified statically and dynamically. This section presents the static case studies. The next section addresses a dynamic test. Two past software projects, Confirm project (Oz, 1994) and SizeWell B nuclear protection system (Nuclear Engng. Int., 1993), were studied. They represent two different situations: the former was a failed project due to technological difficulties and management problems; while the latter was a project with huge V&amp;V effort, which well passed its saturation point. We used cases similar to these two to analyze what would happen if the proposed risk management scheme were used."] ["Using both static analysis and dynamic test, we have shown that the direction of incorporating BBNs in risk management is promising. Further application of our approach to realistic on-going projects is desired."]</t>
  </si>
  <si>
    <r>
      <rPr>
        <rFont val="Arial"/>
        <color theme="1"/>
        <sz val="10.0"/>
      </rPr>
      <t xml:space="preserve">["The method consists of four steps: (i) metrics identification, (ii) metrics grouping, (iii) directed acyclic graph (DAG) construction and (iv) probability functions definition."] ["The first step (i) of our method is to identify the set of metrics M={m1,...,m|M|}, where mi is a metric and |M| is the number of metrics used in the project. We also have a set of metric scopes S={s1,...,s|S|}, where si represent a metric scope and |S| is the number of metric scopes applicable to the project. Afterwards, in the second step (ii), we group the metrics regarding their scope si. We define that metrics have the same scope if they influence, or are influenced by, each others interpretation. So, we create a set of metrics relationships Q, which represents the influence between metrics. For instance, metrics related to bugs and tests, such as Test coverage, Number of opened bugs and Test status should have the same scope, because Test coverage and Test status influence the interpretation of Number of opened bugs. Formally, we can represent the set of metric groups as G={G1,...,G|S|}."] ["Then, in step (iii), for each group Gi ∈ G, we construct a DAG. Until each Gi is empty, we perform a sequence of steps. Step iii-a: get and remove the first element, starting from l1, of Gi, call it F. Step iii-b: create a node IF, which represents the interpretation of F. Step iii-c: create two nodes, IF−M and IF−E. Add two relationships to Q, p(IF,IF−M) and p(IF−E,IF−M), where p(x,y) indicates that x is a parent of y. </t>
    </r>
    <r>
      <rPr>
        <rFont val="Arial"/>
        <b/>
        <color theme="1"/>
        <sz val="10.0"/>
      </rPr>
      <t>Up to this point, we have only applied the measurement idiom, as described by Fenton et al</t>
    </r>
    <r>
      <rPr>
        <rFont val="Arial"/>
        <color theme="1"/>
        <sz val="10.0"/>
      </rPr>
      <t xml:space="preserve">.[7]. IF−M represents the Metric-threshold. </t>
    </r>
    <r>
      <rPr>
        <rFont val="Arial"/>
        <b/>
        <color theme="1"/>
        <sz val="10.0"/>
      </rPr>
      <t>We only use ordinal (i.e., ranked) nodes [6] to construct the Bayesian networks. Each node has three possible states, namely: Low, Medium and High</t>
    </r>
    <r>
      <rPr>
        <rFont val="Arial"/>
        <color theme="1"/>
        <sz val="10.0"/>
      </rPr>
      <t xml:space="preserve">. </t>
    </r>
    <r>
      <rPr>
        <rFont val="Arial"/>
        <b/>
        <color theme="1"/>
        <sz val="10.0"/>
      </rPr>
      <t>To represent the metrics collected quantitatively as ordinal nodes, such as static code analysis warnings, we use thresholds, which practitioners usually use on projects. For example, a manager can decide that code coverage is bad if less than 50%, moderate if between 50% and 80% and good if greater than 80%</t>
    </r>
    <r>
      <rPr>
        <rFont val="Arial"/>
        <color theme="1"/>
        <sz val="10.0"/>
      </rPr>
      <t xml:space="preserve">. IF−E represents the Error and represent the measurement’s uncertainty. Step iii-d: add, if it makes sense, three parent nodes to Error: Metric collection procedure quality, Metric report procedure quality and Metric misuse. We call this configuration the method’s template and present it in Figure 3.(...)"] ["Step iii-g: Refactor the directed acyclic graph. </t>
    </r>
    <r>
      <rPr>
        <rFont val="Arial"/>
        <b/>
        <color theme="1"/>
        <sz val="10.0"/>
      </rPr>
      <t>First, make sure all the relationships r ∈ Q make sense.</t>
    </r>
    <r>
      <rPr>
        <rFont val="Arial"/>
        <color theme="1"/>
        <sz val="10.0"/>
      </rPr>
      <t xml:space="preserve"> For performance purposes, group common factors to avoid children nodes with a high number of parents (attempt to have at most four parents). For a group to be valid, some of its parent node state combinations must be equivalent in terms of their effect on the child node [4]. Furthermore, if a parent node has only one child, if the child is not a controller factor, discard the given node and connect its child node to its parent node. </t>
    </r>
    <r>
      <rPr>
        <rFont val="Arial"/>
        <b/>
        <color theme="1"/>
        <sz val="10.0"/>
      </rPr>
      <t>Finally, to make the model clearer, modify the names of the nodes whenever its appropriate</t>
    </r>
    <r>
      <rPr>
        <rFont val="Arial"/>
        <color theme="1"/>
        <sz val="10.0"/>
      </rPr>
      <t>."] ["</t>
    </r>
    <r>
      <rPr>
        <rFont val="Arial"/>
        <b/>
        <color theme="1"/>
        <sz val="10.0"/>
      </rPr>
      <t>First, the Scrum Master identified the metrics used in the project and, with our guidance, grouped them regarding their scope. We ended up with four groups of metrics: (i) number of opened bugs, code coverage, number of tests; (ii) Check style documentation warnings; (iii) other static analysis warnings; and, (iv) sprint burndown. Afterwards, for each group of metrics, we constructed a DAG.</t>
    </r>
    <r>
      <rPr>
        <rFont val="Arial"/>
        <color theme="1"/>
        <sz val="10.0"/>
      </rPr>
      <t>"]</t>
    </r>
  </si>
  <si>
    <t>S82</t>
  </si>
  <si>
    <t>P117</t>
  </si>
  <si>
    <t>Razzaq, S., &amp; Xie, M.</t>
  </si>
  <si>
    <t>Understanding the Surviving Bugsin Open Source Software through the Community Perspective: Using Bayesian Analysis</t>
  </si>
  <si>
    <t>Amity International Conference on Artificial Intelligence (AICAI)</t>
  </si>
  <si>
    <r>
      <rPr>
        <rFont val="Arial"/>
        <color theme="1"/>
        <sz val="10.0"/>
      </rPr>
      <t xml:space="preserve">["The last step (iv) is to define the probability functions. For this purpose, we use AgenaRisk1, which is a Bayesian inference engine that runs Bayesian network models and calculates the probabilities. AgenaRisk uses a doubly truncated normal distribution (TNormal distribution) to represent </t>
    </r>
    <r>
      <rPr>
        <rFont val="Arial"/>
        <b/>
        <color theme="1"/>
        <sz val="10.0"/>
      </rPr>
      <t>ordinal nodes</t>
    </r>
    <r>
      <rPr>
        <rFont val="Arial"/>
        <color theme="1"/>
        <sz val="10.0"/>
      </rPr>
      <t xml:space="preserve"> [6]. The TNormal distribution is characterized by two parameters: mean (µ) and variance (σ2). µ is calculated by a weighted expression that reflects the influence of the parents of a given node on itself. We use three types of </t>
    </r>
    <r>
      <rPr>
        <rFont val="Arial"/>
        <b/>
        <color theme="1"/>
        <sz val="10.0"/>
      </rPr>
      <t>weighted functions</t>
    </r>
    <r>
      <rPr>
        <rFont val="Arial"/>
        <color theme="1"/>
        <sz val="10.0"/>
      </rPr>
      <t xml:space="preserve"> supported by AgenaRisk: weighted average, weighted minimum and weighted maximum [4]. The weighted minimum should be used in situations when if any of the parents of a child are Low, it also tends to be Low. The weighted maximum should be used in situations when if any of the parents of a child are High, it also tends to be High. Otherwise, use weighted average. We use a modified version of the procedure we presented in [14]. The first step is to, for each child node, order the relationships between itself and its parent nodes given their relative magnitude. For example, if a node B has greater influence on A than C, the order should be B−A and C−A, in which B − A is the relationship between B and A while C − A is the relationship between C and A. Subsequently, we use the algorithm we presented in [13] to </t>
    </r>
    <r>
      <rPr>
        <rFont val="Arial"/>
        <b/>
        <color theme="1"/>
        <sz val="10.0"/>
      </rPr>
      <t>generate weighted functions</t>
    </r>
    <r>
      <rPr>
        <rFont val="Arial"/>
        <color theme="1"/>
        <sz val="10.0"/>
      </rPr>
      <t>. "] ["</t>
    </r>
    <r>
      <rPr>
        <rFont val="Arial"/>
        <b/>
        <color theme="1"/>
        <sz val="10.0"/>
      </rPr>
      <t>To meet the experts’ expectations, the variance should be modified to calibrate the probability functions.</t>
    </r>
    <r>
      <rPr>
        <rFont val="Arial"/>
        <color theme="1"/>
        <sz val="10.0"/>
      </rPr>
      <t>"] ["</t>
    </r>
    <r>
      <rPr>
        <rFont val="Arial"/>
        <b/>
        <color theme="1"/>
        <sz val="10.0"/>
      </rPr>
      <t>To define the probability functions</t>
    </r>
    <r>
      <rPr>
        <rFont val="Arial"/>
        <color theme="1"/>
        <sz val="10.0"/>
      </rPr>
      <t xml:space="preserve">, we sent an </t>
    </r>
    <r>
      <rPr>
        <rFont val="Arial"/>
        <b/>
        <color theme="1"/>
        <sz val="10.0"/>
      </rPr>
      <t>online survey</t>
    </r>
    <r>
      <rPr>
        <rFont val="Arial"/>
        <color theme="1"/>
        <sz val="10.0"/>
      </rPr>
      <t xml:space="preserve"> to the ScrumMaster to, for each node, order its relationships with its parents given their relative magnitude and define the type of weighted function. The ScrumMaster answered the survey in ten minutes."]</t>
    </r>
  </si>
  <si>
    <t>Case study (expert review)</t>
  </si>
  <si>
    <r>
      <rPr>
        <rFont val="Arial"/>
        <color theme="1"/>
        <sz val="10.0"/>
      </rPr>
      <t xml:space="preserve">["To validate our method, we performed a case study in three Scrum-based software development projects in Brazil."] [We used the Bayesian network to analyze results from three sprints. In Table 1, we present, for all the sprints, the </t>
    </r>
    <r>
      <rPr>
        <rFont val="Arial"/>
        <b/>
        <color theme="1"/>
        <sz val="10.0"/>
      </rPr>
      <t>collected metrics and its respective calculated interpretations</t>
    </r>
    <r>
      <rPr>
        <rFont val="Arial"/>
        <color theme="1"/>
        <sz val="10.0"/>
      </rPr>
      <t xml:space="preserve">. For each metric, in Table 1, we present two data: </t>
    </r>
    <r>
      <rPr>
        <rFont val="Arial"/>
        <b/>
        <color theme="1"/>
        <sz val="10.0"/>
      </rPr>
      <t>collected, the values collected by the ScrumMaster ; and interpretation, the values calculated by the Bayesian network</t>
    </r>
    <r>
      <rPr>
        <rFont val="Arial"/>
        <color theme="1"/>
        <sz val="10.0"/>
      </rPr>
      <t xml:space="preserve"> for the given metric. </t>
    </r>
    <r>
      <rPr>
        <rFont val="Arial"/>
        <b/>
        <color theme="1"/>
        <sz val="10.0"/>
      </rPr>
      <t>These data should be compared to define the confidence in the metric’s interpretation</t>
    </r>
    <r>
      <rPr>
        <rFont val="Arial"/>
        <color theme="1"/>
        <sz val="10.0"/>
      </rPr>
      <t>."]</t>
    </r>
  </si>
  <si>
    <t>S83</t>
  </si>
  <si>
    <t>P118</t>
  </si>
  <si>
    <t>Khuankrue, I., &amp; Rivepiboon, W.</t>
  </si>
  <si>
    <t>Model of cross-culture risk prediction base on Bayesian belief networks for software project</t>
  </si>
  <si>
    <t>International Conference on Innovation Management and Technology Research</t>
  </si>
  <si>
    <t>Lifecycle model (XP)</t>
  </si>
  <si>
    <t>["Figure 1 shows an example of BN. This graph is part of the proposed XP process model. The number of defected story points depends on both the test driven development practice usage and the defect rate random variables, while the team velocity is affected by only the test driven development practice usage. "] ["The proposed model complies XP process iterative structure. The model considers the iterative nature of XP by modelling the process as a number of sequential releases. An example of releases connectivity is shown in Figure 2. Each release has eight inputs and two outputs. The output of one release is considered as an input for the following release. In the next section, the model details explaining different inputs and outputs are provided. Then, the details of the Team Velocity Model and Project Defects Model will be provides in the following sections. "] ["Eight parameters were considered as input parameters to the release model: - Planned User Stories: The number of user stories to be developed in this release. This number should be available before the beginning of the release. - Added User Stories: The number of user stories to be added from the previous release due to the defects in the previous release. (...)"]</t>
  </si>
  <si>
    <t>Literature review, direct function (e.g., sum, formula)</t>
  </si>
  <si>
    <t>S84</t>
  </si>
  <si>
    <t>P119</t>
  </si>
  <si>
    <t>Zhang, H., &amp; Jarzabek, S.</t>
  </si>
  <si>
    <t>A bayesian network approach to rational architectural design</t>
  </si>
  <si>
    <r>
      <rPr>
        <rFont val="Arial"/>
        <color rgb="FF000000"/>
        <sz val="10.0"/>
      </rPr>
      <t xml:space="preserve">["4. MODEL VALIDATION The proposed model was implemented using AgenaRisk toolset [1]. AgenaRisk is a powerful tool for modelling risk and making predictions based on Bayesian Network. AgenaRisk has the following features: - It integrates the advantages of Bayesian Networks, statistical simulation and spreadsheet analysis. - A wide range of built-in conditional probability functions are available. - It has the ability to build dynamic models. - AgenaRisk is visual, simple and powerful tool. A free licence for AgenaRisk toolset is available through the company website (http://www.agenarisk.com), but limited to 7 days. In the next section, experiments setup will be illustrated, while the results will be provided and discussed in the following section 4.1. Experiments Setup Collecting data from real projects to validate our model was a difficult task due to several reasons. Due to XP simplicity value, it is difficult to find company collecting information regarding their activities and practices. Moreover, most real XP projects are developed by private companies having restrictions on publishing their internal development process. In addition, there is no guarantee that the available data is sufficient for model validation. Two XP projects provided enough data to test our model. The first one is the Repo Margining System project [4]. The second one is a controlled case study reported by Pekka Abrahamsson [17]. We will refer to this case study in the rest of this paper by Abrahamsson Case Study. The model input data for the two projects are shown in tables 2 and 3. The model internal parameters are summarized in table 4. 4.2. Results and Discussion </t>
    </r>
    <r>
      <rPr>
        <rFont val="Arial"/>
        <b/>
        <color rgb="FF000000"/>
        <sz val="10.0"/>
      </rPr>
      <t>Table 5 shows a comparison between the Estimated and the Real values for the two projects. Regarding the number of days, the estimated number is so close to the Real project. This indicates the acceptable accuracy of the proposed Team Velocity Model. On the other hand, the Defected Story Points model was not that accurate. For Abrahamsson Case Study, the estimated number of defected story points was close to the actual one, while for the Repo Margining System, the accuracy of the prediction system was not that good.</t>
    </r>
    <r>
      <rPr>
        <rFont val="Arial"/>
        <color rgb="FF000000"/>
        <sz val="10.0"/>
      </rPr>
      <t xml:space="preserve"> The inaccuracy also appears in estimated the produced number of Line of codes for Abrahamsson Case Study. The imprecision in some of the results, especially in the Defected Story Points model, is due to fixing some variables that should not be fixed. For example, the Defect Injection Ratio was fixed for the two projects to follow the normal distribution with mean 20 defects per KLOC. This value differs from project to another and should not be fixed. The same for Developer Productivity random variable that set to follow the normal distribution with mean 40 lines/day. This also depends on the nature of the project and should vary from project to another. "]</t>
    </r>
  </si>
  <si>
    <t>Expert knowledge</t>
  </si>
  <si>
    <t>P121</t>
  </si>
  <si>
    <r>
      <rPr>
        <rFont val="Arial"/>
        <color rgb="FF000000"/>
        <sz val="10.0"/>
      </rPr>
      <t xml:space="preserve">["A. Determining the nodes in BN • The source of nodes in BN In the software reliability qualitative estimation approach based on BN, several software metrics are selected as the inputs of BN model. Not only [18-20] have shown how software metrics have great effect on software reliability, but also lots of standards and references at home and abroad have presented the definitions of software metrics and the practical utilization methods. So the software reliability metrics proposed in the IEEE 982.1[18] and OJB 5236[25] are selected as the elements of the candidate reliability metric set. • The method for selecting software reliability metrics The criteria for selecting software reliability metrics in this paper are shown as follows: 1) Relevance: this criterion reflects the relationship between metrics and software reliability. 2) Experience: this criterion reflects the degree to which this metric has been used and recognized. 3) Correctness: this criterion includes objectivity, justness and precision. Objectivity refers that the input and result of this metric cannot be easily influenced. Justness refers that metric is not partial to any specific results. 4) Practicality: this metric should be concerned and required in development. 5) Feasibility: this criterion means that the formula of this metric sho� ld be understood easily and supported by tools, data collection should be easily, the results of this metric can be evaluated and confirmed conveniently. • Recommended software reliability metrics Synthetically analyzing IEEE 982.1 and OJB 5236 according to the above selection criteria, twelve software reliability metrics (i.e. fault detection, fault removal, testing adequacy, failure avoidance, incorrect operation avoidance, restorability, restore effectiveness, breakdown avoidance, cyclomatic complexity, requirements compliance, fault density, software maturity index) are recommended as the root nodes of the following BN topology structure framework and the metric set in the case study. B. </t>
    </r>
    <r>
      <rPr>
        <rFont val="Arial"/>
        <b/>
        <color rgb="FF000000"/>
        <sz val="10.0"/>
      </rPr>
      <t>Determining the state of nodes in BN With reference to the researches about the application of BN in other fields, the state space of the selected metric (input node) can be divided into three levels, namely high, middle and low, which are corresponding to three values of the metric, i.e. 0-113, 1/3-2/3, 2/3-1.</t>
    </r>
    <r>
      <rPr>
        <rFont val="Arial"/>
        <color rgb="FF000000"/>
        <sz val="10.0"/>
      </rPr>
      <t xml:space="preserve"> The state space of the other nodes can also be divided into the same three levels. C. Constructing BN topology structure (determining the relationship of nodes) There are two methods for constructing BN topology structure. One method is analyzing the causality relationship between nodes according to the experiential knowledge for constructing the BN topology structure when the sample data is not sufficient. The other is learning the BN topology structure based on the sufficient sample data. (...) The first method mentioned above for constructing the network structure is used here. The analysis process is shown as follows: the output node of the BN topology structure is software reliability, thus the important factors which have effect on software reliability are the remaining faults in software and the fault tolerance. The remaining faults can be determined by two factors: the first one is the faults introduced in software design development and the second one is the faults detected and removed by testing. Meanwhile, the faults detected and removed by testing are also affected by the faults introduced in development process. The quality of software development process affects the introduction faults in software development process as well as the quality of software testing affects the faults detected and removed by testing. The final BN structure for this method is shown as Fig. 2, which can be tailored according to the characters of the object system in the actual application."]</t>
    </r>
  </si>
  <si>
    <t>A Proposal of a Probabilistic Framework for Web-Based Applications Quality</t>
  </si>
  <si>
    <t>QAOOSE 2006 Proceedings</t>
  </si>
  <si>
    <t>["Here the first method (Le. the expert estimation method) is used to determine the required probability parameters."]</t>
  </si>
  <si>
    <t>["E. The calculation of causality reasoning We make the calculation of causality reasoning according to the marginal probability and conditional probability shown in Tab.lV to obtain the following results (taking FD for example): P(FD = H) = L P(FD = HIT.S', FC)P(T.S')P(FC) = 0.250 TS,FC P(FD = M) = LP(FD = MITS,FC)P(TS)P(FC) = 0.551 TS,FC P(FD = L) = LP(FD = LIT.S',FC)P(TS)P(FC) = 0.199 TS,FC From the above equations, it can be seen that the software reliability qualitative result of this software product is that the probability of high software reliability level is 0.332, the probability of middle level is 0.451 and the probability of low level is 0.217. Therefore the probability of middle level is the largest. "]</t>
  </si>
  <si>
    <t>["In Figure 2 we list the most important factors and their causal relationships. Each subfigure in Figure 2 is associated with BN that we discuss in the next section. Note that we do not restrict impact factors to the mentioned ones, we provide a model for ASD practitioners; they can add or change the factors according to their needs. Below we explain each impact factor and list decisions related to the factors."] ["After constructing BNs corresponding to Figure 2 we build another BN that will combine all BNs and the final decision will be the healthiness of the project in the given iteration."] ["Figure 3 shows the BN of Requirement Delivery. As we stated in the previous chapter, Requirement Delivery depends on number of features to be done, complexity of features and feature type. We first prioritize these variables, which should be done by managers, by experts or by decision makers, and it should be adjusted to fit the application domain."] ["In some cases the BN designer chooses linguistic terms that are straightforward to prioritize; such as, High, Medium and Low. In some other cases where the content of state names are independent from each other, the prioritization should be done by an expert of a domain. For example, the states of feature type are new feature, bug and enhancement. For our problem, we considered bug as the most important, new feature as the second important, and finally, enhancement as the least important. Note that, we need to prioritize the nodes as well as states to decide their values in probability distribution tables."] ["In this study we propose a model that is built on the most relevant factors that affect a release surveyed in [11], [12], [13], [14], [15], [16], [8], [17]. The conditional probabilities are provided by experts in agile management. "]</t>
  </si>
  <si>
    <t>["In this study we propose a model that is built on the most relevant factors that affect a release surveyed in [11], [12], [13], [14], [15], [16], [8], [17]. The conditional probabilities are provided by experts in agile management. "]</t>
  </si>
  <si>
    <t>["In Figure 5 we discuss different cases and analyze the system behavior with different inputs. Figure 5 (a) is a case where the project has a healthy corporate culture and the delivery is on course. A project under such conditions is considered profitable for the corporate; the system has proposed a couple of amendments that should boost the value to cost ratio of the project. Among the decisions that should be taken is team reshuffling, which will feed directly into having better pair compatibility."]</t>
  </si>
  <si>
    <t>P122</t>
  </si>
  <si>
    <t>["Fenton and Pfleeger [21] has described the software measurements as divided into: processes (related to software activities such as development and support); products (involves the deliverables such as requirements, design and code); and resources (involves the assets such as people, tools and equipments). According to [21], all predictive and estimation models fall within these three classes. In our case, we have used process and resource measurements. To minimize the model’s complexity, we have chosen not to use product measurements (that category of data could later be incorporated into the model in order to increase prediction accuracy). The proposed Bayesian network model (Figure 1) is composed of two main sections i.e. test process overall effectiveness (e) and test effort (E), where the test effort (E) node is controlled by iteration length (l), team size (s) and test process overall effectiveness (e). Test process overall effectiveness contains two nodes, i.e. test process rework effectiveness and test process effectiveness. Further, rework test effectiveness is controlled by two nodes such as rework test effort and rework test process quality nodes. In fragment 2 (see Figure 1), test process effectiveness is controlled by test process quality which is further controlled by test tool quality, test team experience and test case effectiveness nodes. Finally, test case effectiveness is controlled by the number of defects found by test cases and the total number of defects found by nodes. Figure 1 shows how different nodes are linked to each other in the model. Previous existing research work has been used to build the proposed model, more detailed information can be found in [14,15,22]. Our proposed model is different from the other existing models as discussed in Section II. Rather than creating a complex and large model, we have constructed a simple and small model with few, and what we believe to be, important nodes or variables that would be easily accessible in industry."]</t>
  </si>
  <si>
    <t>Expert elicitation, learning from data</t>
  </si>
  <si>
    <t>Modeling web-based applications quality: a probabilistic approach</t>
  </si>
  <si>
    <t>Web Information Systems–WISE 2006: 7th International Conference on Web Information Systems Engineering</t>
  </si>
  <si>
    <r>
      <rPr>
        <rFont val="Arial"/>
        <color rgb="FF000000"/>
        <sz val="10.0"/>
      </rPr>
      <t xml:space="preserve">["C. Model Requirements The following requirements must be met by the model: • To minimize the complexity, the model must be small, simple and easy to replicate in all iterations. • The model should be able </t>
    </r>
    <r>
      <rPr>
        <rFont val="Arial"/>
        <b/>
        <color rgb="FF000000"/>
        <sz val="10.0"/>
      </rPr>
      <t>to learn from project data and expert opinion</t>
    </r>
    <r>
      <rPr>
        <rFont val="Arial"/>
        <color rgb="FF000000"/>
        <sz val="10.0"/>
      </rPr>
      <t>."] ["In this section, we provide details on the industrial validation of the model. The validation was, initially, performed by conducting a series of</t>
    </r>
    <r>
      <rPr>
        <rFont val="Arial"/>
        <b/>
        <color rgb="FF000000"/>
        <sz val="10.0"/>
      </rPr>
      <t xml:space="preserve"> interviews for data collection purpose, where the respondents had participated in two projects (Projects A and B)</t>
    </r>
    <r>
      <rPr>
        <rFont val="Arial"/>
        <color rgb="FF000000"/>
        <sz val="10.0"/>
      </rPr>
      <t xml:space="preserve">. The data collected during the interviews was then used to perform a validation of the results with an accompanying analysis."] ["To observe </t>
    </r>
    <r>
      <rPr>
        <rFont val="Arial"/>
        <b/>
        <color rgb="FF000000"/>
        <sz val="10.0"/>
      </rPr>
      <t>model parameter learning, all values from Table III were entered into the model</t>
    </r>
    <r>
      <rPr>
        <rFont val="Arial"/>
        <color rgb="FF000000"/>
        <sz val="10.0"/>
      </rPr>
      <t>, no values for I7 and I8 were entered, allowing the model to predict the test effort (E) for these iterations. (See Figure 3 for a graph of baseline, success, average and failing scenarios.)"] ["Next,</t>
    </r>
    <r>
      <rPr>
        <rFont val="Arial"/>
        <b/>
        <color rgb="FF000000"/>
        <sz val="10.0"/>
      </rPr>
      <t xml:space="preserve"> I3 data was entered into the model </t>
    </r>
    <r>
      <rPr>
        <rFont val="Arial"/>
        <color rgb="FF000000"/>
        <sz val="10.0"/>
      </rPr>
      <t xml:space="preserve">and the model was executed again. The </t>
    </r>
    <r>
      <rPr>
        <rFont val="Arial"/>
        <b/>
        <color rgb="FF000000"/>
        <sz val="10.0"/>
      </rPr>
      <t>parameter probabilities were updated</t>
    </r>
    <r>
      <rPr>
        <rFont val="Arial"/>
        <color rgb="FF000000"/>
        <sz val="10.0"/>
      </rPr>
      <t xml:space="preserve"> and predictions improved as a result (Table VII and Figure7)."] ["To then </t>
    </r>
    <r>
      <rPr>
        <rFont val="Arial"/>
        <b/>
        <color rgb="FF000000"/>
        <sz val="10.0"/>
      </rPr>
      <t>validate the model with the data from project B, we only used the ‘predicted’ scenario and entered data from I1 and I2 into the model (Table VIII). As we entered new data into the model, propagation took place and parameter distributions were updated</t>
    </r>
    <r>
      <rPr>
        <rFont val="Arial"/>
        <color rgb="FF000000"/>
        <sz val="10.0"/>
      </rPr>
      <t>. These distributions obviously affected the prediction of all future iterations, as shown in Table X."]</t>
    </r>
  </si>
  <si>
    <t>Statistical measures (Magnitude of Relative Error (MRE), Mean Magnitude of Relative Error (MMRE), Estimation Magnitude of Relative Error (EMRE), Mean of Estimation Magnitude of Relative Error (MEMRE))</t>
  </si>
  <si>
    <t>S86</t>
  </si>
  <si>
    <t>P123</t>
  </si>
  <si>
    <t>Al-Rousan, T., Sulaiman, S., &amp; Salam, R. A.</t>
  </si>
  <si>
    <t>A risk identification architecture pattern based on bayesian network</t>
  </si>
  <si>
    <t>International Symposium on Information Technology</t>
  </si>
  <si>
    <t>P124</t>
  </si>
  <si>
    <r>
      <rPr>
        <rFont val="Arial"/>
        <color rgb="FF000000"/>
        <sz val="10.0"/>
      </rPr>
      <t xml:space="preserve">["IV. INITIAL VALIDATION After the completion of the model design, it is important to conduct an </t>
    </r>
    <r>
      <rPr>
        <rFont val="Arial"/>
        <b/>
        <color rgb="FF000000"/>
        <sz val="10.0"/>
      </rPr>
      <t>initial validatio</t>
    </r>
    <r>
      <rPr>
        <rFont val="Arial"/>
        <color rgb="FF000000"/>
        <sz val="10.0"/>
      </rPr>
      <t xml:space="preserve">n of the model by performing a pilot test. The purpose of the initial validation is to ensure that a minimum level of quality has been reached, in terms of prediction accuracy, so that one, then, can perform the next step, i.e. studies in industry (Section V). A. Model Behavior </t>
    </r>
    <r>
      <rPr>
        <rFont val="Arial"/>
        <b/>
        <color rgb="FF000000"/>
        <sz val="10.0"/>
      </rPr>
      <t xml:space="preserve">To test the model’s behavior, the authors designed a project X consisting of a total of eight iterations with 120 hours of available effort for a single iteration. The model was solely based on initial settings, where no data or observations were entered into the model. </t>
    </r>
    <r>
      <rPr>
        <rFont val="Arial"/>
        <color rgb="FF000000"/>
        <sz val="10.0"/>
      </rPr>
      <t xml:space="preserve">The model was executed and the test effort (E) output mean, median and standard deviation (SD) values were observed in order to evaluate the model’s prediction behavior, which is also known as baseline scenario (Table II and Figure 2). The key parameters of the model such as iteration length (l), test team size (s) and test process overall effectiveness (e) obviously allowed the test effort graph to increase gradually with each iteration and, indeed, to model such kind of behavior was one of the main objectives with the pilot study. </t>
    </r>
    <r>
      <rPr>
        <rFont val="Arial"/>
        <b/>
        <color rgb="FF000000"/>
        <sz val="10.0"/>
      </rPr>
      <t>A number of different scenarios were then generated by entering different observations into the test effort (E) parameter of the model. In this way, we evaluated the predicted and learned values of E’s future iterations (as discussed in the next section).</t>
    </r>
    <r>
      <rPr>
        <rFont val="Arial"/>
        <color rgb="FF000000"/>
        <sz val="10.0"/>
      </rPr>
      <t xml:space="preserve"> B. Calibration of Parameters To evaluate the model’s behavior, it was important to consider various model parameters under different scenarios [25]. Therefore, </t>
    </r>
    <r>
      <rPr>
        <rFont val="Arial"/>
        <b/>
        <color rgb="FF000000"/>
        <sz val="10.0"/>
      </rPr>
      <t>we created three different scenarios in the model namned success, average and failing.</t>
    </r>
    <r>
      <rPr>
        <rFont val="Arial"/>
        <color rgb="FF000000"/>
        <sz val="10.0"/>
      </rPr>
      <t xml:space="preserve"> The success scenario represents that the project is making progress (better than according to plan), the average scenario represents that the project is going on as planned, while the failing scenario represents a project failing in some way. </t>
    </r>
    <r>
      <rPr>
        <rFont val="Arial"/>
        <b/>
        <color rgb="FF000000"/>
        <sz val="10.0"/>
      </rPr>
      <t>The baseline scenarios’ predicted median values for I1– I8 is in the range of 35.65 to 40.23 as shown in Table II. However, we have assumed different values for E under success, average and failing scenarios for I1–I6, i.e. in the range of 42–50, 34–41 and 2–6, respectively.</t>
    </r>
    <r>
      <rPr>
        <rFont val="Arial"/>
        <color rgb="FF000000"/>
        <sz val="10.0"/>
      </rPr>
      <t xml:space="preserve"> Table III presents the test effort (E) in each iteration for the success, average and failing scenarios.(...)"] [" V. INDUSTRY VALIDATION In this section, we provide details on the industrial validation of the model. The validation was, initially, performed by conducting a series of interviews for data collection purpose, where the respondents had participated in two projects (</t>
    </r>
    <r>
      <rPr>
        <rFont val="Arial"/>
        <b/>
        <color rgb="FF000000"/>
        <sz val="10.0"/>
      </rPr>
      <t>Projects A and B). The data collected during the interviews was then used to perform a validation of the results with an accompanying analysis</t>
    </r>
    <r>
      <rPr>
        <rFont val="Arial"/>
        <color rgb="FF000000"/>
        <sz val="10.0"/>
      </rPr>
      <t xml:space="preserve">. (...) </t>
    </r>
    <r>
      <rPr>
        <rFont val="Arial"/>
        <b/>
        <color rgb="FF000000"/>
        <sz val="10.0"/>
      </rPr>
      <t>After entering the data from Table IV into the actual and predicted scenarios, the model was executed and test effort (E) node median values were observed for actual and predicted scenarios as shown in Table V.</t>
    </r>
    <r>
      <rPr>
        <rFont val="Arial"/>
        <color rgb="FF000000"/>
        <sz val="10.0"/>
      </rPr>
      <t xml:space="preserve"> (...) In order to validate the results from executing the model, we have performed the following prediction accuracy measures as suggested by [26–28]: • </t>
    </r>
    <r>
      <rPr>
        <rFont val="Arial"/>
        <b/>
        <color rgb="FF000000"/>
        <sz val="10.0"/>
      </rPr>
      <t>Magnitude of Relative Error (MRE). • Mean Magnitude of Relative Error (MMRE). • Estimation Magnitude of Relative Error (EMRE). • Mean of Estimation Magnitude of Relative Error (MEMRE)</t>
    </r>
    <r>
      <rPr>
        <rFont val="Arial"/>
        <color rgb="FF000000"/>
        <sz val="10.0"/>
      </rPr>
      <t>"] ["Finally, the results of the industrial model validation were verified through prediction accuracy measures (MRE and MMRE) and statistical tests."]</t>
    </r>
  </si>
  <si>
    <t>Al-Rouson, T., Sulaimin, S., &amp; Salam, R. A.</t>
  </si>
  <si>
    <t>Supporting architectural design decision through risk identification architecture pattern (RIAP) model</t>
  </si>
  <si>
    <t>WSEAS transactions on information science and applications</t>
  </si>
  <si>
    <t>Quality model</t>
  </si>
  <si>
    <t>As a significant extent of the whole paper is dedicated to explaining how the BN structure was constructed, we refer to Sections 2 and, mainly, 3.  The paper presents formal mechanisms for the logical structuring of the software testing problem.</t>
  </si>
  <si>
    <t>Beta distributions, noisy-OR gate, expert elicitation</t>
  </si>
  <si>
    <t>See Sections 3.4 and 3.5</t>
  </si>
  <si>
    <t>P125</t>
  </si>
  <si>
    <t>Project management using Risk Identification Architecture Pattern (RIAP) model: A case study on a web-based application</t>
  </si>
  <si>
    <t>["The  process  of developing a  BGM  corresponding to   a   software  system   that   needs  to   be   tested   is roughly  as  follows.  1.  A  list  of  software  actions (transactions) is  prepared, describing the actions the software  should  perform.  2.  These  software  actions are   sequenced,  if   required,  for   example  if   some actions  are  necessarily  preceded  by  other  actions.3.  Related  software  actions  are  connected  to  take into   account   that   different   software   actions   may not  be  fully  independent.  4.  The  input  spaces  are partitioned.  5.  The  software  actions  are  converted into  BGMs.  At  this  point,  one  or  more  BGMs  are developed to describe the software actions, depending on  the  specified  relations  between  software  actions. 6. Conditional probabilities on the arcs of the BGMs are  elicited.  7.  Probabilities  of  nodes  without  arcs feeding  into  them  are  elicited.  8.  Prior  probabilities for observable nodes are assessed. 9. Observables are mapped to  current  tests. "] ["3.4.    An illustrative example Suppose  that  a  part  of  a  software  system  must perform   an   action   on   numbers   (e.g.   to   check whether specific telephone numbers are able to access special  network  features),  and  the  testers  judge  that differences  for  this  action  are  caused  by  different number  lengths  and  by  different  starting  digits.  In particular, numbers are grouped into four categories, according to their length (long or short) and starting digit  (non-zero  or  zero).  However,  some  possible failures  for  short  and  long  numbers  may  have  a common cause,and the same is true for the failures related to the first digit. An  appropriate  BGM  for  this  situation  is  given in  Figure1.  The  nodes  are  the  random  variables indicating  whether  or  not  a  failure  will  occur  when performing  the  corresponding  software  action.  For example,  the  top  right  node  represents  the  outcome (success  or   failure)   of   a  test   of   a  long   number starting  with  non-zero.  If  a  test  of  such  a  number were to fail, the reasons might be common problems in  the  software  dealing  with  long  numbers,  or  just problems  with  this  particular  combination.  If,  for example, there is a problem with software dealing with long  numbers,  that  might  be  caused  by  a  common problem  on  handling  length,  or  it  might  be  dueto   problems  for  the   software  dealing  specifically with   long  numbers.  This  structure  represents  the tester’s  judgements.  If  the  tester  had,  for  example, thought that for the partitioning of the numbers more categories  were  required  for  the  starting  digit,  or that  there  might  be  a  third  cause,  this  should  have been  included  in  the  BGM,  which  would  be  easy to  do.  Note  that  the  entire  BGM  is  carefully  setup  to  model  an  exchangeability  structure  reflecting the  tester’s  judgements.  For  example,  tests  for  all long numbers starting with zero are considered to be equally informative."]</t>
  </si>
  <si>
    <t>P126</t>
  </si>
  <si>
    <t>Model-based task allocation in distributed software development</t>
  </si>
  <si>
    <t>International Conference on Software Engineering Approaches for Offshore and Outsourced Development</t>
  </si>
  <si>
    <t>["We identify design metrics that have some bearing on the different categories of faults. Chances of occurrence of structural faults is high if the program size is too large or it is too complex to implement [FN99]. In the literature,various design metrics have been reported to estimate the size and complexity of software. In the recent past, a large number of studies have been carried out for empirical validation of software design metrics suites to predict fault proneness. A similar study has been performed by Olague et al. [OEGQ07]. In this study they performed a bivariate correlation analysis between defects and three design metrics suites, CK, MOOD, QMOOD. They have also performed a logistic regression of design metrics versus faults to determine the metrics that are significant indicators of faults. Based on their results, we chose the size and complexity metrics. According to [OEGQ07], number of methods, weighted methods per class, response for a class, class interface size, data access metric correlate strongly with faults. These design metrics are defined in the following."] ["Deeper inheritance structure and greater polymorphism among classes increases the chances of occurrence of inheritance and polymorphic faults [OAW+01,Bin96]. According to [OEGQ07],we identify the following inheritance metrics that are significant indicators of faults:"] ["Construction of a DAG: Here, we assume the number of code faults introduced in a class is influenced by certain design characteristics of the class, such as structural complexity, size, inheritance and complexity of the state model of the class. We make this assumption based on few research findings [OEGQ07,HNP07] which show significant correlation between defects and design metrics. For DAG construction, we draw a node for each corresponding design metric. We also draw a node labelled Number of faults. To represent dependency relation among design metrics and number faults in class, we draw directed edges from design metrics to Number of faults as shown in Figure 4. The code faults that remain undetected after testing are the residual code faults. The number of residual faults in a code can be determined by subtracting the number of faults found and fixed in testing from total number faults introduced during development of code. Therefore, we assume the number of residual faults depends on testing quality and the number faults that creep into the class during development of code. To represent this relation, we add two nodes labelled Testing quality, Number of residual faults in our DAG. We also draw directed edges from the nodes named Number of faults,Testing quality towards Number of Residual faults in our DAG."]</t>
  </si>
  <si>
    <t>Correlation analysis (Spearman's rank correlation)</t>
  </si>
  <si>
    <r>
      <rPr>
        <rFont val="Arial"/>
        <color rgb="FF000000"/>
        <sz val="10.0"/>
      </rPr>
      <t xml:space="preserve">["In this study, we extend our proposed fault model reported in Mohanta et al. (2010). Figure 3 shows that at a very high level, </t>
    </r>
    <r>
      <rPr>
        <rFont val="Arial"/>
        <b/>
        <color rgb="FF000000"/>
        <sz val="10.0"/>
      </rPr>
      <t>faults that can occur in a class can be classified into requirements faults, design faults, programming faults and traceability related faults</t>
    </r>
    <r>
      <rPr>
        <rFont val="Arial"/>
        <color rgb="FF000000"/>
        <sz val="10.0"/>
      </rPr>
      <t xml:space="preserve">. As it goes beyond the scope of this paper to describe each type of faults in detail, we limit ourselves to exemplify a few of these faults."] ["3.1.2 Identification of design metrics correlated to specific faults In the recent past, a large number of studies (Fenton and Neil 1999; Malhotra et al. 2010; Olague et al. 2007) have been carried out to explore the relationship among software design metrics and software code faults only. However, in the literature, work exploring the relationship among software product metrics and different categories of faults has scarcely been reported. </t>
    </r>
    <r>
      <rPr>
        <rFont val="Arial"/>
        <b/>
        <color rgb="FF000000"/>
        <sz val="10.0"/>
      </rPr>
      <t xml:space="preserve">In order to explore the relationship among various design metrics and different categories of faults, bivariate correlation analysis is performed. The CK (Chidamber and Kemerer 1994) metrics, MOOD (Abreu et al. 2002), QMOOD (Bansiya and Davis 2002) and the metrics suite proposed by Genero et al. (2002) are considered for the correlation study. </t>
    </r>
    <r>
      <rPr>
        <rFont val="Arial"/>
        <color rgb="FF000000"/>
        <sz val="10.0"/>
      </rPr>
      <t xml:space="preserve">Among the various metrics in CK, MOOD, QMOOD metrics suites, only those metrics which can be computed in the scope of a single class have been selected for the current study. The measure of functional abstraction (MFA), NOM of QMOOD metrics suites have been excluded from our study. This is because MFA metric is functionally equivalent to MIF of MOOD metrics suite and NOM is same as WMC of CK metrics suite when weights of the methods in the class equal to unity. </t>
    </r>
    <r>
      <rPr>
        <rFont val="Arial"/>
        <b/>
        <color rgb="FF000000"/>
        <sz val="10.0"/>
      </rPr>
      <t>A brief description of the product metrics that have been selected for this study is shown in Table 1 of Sect. 2.3</t>
    </r>
    <r>
      <rPr>
        <rFont val="Arial"/>
        <color rgb="FF000000"/>
        <sz val="10.0"/>
      </rPr>
      <t xml:space="preserve">. We performed non-parametric Spearman’s rank correlation, with a level of significance a = 0.05 (two-tailed); which means the level of confidence is 95%. The current correlation study was limited to explore the relationship among various object-oriented metrics and design, programming and traceability related faults. Correlation analysis among object-oriented metrics and requirements faults, algorithmic faults is kept as scope of our future work. The results of our correlation study is shown in Table 2. Several guidelines for the interpretation of a correlation coefficient has been reported in the literature. However, all such interpretations of a correlation coefficient depends on the context and the purposes. The criteria that has been used in the current study to interpret the correlation coefficient is shown in Table 3. We only considered those product metrics that show either medium or strong correlation with specific category of faults."] ["3.1.3 Construction of BBN model and class reliability prediction In this section, </t>
    </r>
    <r>
      <rPr>
        <rFont val="Arial"/>
        <b/>
        <color rgb="FF000000"/>
        <sz val="10.0"/>
      </rPr>
      <t>we explain the construction of a BBN model and computation of the class reliability from the object-oriented product metrics that have been identified in the Sect. 3.1.2</t>
    </r>
    <r>
      <rPr>
        <rFont val="Arial"/>
        <color rgb="FF000000"/>
        <sz val="10.0"/>
      </rPr>
      <t>. A BBN model is constructed through three steps: construction of DAG, assignment of probability distributions, and inference. In the following we discuss these steps in details. (1) Construction of a DAG: A node is drawn for each category of faults and corresponding design metrics which correlate with each fault category. To represent the dependency relations among different metrics and number of different categories of faults in a class, we draw directed edges from the nodes representing software metrics to the nodes representing various categories of faults. The total number of faults in a class can be determined by aggregating the different categories of faults that creep into the class during development process. To represent this relation, a node labelled Total number of faults is added and directed edges are drawn from the nodes representing different categories of faults to the node labelled Total number of faults. Most of the reliability estimation approaches (Bai et al. 2005; Cai et al. 2008; Huang 2005) follow the idea that the probability of failures of a software, that may eventually occur in the future time, can be estimated based on the number of faults present in a software application and the number of tests that will be performed over the software application. The same idea is adopted in our class reliability prediction. The reliability of a class is estimated based on the expected number of faults present in the class and the number of tests that the class will undergo. This relationship is modeled by drawing two nodes named Reliability of class and Number of tests and two edges from nodes Total number of faults, Number of tests to Reliability of class. The constructed DAG is shown in Fig. 4. After the DAG construction, the conditional probabilities are assigned to the individual nodes of this DAG in the subsequent step."]</t>
    </r>
  </si>
  <si>
    <t>Generalized Linear Model (multiple linear regression); Maximum Likelihood Estimation (MLE) (to estimate the coefficients); direct function (e.g. sum, formula) (for aggregated deterministic nodes); derived from historical data, test plans and budget, or direct measurement (for root nodes)</t>
  </si>
  <si>
    <r>
      <rPr>
        <rFont val="Arial"/>
        <color rgb="FF000000"/>
        <sz val="10.0"/>
      </rPr>
      <t xml:space="preserve">["In many situations, a parametric form or functional form is used to specify the CPD for a child node. Some of these functions can be deterministic and some other can be probabilistic. We use </t>
    </r>
    <r>
      <rPr>
        <rFont val="Arial"/>
        <b/>
        <color rgb="FF000000"/>
        <sz val="10.0"/>
      </rPr>
      <t>generalized linear model (GLM)</t>
    </r>
    <r>
      <rPr>
        <rFont val="Arial"/>
        <color rgb="FF000000"/>
        <sz val="10.0"/>
      </rPr>
      <t xml:space="preserve"> to relate the parent nodes indicating product metrics and child nodes representing the specific category of faults. (...) Therefore, we can perform regression analysis to compute the set of weights b when sufficient data is available. When sufficient data is not available for performing regression, the weights are </t>
    </r>
    <r>
      <rPr>
        <rFont val="Arial"/>
        <b/>
        <color rgb="FF000000"/>
        <sz val="10.0"/>
      </rPr>
      <t>elicited subjectively</t>
    </r>
    <r>
      <rPr>
        <rFont val="Arial"/>
        <color rgb="FF000000"/>
        <sz val="10.0"/>
      </rPr>
      <t xml:space="preserve">. The above idea can be used to determine the CPD for a specific category of faults. The CPD for a specific category of faults can be determined by performing a multiple linear regression analysis over different categories faults and corresponding design metrics that correlate strongly with the fault category. For example, CPD of number of inheritance faults can be expressed by a linear regression equation, in which number of inheritance faults is the dependent variable and various inheritance metrics, such as NOC, DIT, MIF are the independent variables. To estimate the coefficients (b) and r, we perform a </t>
    </r>
    <r>
      <rPr>
        <rFont val="Arial"/>
        <b/>
        <color rgb="FF000000"/>
        <sz val="10.0"/>
      </rPr>
      <t>maximum likelihood estimation</t>
    </r>
    <r>
      <rPr>
        <rFont val="Arial"/>
        <color rgb="FF000000"/>
        <sz val="10.0"/>
      </rPr>
      <t xml:space="preserve">. The CPD for child node labelled Total number of faults can be specified by a </t>
    </r>
    <r>
      <rPr>
        <rFont val="Arial"/>
        <b/>
        <color rgb="FF000000"/>
        <sz val="10.0"/>
      </rPr>
      <t>deterministic function which can be determined by aggregating</t>
    </r>
    <r>
      <rPr>
        <rFont val="Arial"/>
        <color rgb="FF000000"/>
        <sz val="10.0"/>
      </rPr>
      <t xml:space="preserve"> Number of logical faults, Number of computational faults, Number of control and sequence faults, Number of initialization faults, Number of traceability faults, Number of inheritance and polymorphic faults and Number state model based faults. To relate expected total number of faults present in a class and reliability of the class, we adopt the </t>
    </r>
    <r>
      <rPr>
        <rFont val="Arial"/>
        <b/>
        <color rgb="FF000000"/>
        <sz val="10.0"/>
      </rPr>
      <t>methodology that was proposed by Bishop (2002)</t>
    </r>
    <r>
      <rPr>
        <rFont val="Arial"/>
        <color rgb="FF000000"/>
        <sz val="10.0"/>
      </rPr>
      <t xml:space="preserve">. (...) CPD for the node labelled Reliability of class is deterministic and is given directly from Eq. 13. Number of tests indicates the number of times the functionalities of a class is going to be tested. Therefore, the probability distribution of node labelled Number of tests can be </t>
    </r>
    <r>
      <rPr>
        <rFont val="Arial"/>
        <b/>
        <color rgb="FF000000"/>
        <sz val="10.0"/>
      </rPr>
      <t>specified from the test plan and budget or from previous historical testing data</t>
    </r>
    <r>
      <rPr>
        <rFont val="Arial"/>
        <color rgb="FF000000"/>
        <sz val="10.0"/>
      </rPr>
      <t xml:space="preserve"> of similar projects.</t>
    </r>
  </si>
  <si>
    <t>Comparison with existing models, statistical measures (root mean square prediction error (RMSPE), mean absolute error (MAE))</t>
  </si>
  <si>
    <t>P128</t>
  </si>
  <si>
    <t>Lamersdorf, A., Münch, J., &amp; Rombach, D.</t>
  </si>
  <si>
    <t>A decision model for supporting task allocation processes in global software development</t>
  </si>
  <si>
    <t>International Conference on Product-Focused Software Process Improvement</t>
  </si>
  <si>
    <r>
      <rPr>
        <rFont val="Arial"/>
        <color rgb="FF000000"/>
        <sz val="10.0"/>
      </rPr>
      <t xml:space="preserve">["4 An illustrative example In this section, we illustrate the usage of our ESRA approach through a case study of a hotel automation system (HAS). "] ["In this section, we present a set of experiments that were performed to empirically evaluate our ESRA approach. In the following, we first briefly discuss about the experimental setup and data used in our case study."] ["5 Experimental studies In this section, we present a set of experiments that were performed to empirically evaluate our ESRA approach. In the following, we first briefly discuss about the experimental setup and data used in our case study. Subsequently, we discuss the software tools that have been used to perform the experimental studies. Next, we present the set of experiments that have been performed for empirical evaluation of our ESRA approach. Finally, we analyze the results of our experimental studies. (...) </t>
    </r>
    <r>
      <rPr>
        <rFont val="Arial"/>
        <b/>
        <color rgb="FF000000"/>
        <sz val="10.0"/>
      </rPr>
      <t>The third task was carried out to evaluate the performance of our ESRA approach with respect to an established approach for reliability prediction. For this task, we have chosen the approach proposed by Rome Air Forces Development Centre (RADC) (McCall et al. 1992) for performance comparison</t>
    </r>
    <r>
      <rPr>
        <rFont val="Arial"/>
        <color rgb="FF000000"/>
        <sz val="10.0"/>
      </rPr>
      <t xml:space="preserve">. We have chosen this approach (McCall et al. 1992) since this work is frequently referred in the literature and more related to our approach. Moreover, the assumptions made by RADC approach are more the realistic compared to other reliability predict approaches (Cheung et al. 2008; Gokhale and Trivedi 2002; Yacoub et al. 1999). A few criteria have been used to compare the performance of the proposed ESRA approach and RADC approach. The first one was </t>
    </r>
    <r>
      <rPr>
        <rFont val="Arial"/>
        <b/>
        <color rgb="FF000000"/>
        <sz val="10.0"/>
      </rPr>
      <t>root mean square prediction error (RMSPE)</t>
    </r>
    <r>
      <rPr>
        <rFont val="Arial"/>
        <color rgb="FF000000"/>
        <sz val="10.0"/>
      </rPr>
      <t xml:space="preserve"> which is the measure of how close the predicted values are to observed values. RMSPE is defined in the following equation. RMPSE ¼ ffiffiffiffiffiffiffiffiffiffiffiffiffiffiffiffiffiffiffiffiffiffiffiffiffiffiffiffiffiffiffiffiffiffiffi variance2 þ bias2 p ð19Þ where Bias and Variance are computed using the following equations. Variance ¼ ffiffiffiffiffiffiffiffiffiffiffiffiffiffiffiffiffiffiffiffiffiffiffiffiffiffiffiffiffiffiffiffiffiffiffiffiffiffiffiffiffiffiffiffiffiffiffiffiffiffiffiffiffi 1 n 1 Xn i¼1 ðmi m^i biasÞ 2 s ð20Þ where n is the number of experiments, m^i is the predicted value and mi is the observed value. Bias is computed as follows: Bias ¼ Pn i¼1ðm^i miÞ n ð21Þ </t>
    </r>
    <r>
      <rPr>
        <rFont val="Arial"/>
        <b/>
        <color rgb="FF000000"/>
        <sz val="10.0"/>
      </rPr>
      <t>Mean absolute error (MAE)</t>
    </r>
    <r>
      <rPr>
        <rFont val="Arial"/>
        <color rgb="FF000000"/>
        <sz val="10.0"/>
      </rPr>
      <t xml:space="preserve"> was considered as the second criteria for performance comparison. MAE is the measure of average deviation percentage in prediction. The MAE value closer to zero is considered as the better prediction capability by the model. MAE is defined as follows: MAE ¼ 1 n Xn i¼1 jm^i mij ð22Þ where n is the number of experiments, m^i is the predicted value and mi is the observed value."]</t>
    </r>
  </si>
  <si>
    <t>["In software development effort estimation, a large set of factors has been identified [13,18] which affects the final effort and the productivity of the organization. This set of factors reaches up-to 20 in some studies [18]. However incase of BN development we need to keep one critical issue i.e. size of model. The size of Bayesian network model increases the computational requirements [19], and keeping in mind the un-rolling (repeatedness of a model in dynamic Bayesian Net) of the model in case of Dynamic Bayesian Nets, we need to select a minimal set of factors which represent the problem. Thus is this paper we try to develop a very small and simple model. "] ["2. PROPOSED MODEL  This model looks the effort estimation as a simple classification problem. With continuous variable a Bayesian Net can be used to build the classification graph. This is relatively a simple method; however we tend to exploit some features of Bayesian network and its fusion with fuzzy functions. Effort mostly depends on size of software. Thus we also develop a small BBN (named and referred as M1 in this paper), in which effort is dependent on size. 2.1 Size Node: Size is basic driver of effort. The effort required for developing software is directly proportional to the size.  As size is itself estimated, so there exists a certain degree of error in estimation accuracy. There exist more than one units and metrics of size in software development; e.g. lines of code, function point and use case point. The most commonly used is function point; however other units can also be converted into function points, with applying some adjustment factors. To populate the NPT, of size node, data from ISBSG [20] repository is used. In the Data set sizing factor has attributes of count approach, function points, adjusted functional point. In this research Adjusted Function Point is used to populate the NPT. In the model M1, the size is classified in 07 groups with help of classification tree using SPSS.  2.2 Effort Node: The estimation of required effort to develop software is essential for planning resources and right deployment of resources in cost effective manner. The effort is usually calculated as required staff hours to develop software. The unit can be adjusted in manmonths or some weekly unit, however main theme behind this is to estimate total time required for a single human resource to develop software. Although there exists a wide range of factors, which determines required effort, but the major factor is size. In the data set, the effort is also provided with respect to different phases of project e.g. planning, design, and implementation; however this division is not provided for majority of projects. "]</t>
  </si>
  <si>
    <t>P129</t>
  </si>
  <si>
    <t>Lamersdorf, A., &amp; Munch, J.</t>
  </si>
  <si>
    <t>TAMRI: a tool for supporting task distribution in global software development projects</t>
  </si>
  <si>
    <t>2009 Fourth IEEE International Conference on Global Software Engineering</t>
  </si>
  <si>
    <t>Extension of existing models</t>
  </si>
  <si>
    <t>["Fenton et al. [5] have modeled the Bayesian networks, which encode the knowledge and relationship among variables in software development projects, for resource estimation. The networks can be used to predict resource needed for a required quality level and, in reverse, can also be used to estimate quality delivered with specified resources. Although the proposed Bayesian networks are useful for resource estimation, the analysis involved is based on trials of various scenarios. Therefore, we extend those Bayesian networks into decision networks in order to allow project managers to decide among various activities that may improve the quality of the process or the software itself. The decision networks can find an optimal solution or the best decision under specified cost criteria for a particular project. To do so, the decision nodes and the utility nodes are added to the subnets of those Bayesian networks in order to find the optimal decision, or a set of software activities, that achieve the highest utility. "] ["Examples of the decision networks are given in the following subsections, which describe two subnets extended from [5] in more detail. "] ["This decision network can be applied when the project manager wants to consider overall characteristics of software development processes. The Bayesian networks as proposed by Fenton, et al. [5] categorize the characteristics of software development project into 6 subnets. All subnets are integrated together to derive the system quality that will be delivered to a customer. Each variable in all subnets can be chosen to be the decision node if it is under control of the project manager. We assume that all of these nodes are viewed as the software activities in this decision network. It is not necessary to transform all nodes in the model into the decision nodes and to consider every subnet. The project manager can choose to make a decision on nodes that are within the scope of the project. For example, for a project developed at a single site, the project manager does not need to make decision about distributed communications and management. After choosing the decision nodes, the project manager must assign costs for each action of software activities to further calculate a utility value. The project manager must also identify the revenue of the project for various states (abysmal, very poor, poor, average, good, very good, and perfect) of the system quality. The configuration of decision networks of an overall subnet is shown in figure 6. "]</t>
  </si>
  <si>
    <t>["4. Using the decision networks for decision support The objective of using the decision networks for software project management is to find an optimal decision in planning suitable software activities. This section illustrates some examples of using the decision networks in the people quality subnet and the process quality subnet to manage each subnet quality. We assume four different sets of parameter inputs in each subnet as shown in table 1. Each input set contains the revenue and the activity costs for the utility function in (3), (4) and (5)."]</t>
  </si>
  <si>
    <t>["We propose to use Object Oriented Bayesian Belief Networks in the certifying process, since three main uncertainties associated with the COTS software system [1] have been pointed out. They are the uncertainty on choosing component, the uncertainty on the quality of the component, and the uncertainty on the impact of component. These uncertainties are interrelated, and people meet these uncertainties sequentially during the process of choosing COTS products to releasing the COTS system into the field. Questions like “Is the component the one you need?”, “Is the quality of the software component high enough?”, and “What impact will the component have on your system?” are not easy to answer since so many reasons are involved in these uncertainties. OOBBN provides the structure by which we can model each uncertainty with a separate BBN; each sub-BBN is linked to the top-level BBN by the sub-BBN target nodes. The top level BBN is in Figure 1. "] ["Usability, Quality and Impact are the main contributors to the COTS-based system's reliability. These nodes then serve as target nodes in sub-BBNs. Each sub-BBN models the main contributors to the noted component. We explore the variables of the sub-BBNs in the next section. The following work is based on References [1] [2] [3] [5] [6] [7]."]</t>
  </si>
  <si>
    <t>["4. AN EXAMPLE The following example is offered as an explanation of how a BBN can be populated, how the discovery of evidence leads to the updating of probabilities, and how the information can be used. "]</t>
  </si>
  <si>
    <t>P131</t>
  </si>
  <si>
    <t>An empirical study on bayesian network-based approach for test case prioritization</t>
  </si>
  <si>
    <t>International Conference on Software Testing, Verification, and Validation</t>
  </si>
  <si>
    <t>["In this work, we try to explore this way of research and thus show the advantages of probabilistic approach using Bayesian nets compared to the approach adopted in our former work [1], [2], and [3]. In the following section, we present our approach (proposition) by explaining its different stages. 3. Proposition The main stages of our approach are the following: 1- Graph structure construction (BN) starting from practical knowledge (empirical studies) 2- Parameters affectation (node probability table, fuzzy logic) 3- Bayesian inference (algorithms, tools) 4- Results"] ["3.2. Graph construction (BN) Generally, the BN construction is done in two stages: produce the suitable graph because this model is sensitive to the type of applied reasoning, then affect probability values to network nodes [15]. The affectation of these values is done according to domain experts or starting from empirical studies. At this level, it is important to check that the parents’ nodes which affect the same child node are independent variables. Moreover, in order to respect the BNs construction formalism, during the introduction of bonds between nodes, it is necessary to check the absence of cycles between network nodes. As already stated in section 2, we checked in [1], [2], and [3], the hypothesis claiming that coupling influences change impact in an object-oriented systems. However, if we consider at the same time all metrics measuring the various facets of coupling between classes, the BN construction is likely to be hard and its structure complex. In addition, the results affirm that among the ten selected metric, measuring this architectural property, five metrics (table 1) are effectively relevant to change impact. Some of these metrics are regarded as design metrics (AMMIC and OMMIC), others are considered as implementation ones (MPC, CBOU, and CBONA). Figure 1 presents the graph expressing this knowledge in the form of a BN. Let us note that in a BN, the relation between parents and child nodes are causal (case of Impact node) or definitional (case of DesignMetrics node)."] ["The results of our empirical studies ([1], [2] and [3]) were useful for the graph structure construction (Bayesian Network)."]</t>
  </si>
  <si>
    <t>S89</t>
  </si>
  <si>
    <t>P132</t>
  </si>
  <si>
    <t>Franco-Bedoya, O., Cabrera, O., &amp; Hurtado-Gil, S.</t>
  </si>
  <si>
    <t>QuESo-process: evaluating OSS software ecosystems quality</t>
  </si>
  <si>
    <t>10th Euro-American Conference on Telematics and Information Systems</t>
  </si>
  <si>
    <t>Automatic discretization (fuzzy logic)</t>
  </si>
  <si>
    <t>S90</t>
  </si>
  <si>
    <t>P133</t>
  </si>
  <si>
    <t>Burgess, C. J., Dattani, I., Hughes, G., May, J. H., &amp; Rees, K.</t>
  </si>
  <si>
    <t>Using influence diagrams to aid the management of software change</t>
  </si>
  <si>
    <r>
      <rPr>
        <rFont val="Arial"/>
        <color theme="1"/>
        <sz val="10.0"/>
      </rPr>
      <t>["In this work, we try to explore this way of research and thus show the advantages of probabilistic approach using Bayesian nets compared to the approach adopted in our former work [1], [2], and [3].  In the following section, we present our approach (proposition) by explaining its different stages. 3 Proposition The main stages of our approach are the following:   The first two stages are explained in the present section while the two last stages are presented in section 4. In order to facilitate the comprehension of used concepts in our approach, a recall on the basic concepts of Bayesian networks is essential. 3.1 Recall on Bayesian networks  BNs are based on the Bayes theorem. This theorem describes the relations which exist between simple and conditional probabilities. If A and B are two events and if we know the probability of A, of B and B knowing A, the Bayes theorem allows to determine the probability of A knowing B:  )( )()/( )/( BP APABP BAP = BNs are the result of a merging between graph theory and probability theory [20]. A BN is a causal graph where: - Nodes represent random variables. A random variable has some states, for      example “Yes” and “No”, and a distribution probability for these states, where the sum of probabilities of all states must be equal to 1. Thus, a BN model is in     conformity with the standard axioms of probability theory. 1- Graph structure construction (BN) starting from practical         knowledge (empirical studies) 2- Parameters affectation (node probability table, fuzzy logic). 3- Bayesian inference (algorithms, tools) 4- Results "] ["3.2 Graph construction (BN)  Generally, the BN construction is done in two stages: produce the suitable graph because this model is sensitive to the type of applied reasoning, then affect     probability values to network nodes [20]. The affectation of these values is done according to domain experts or starting from empirical studies. At this level, it is important to check that the parents nodes which affect the same child node are   independent variables. Moreover, in order to respect the BNs construction         formalism, during the introduction of bonds between nodes, it is necessary to check the absence of cycles between network nodes. As already stated (in section 2), we checked in [1], [2], and [3], the hypothesis claiming that coupling influences change impact in an object-oriented systems. However, if we consider at the same time all metrics measuring the various facets of coupling between classes, the BN construction is likely to be hard and its   structure complex. In addition, the results affirm that among the ten selected    metric (see table 1), measuring this architectural property, five metrics are effectively relevant to change impact. Some of these metrics are regarded as      design metrics (AMMIC and OMMIC), others are considered as implementation metrics (MPC, CBOU, and CBONA). The figure 1 above presents the graph       expressing this knowledge in the form of a BN. Let us note that in a BN, the       relation between parents and child nodes are causal (case of Impact node) or   definitional (case of DesignMetrics node). "] ["The results of our empirical studies ([1], [2] and [3]) were useful for the graph structure construction (Bayesian Network). "] ["Entry nodes.  In our network (figure 1), the entry nodes represent the different metrics. All these entry variables are quantitative variables which have measurable numerical values. The number of possible values for these variables can be         infinite. That depends of course on the considered test system. In order to facilitate the probabilities definition,</t>
    </r>
    <r>
      <rPr>
        <rFont val="Arial"/>
        <b/>
        <color theme="1"/>
        <sz val="10.0"/>
      </rPr>
      <t xml:space="preserve"> these variables are initially transformed into discrete variables having a limited number of values. This transformation can be             accomplished by application of fuzzy logic.</t>
    </r>
    <r>
      <rPr>
        <rFont val="Arial"/>
        <color theme="1"/>
        <sz val="10.0"/>
      </rPr>
      <t xml:space="preserve"> Indeed, the fuzzy partitioning process replaces the various values of a metric by a set of functions which represent the membership degree (or adhesion) of each value to the various fuzzy labels (often “small”, “average” and “large”). The fuzzy partitioning generalizes the regrouping methods by groups allowing a value to be partially classified in one or more groups at the same time. The adhesion or the value membership is distributed in all groups. However, </t>
    </r>
    <r>
      <rPr>
        <rFont val="Arial"/>
        <b/>
        <color theme="1"/>
        <sz val="10.0"/>
      </rPr>
      <t xml:space="preserve">empirically, we can determine the optimal number of groups with statistics known under the name of Dunn partition coefficient </t>
    </r>
    <r>
      <rPr>
        <rFont val="Arial"/>
        <color theme="1"/>
        <sz val="10.0"/>
      </rPr>
      <t>Fk."]</t>
    </r>
  </si>
  <si>
    <t>Fuzzy logic (entry nodes), literature review, expert elicitation (intermediate nodes)</t>
  </si>
  <si>
    <t>["Entry nodes.  In our network (figure 1), the entry nodes represent the different metrics. All these entry variables are quantitative variables which have measurable numerical values...In order to facilitate the probabilities definition, these variables are initially transformed into discrete variables having a limited number of values. This transformation can be             accomplished by application of fuzzy logic. Indeed, the fuzzy partitioning process replaces the various values of a metric by a set of functions which represent the membership degree (or adhesion) of each value to the various fuzzy labels (often “small”, “average” and “large”). The fuzzy partitioning generalizes the regrouping methods by groups allowing a value to be partially classified in one or more groups at the same time. The adhesion or the value membership is distributed in all groups. However, empirically, we can determine the optimal number of groups with statistics known under the name of Dunn partition coefficient Fk."] ["Intermediate nodes.  The intermediate nodes are not directly measurable. They are defined or influenced by their parent nodes. For each intermediate node Cc which has possible values {Vc1, … Vck, … Vcn} and has parents {Cp1,… Cpi, … Cpm} with possible values {Vci1, … Vcij, … Vcil}, we need to define a table which gives the probabilities for all possible combinations of values: P (Vck | Vp1j,..., Vpmj) These probability values can be adjusted by using machine learning starting from the sample data or the treated cases. A parent can influence positively or negatively his child nodes. The probability distributions are affected according to the importance or the weight of each parent for the child node. At the beginning, to derive NPT it is necessary to consider the weight of each parent node in       definition or influence of its child node. For that, NPTs are initially given starting from studies in the field and experts opinions. For instance, the DesignMetrics variable is defined by its two parents AMMIC and OMMIC. It is a question of finding the conditional probability of DesignMetrics node: p (DesignMetrics| AMMIC, OMMIC). However, like the relation between the parent nodes AMMIC and OMMIC and their child node DesignMetrics is definitional, the strong      presence of these metrics also defines the strong presence of DesignMetrics. A possible scenario for the DesignMetrics node NPT is presented in table 4: "]</t>
  </si>
  <si>
    <t>S91</t>
  </si>
  <si>
    <t>P134</t>
  </si>
  <si>
    <t>Dalmazo, B. L., Cordeiro, W. L., Rabelo, L., Wickboldt, J. A., Lunardi, R. C., dos Santos, R. L., ... &amp; Hickey, M.</t>
  </si>
  <si>
    <t xml:space="preserve">["4 Bayesian Network execution Once the graph structure and all NPTs are defined, we can proceed with the Bayesian inference. It results an update of conditional probabilities of all nodes. We have used the BNJ (Bayesian Network tools in Java) environment to achieve this goal. BNJ is a set of open source software tools intended for research and    development by using graphic probabilities models. It is written in Java and is available on the web1 .  Let us recall that our experimentation was made on the BOAP test system  (version 1.1.0) which contains 394 classes, or 394 instances. For the network   execution, we will randomly choose an instance from which we take the metric values corresponding to entry nodes. As soon as the probabilities distributions are updated for introduced values, we will have an estimate in the form of probability for the various states assignated to the Impact node (figure 2). Having affected three states «Weak», «Average», and «Strong» to the Impact node, and with the used input data (see figure above), we can conclude that the change impact has 43% of probability of being “Strong”. The possibility of    processing scenarios of the form « what will occur if… ?», that Bayesian networks offer, allows to identify potential problems and actions to be undertaken for       improvement. The scenario 2 execution shows that by decreasing the metrics values CBONA and CBOU, change impact weakens more (its probability of being “Weak” grows from 29,5% to 34,8%). Conversely, the scenario 3 execution shows that by         increasing the CBONA and CBOU metrics values; the change impact becomes   increasingly strong. The probability of the «Strong» state moves from 37,8% to 47,4%. Figure 3 illustrates this result. Finally, the last scenario execution shows that by maintaining the values of CBONA and CBOU metrics and by increasing the AMMIC one, change impact  becomes little stronger. The probability of the «Strong» state grows from 37,8% to 41,5%. Discussion Results obtained in the second and third scenarios confirm those already found in our former work [1], [2], and [3], by using a non probabilistic approach (see   respectively rule 1 and rule 2 of figure 4). </t>
  </si>
  <si>
    <t>Leveraging IT project lifecycle data to predict support costs</t>
  </si>
  <si>
    <t>12th IFIP/IEEE International Symposium on Integrated Network Management (IM 2011) and Workshops</t>
  </si>
  <si>
    <t>Software analysis (static analysis of software elements' dependencies)</t>
  </si>
  <si>
    <t>Software analysis (static analysis)</t>
  </si>
  <si>
    <r>
      <rPr>
        <rFont val="Arial"/>
        <color rgb="FF000000"/>
        <sz val="10.0"/>
      </rPr>
      <t xml:space="preserve">["The proposed approach is composed of two major steps: Extracting Information and Predicting Changes. In the first step, </t>
    </r>
    <r>
      <rPr>
        <rFont val="Arial"/>
        <b/>
        <color rgb="FF000000"/>
        <sz val="10.0"/>
      </rPr>
      <t>we extract the system elements’ dependencies</t>
    </r>
    <r>
      <rPr>
        <rFont val="Arial"/>
        <color rgb="FF000000"/>
        <sz val="10.0"/>
      </rPr>
      <t xml:space="preserve"> and change history. In the second step, the Bayesian Belief Networks are built using the extracted information and then predictions are produced using probabilistic inference. In this step, three alternative BBN models are built which differ in the sources of information used: </t>
    </r>
    <r>
      <rPr>
        <rFont val="Arial"/>
        <b/>
        <color rgb="FF000000"/>
        <sz val="10.0"/>
      </rPr>
      <t>Bayesian Dependency Model (BDM</t>
    </r>
    <r>
      <rPr>
        <rFont val="Arial"/>
        <color rgb="FF000000"/>
        <sz val="10.0"/>
      </rPr>
      <t xml:space="preserve">), Bayesian History Model (BHM), and </t>
    </r>
    <r>
      <rPr>
        <rFont val="Arial"/>
        <b/>
        <color rgb="FF000000"/>
        <sz val="10.0"/>
      </rPr>
      <t>Bayesian Dependency and History Model (BDHM)</t>
    </r>
    <r>
      <rPr>
        <rFont val="Arial"/>
        <color rgb="FF000000"/>
        <sz val="10.0"/>
      </rPr>
      <t xml:space="preserve">."] ["3.1 Extracting Information The first step in analyzing a software system is to extract the interesting information out of available repositories. We use two different types of information: dependencies and change history. 3.1.1 </t>
    </r>
    <r>
      <rPr>
        <rFont val="Arial"/>
        <b/>
        <color rgb="FF000000"/>
        <sz val="10.0"/>
      </rPr>
      <t>Extracting Dependencies</t>
    </r>
    <r>
      <rPr>
        <rFont val="Arial"/>
        <color rgb="FF000000"/>
        <sz val="10.0"/>
      </rPr>
      <t xml:space="preserve"> In this step, </t>
    </r>
    <r>
      <rPr>
        <rFont val="Arial"/>
        <b/>
        <color rgb="FF000000"/>
        <sz val="10.0"/>
      </rPr>
      <t>we extract the information about the dependencies between the software elements</t>
    </r>
    <r>
      <rPr>
        <rFont val="Arial"/>
        <color rgb="FF000000"/>
        <sz val="10.0"/>
      </rPr>
      <t xml:space="preserve">. The definition of dependency depends on the exact definition of the element (i.e. level of granularity). This approach can be used at any level of abstraction. For example, in our case study (Section 5), we chose to define a Java package as an element. Generally speaking, dependency information is a measure of how strongly one particular element of the system is related to (and hence affected by) another element. To extract this information, one can use techniques of static [12, 14] and/or dynamic analysis [18]. </t>
    </r>
    <r>
      <rPr>
        <rFont val="Arial"/>
        <b/>
        <color rgb="FF000000"/>
        <sz val="10.0"/>
      </rPr>
      <t>In our case study, we preferred the simplicity of static analysis techniques and built the dependency model based on static dependencies</t>
    </r>
    <r>
      <rPr>
        <rFont val="Arial"/>
        <color rgb="FF000000"/>
        <sz val="10.0"/>
      </rPr>
      <t xml:space="preserve">. A recent empirical study shows coupling metrics can be considered as predictors of change propagation [4]."] ["3.2.2 The Process Figure 3 illustrates the overall process of making predictions using BBNs. Generally, the whole process is divided into two step: Building BBN Models and Performing Inference. From the two extracted sources of information, we build three models: </t>
    </r>
    <r>
      <rPr>
        <rFont val="Arial"/>
        <b/>
        <color rgb="FF000000"/>
        <sz val="10.0"/>
      </rPr>
      <t>one that merely uses dependency information</t>
    </r>
    <r>
      <rPr>
        <rFont val="Arial"/>
        <color rgb="FF000000"/>
        <sz val="10.0"/>
      </rPr>
      <t xml:space="preserve">, one that uses only history information, and </t>
    </r>
    <r>
      <rPr>
        <rFont val="Arial"/>
        <b/>
        <color rgb="FF000000"/>
        <sz val="10.0"/>
      </rPr>
      <t>one that incorporates both into one model</t>
    </r>
    <r>
      <rPr>
        <rFont val="Arial"/>
        <color rgb="FF000000"/>
        <sz val="10.0"/>
      </rPr>
      <t xml:space="preserve">. These models are considered alternatives and in practical use, only one of these needs to be generated. The theoretical aspects of building these models are presented in Section 4. The first step in building the models is “Building Common Model”. As mentioned in Section 3.2.1, a BBN should be an acyclic graph, but we know that in the software systems cyclic dependencies occur frequently. To overcome this problem, the general idea is to ignore some dependencies. However, it is very important to preserve more valuable dependencies and ignore the ones that add less information to the model. To achieve this goal, we decided to first build a common model of the system which may contain cycles, and then remove the cycles according to each “change request”. (...) The next step is “removing cycles” from the common model to get a BBN. The algorithm of this step is further clarified in the next section but the output is a BBN, called Bayesian Dependency Model (BDM) because it relies only on the dependency information. Once the BDM model is built, we can use “parameter learning” technique to incorporate the change history information (co-changes) and build a new model, named “Bayesian Dependency and History Model” (BDHM). This new model is a BBN, similar to BDM in structure but with different numerical parameters. The other alternative to model the problem as a BBN is to ignore the dependency information and use just the co-change history to build a BBN. The problem is how to structure the graph of the BBN. “Structure learning” is a technique from BBN literature that can automatically build a BBN based on the history information. We use this technique to build the third model, called a “Bayesian History Model” (BHM)."] ["4.1 </t>
    </r>
    <r>
      <rPr>
        <rFont val="Arial"/>
        <b/>
        <color rgb="FF000000"/>
        <sz val="10.0"/>
      </rPr>
      <t>BDM: Bayesian Dependency Model BDM is a BBN where only the information extracted from dependency analysis is used. Therefore, both its structure and numeric parameters will be based on the result of static analysis</t>
    </r>
    <r>
      <rPr>
        <rFont val="Arial"/>
        <color rgb="FF000000"/>
        <sz val="10.0"/>
      </rPr>
      <t xml:space="preserve">. 4.1.1 Graph Structure The structure of BDM is basically the “common model” graph (described in Section 3.2.2) with cycles removed according to the change request. The graph of the “common model” can also be presented in the from of a twodimensional table T, where each element has one row and one column. T[x, y] contains the weight on the edge from x to y in the described graph, or 0 in the case where there is no edge from x to y. Algorithm 1 describes how to build the graph structure of the BDM given three inputs: 1) “common model” (T), 2) set of all variables (S), and 3) “change request” (R). The purpose of this algorithm is to remove the cycles from the “common model” based on the R set. The algorithm traverses the “common model” graph in a breadth-first fashion and tries to ignore the cycle-causing edges as late as possible, meaning it removes the edges that have the least impact on the model."] ["We define one binary random variable x for each software element x with the </t>
    </r>
    <r>
      <rPr>
        <rFont val="Arial"/>
        <b/>
        <color rgb="FF000000"/>
        <sz val="10.0"/>
      </rPr>
      <t>possible values of Changed and Unchanged. These variables reflect our belief on whether a particular element is going to change</t>
    </r>
    <r>
      <rPr>
        <rFont val="Arial"/>
        <color rgb="FF000000"/>
        <sz val="10.0"/>
      </rPr>
      <t>."]</t>
    </r>
  </si>
  <si>
    <t>Direct function (e.g., sum, formula), the noisy-OR assumption, the expectation-maximization (EM) algorithm</t>
  </si>
  <si>
    <r>
      <rPr>
        <rFont val="Arial"/>
        <color theme="1"/>
        <sz val="10.0"/>
      </rPr>
      <t xml:space="preserve">[" </t>
    </r>
    <r>
      <rPr>
        <rFont val="Arial"/>
        <b/>
        <color theme="1"/>
        <sz val="10.0"/>
      </rPr>
      <t xml:space="preserve">The algorithm we use for inference is EPIS </t>
    </r>
    <r>
      <rPr>
        <rFont val="Arial"/>
        <color theme="1"/>
        <sz val="10.0"/>
      </rPr>
      <t xml:space="preserve">[6], which is a state-of-the-art sampling algorithm that reportedly performs better than other sampling algorithms. "] ["To estimate the CPT values for BDM we use </t>
    </r>
    <r>
      <rPr>
        <rFont val="Arial"/>
        <b/>
        <color theme="1"/>
        <sz val="10.0"/>
      </rPr>
      <t>dependency information extracted during previous steps</t>
    </r>
    <r>
      <rPr>
        <rFont val="Arial"/>
        <color theme="1"/>
        <sz val="10.0"/>
      </rPr>
      <t xml:space="preserve">. Note that the dependency information is not by definition related to change propagation. It is the expertise of software engineers that asserts the dependency between modules captures some aspects of the change propagation phenomenon. (...)  If there are nx,y such inner- lements, we have: P(x|y) = 1 − (1 − ρ)nx,y (6) </t>
    </r>
    <r>
      <rPr>
        <rFont val="Arial"/>
        <b/>
        <color theme="1"/>
        <sz val="10.0"/>
      </rPr>
      <t>Formula 6 is the essence of parameter estimation for BDM</t>
    </r>
    <r>
      <rPr>
        <rFont val="Arial"/>
        <color theme="1"/>
        <sz val="10.0"/>
      </rPr>
      <t xml:space="preserve">." (...) Although Formula 6 takes care of normalizing the dependency strength values to probabilities, we have not completed the BBN yet. Consider that a variable x has m parents: y1 ... ym. From Formula 6, we have all P(x|yi) values; however to build the “Conditional Probability Tables” we need P(x|y1 ... ym) values.That is the probability of x changing given all the possible combinations of the change status of the elements it depends on. In other words, we have already estimated the effect of each parent node on one particular element but not the effect of multiple parents together. In BBN literature, there is a widely used way to tackle this problem. As described in Section 3.2.1, there is a notion called </t>
    </r>
    <r>
      <rPr>
        <rFont val="Arial"/>
        <b/>
        <color theme="1"/>
        <sz val="10.0"/>
      </rPr>
      <t>the “noisy-OR” assumption</t>
    </r>
    <r>
      <rPr>
        <rFont val="Arial"/>
        <color theme="1"/>
        <sz val="10.0"/>
      </rPr>
      <t xml:space="preserve"> which asserts that whatever inhibits, say, y1 from causing a change in x is independent from what inhibits y2 from causing a change in x. "] ["The main difference between BDM and BDHM lies in their numeric parameters. In BDHM, the principle is to use parameter learning algorithms (discussed in Section 3.2.1) to update the parameter values of BDM based on the past history. One of the most widely used algorithms to estimate BBN parameters is </t>
    </r>
    <r>
      <rPr>
        <rFont val="Arial"/>
        <b/>
        <color theme="1"/>
        <sz val="10.0"/>
      </rPr>
      <t>expectation-maximization (EM</t>
    </r>
    <r>
      <rPr>
        <rFont val="Arial"/>
        <color theme="1"/>
        <sz val="10.0"/>
      </rPr>
      <t>) [7] which estimates posterior distribution (new parameters) based on the prior distribution (current parameters). We use this algorithm to update the CPTs of the BDM model and create BDHM."]</t>
    </r>
  </si>
  <si>
    <t>Predictive accuracy, statistical measures</t>
  </si>
  <si>
    <r>
      <rPr>
        <rFont val="Arial"/>
        <color rgb="FF000000"/>
        <sz val="10.0"/>
      </rPr>
      <t xml:space="preserve">["5 Experiments In this section, we describe the </t>
    </r>
    <r>
      <rPr>
        <rFont val="Arial"/>
        <b/>
        <color rgb="FF000000"/>
        <sz val="10.0"/>
      </rPr>
      <t>experimental evaluation</t>
    </r>
    <r>
      <rPr>
        <rFont val="Arial"/>
        <color rgb="FF000000"/>
        <sz val="10.0"/>
      </rPr>
      <t xml:space="preserve"> of the proposed approach and the results we obtained. 5.1 Case Study: Azureus Azureus is an open source BitTorrent client-and-tracker developed in Java. For the evaluation, we based the study on Azureus2 which has had 25 releases since the beginning (as of December 2006) starting from 2.0.0.8 to the current 2.5.0.0. For simplicity, we number these versions from 1 to 25 and refer to them accordingly in the rest of the paper. Table 1 shows some statistics about the growth of Azureus2 with six selected versions. Interval Co-Changes represent the number of co-changes that occurred in between two of the selected versions."] ["5.3 Evaluation Process </t>
    </r>
    <r>
      <rPr>
        <rFont val="Arial"/>
        <b/>
        <color rgb="FF000000"/>
        <sz val="10.0"/>
      </rPr>
      <t>Our strategy in evaluating the results of the proposed approach is to compare the predictions with the actual changes, available through change history</t>
    </r>
    <r>
      <rPr>
        <rFont val="Arial"/>
        <color rgb="FF000000"/>
        <sz val="10.0"/>
      </rPr>
      <t xml:space="preserve">. More precisely, we iterated over the history of Azureus and for each cochange (treated as test data): i) randomly chose one of the elements in the co-change as a change request, ii) built the models based on training data (past co-changes) and made predictions, and iii) compared the prediction results to the actual data. Figure 4 illustrates this process."] ["The third step of the evaluation process is comparing how accurately a certain prediction fits to the test data. Different evaluation criteria can be used for this purpose: • </t>
    </r>
    <r>
      <rPr>
        <rFont val="Arial"/>
        <b/>
        <color rgb="FF000000"/>
        <sz val="10.0"/>
      </rPr>
      <t>Point-Biserial Correlation</t>
    </r>
    <r>
      <rPr>
        <rFont val="Arial"/>
        <color rgb="FF000000"/>
        <sz val="10.0"/>
      </rPr>
      <t xml:space="preserve">: is a measure of association between a continuous variable and a binary variable [8]. It is constrained to be between -1 and +1. Assume that P is a continuous variable and C is categorical with values 0 and 1. The point- iserial correlation will be a positive value when large values of P are associated with C = 1, and small values of P are associated with C = 0. In this case, P is the set of predictions and C is the actual changed/unchanged status of the elements. • </t>
    </r>
    <r>
      <rPr>
        <rFont val="Arial"/>
        <b/>
        <color rgb="FF000000"/>
        <sz val="10.0"/>
      </rPr>
      <t>Information Retrieval (IR) Metrics</t>
    </r>
    <r>
      <rPr>
        <rFont val="Arial"/>
        <color rgb="FF000000"/>
        <sz val="10.0"/>
      </rPr>
      <t xml:space="preserve">: We categorize elements of the system into changed/unchanged, according to the predicted probabilities and actual data. Then, we can use metrics of </t>
    </r>
    <r>
      <rPr>
        <rFont val="Arial"/>
        <b/>
        <color rgb="FF000000"/>
        <sz val="10.0"/>
      </rPr>
      <t>precision, recall, and overall accuracy</t>
    </r>
    <r>
      <rPr>
        <rFont val="Arial"/>
        <color rgb="FF000000"/>
        <sz val="10.0"/>
      </rPr>
      <t xml:space="preserve"> from IR literature. To do such a categorization, a threshold is set on the predicted probabilities; elements with probabilities larger than that threshold are considered as changed."]</t>
    </r>
  </si>
  <si>
    <r>
      <rPr>
        <rFont val="Arial"/>
        <color theme="1"/>
        <sz val="10.0"/>
      </rPr>
      <t>["The first step of building a Bayesian Network is to identify software development phases as much as the factors that influence each phase task. For example, the complexity of services to be performed is an influence factor to the implementation phase: the more complex the service, the harder to be implemented and this influences its execution in time. Moreover, we want to represent how delay on a task execution can be propagated to subsequent tasks. Once we have a delay evidence on the implementation phase, for example, we want the Bayesian Network to calculate the delay probability over the whole project.This gives insights on the dynamic characterisation of software project delays. For simplicity, only three macro-phases of software development have been considered in the present work: maintenance definition, implementation and testing. In each of these phases, we may have a set of factors that suggest the maintenance risk as much as the probability of the project delay. The Bayesian Network developed in the present work covers these two aspects: risk management is calculated from a set of factors that identify maintenance context, and the whole network is expected to reflect the propagation delay based on services complexity. The following sections present these two aspects separately.  3.1.Risk management The first step of building the Bayesian Network is recognising the context in which risk management can be figured out in software development. Such a context comprises factors that influence the risk management and their relationships.</t>
    </r>
    <r>
      <rPr>
        <rFont val="Arial"/>
        <b/>
        <color theme="1"/>
        <sz val="10.0"/>
      </rPr>
      <t>The set of factors that recognise software risk management can vary from a single element, such as maintenance complexity, to a huge set including objective and subjective elements. In the present work, we have confined ourselves to a set of factors that can be measured and pointed out as minimum by specialists</t>
    </r>
    <r>
      <rPr>
        <rFont val="Arial"/>
        <color theme="1"/>
        <sz val="10.0"/>
      </rPr>
      <t xml:space="preserve">. We must stress here that this is not an exhaustive set of factors, but a minimum set that give insights on risk management by specialists: </t>
    </r>
    <r>
      <rPr>
        <rFont val="Arial"/>
        <b/>
        <color theme="1"/>
        <sz val="10.0"/>
      </rPr>
      <t>Platform expertise</t>
    </r>
    <r>
      <rPr>
        <rFont val="Arial"/>
        <color theme="1"/>
        <sz val="10.0"/>
      </rPr>
      <t xml:space="preserve">: This variable quantifies how many years the professionals involved in the project have used the system platform. </t>
    </r>
    <r>
      <rPr>
        <rFont val="Arial"/>
        <b/>
        <color theme="1"/>
        <sz val="10.0"/>
      </rPr>
      <t>System expertise</t>
    </r>
    <r>
      <rPr>
        <rFont val="Arial"/>
        <color theme="1"/>
        <sz val="10.0"/>
      </rPr>
      <t xml:space="preserve">: Differently from the previous variable, this one is concerned with the experience in the system itself. (...) </t>
    </r>
    <r>
      <rPr>
        <rFont val="Arial"/>
        <b/>
        <color theme="1"/>
        <sz val="10.0"/>
      </rPr>
      <t>Once we have defined the relevant variables for risk management, we must establish how they are related: how a variable can influence others when an evidence is given. Variables are called independent to each other if evidence of one does not change the value of the other. By contrast, they are called conditionally dependent if the evidence of one may change the other. Fig. 2 shows the relationship among variables and the resulting maintenance risk.</t>
    </r>
    <r>
      <rPr>
        <rFont val="Arial"/>
        <color theme="1"/>
        <sz val="10.0"/>
      </rPr>
      <t>] ["3.2.Delay propagation New variables together with their values and relations must be defined for the delay propagation network. (...) Again,the first step is finding out variables relevant to project delays that can have values measured. Since we work on possible delays of projects execution, the choice of variables is based on common tasks performed on maintenance process. The main tasks can be summarised as follows (these are the macro-phases cited above): Definition:This corresponds to the maintenance definition and includes tasks from viability analysis to service definition to be passed to implementation. Note that it comprises analysis and design tasks. Implementation: (...) Testing: (...)This phase involves unit testing as much as integration testing. Note that these activities could be finely grained. Testing, for example, could be at least split into unit and integration testing. However, only these three phases have been considered in the present work because, in practice, they are accounted in any maintenance project, while finely grained tasks are not distinguished in certain projects. (...) 3.3.Delay propagation and risk management Taking both Bayesian Networks presented in Figs. 2 and 3, we can build a third network that takes into account maintenance risk in delay propagation."] ["Also, variables chosen as ‘‘relevant’’ to determine project delays and maintenance risk are from specialists, regarding the network operational limitations."] ["</t>
    </r>
    <r>
      <rPr>
        <rFont val="Arial"/>
        <b/>
        <color theme="1"/>
        <sz val="10.0"/>
      </rPr>
      <t xml:space="preserve">The delay propagation Bayesian Network was first designed based on the IEEE Standard for Software Maintenance (IEEE Std 1219-1993), which establishes a standard process for software maintenance. There, each macrophase, such as definition, is split into a set of tasks that can be sequentially or concurrently performed. The first version of the delay network had over 60 variables to accomplish the model tasks. </t>
    </r>
    <r>
      <rPr>
        <rFont val="Arial"/>
        <color theme="1"/>
        <sz val="10.0"/>
      </rPr>
      <t xml:space="preserve">The first difficulty in designing such a network was establishing the conditional dependency between all pairs of variables; some of them are straightforward, but others must be inferred. The great challenge, however, in that design was discovering significant values for each variable (calibration): the more variables the network has the more relations emerge to have a calibration denoted. Apart from the work involved in calibrating a huge network, we did not have a precise measure for them: there was no difference on the conditional dependence of two different tasks in the definition phase influencing tasks in the implementation phase, for example. </t>
    </r>
    <r>
      <rPr>
        <rFont val="Arial"/>
        <b/>
        <color theme="1"/>
        <sz val="10.0"/>
      </rPr>
      <t>For these reasons, we decided to work on macro-phases instead of the finely grained tasks of the IEEE Standard for Software Maintenance</t>
    </r>
    <r>
      <rPr>
        <rFont val="Arial"/>
        <color theme="1"/>
        <sz val="10.0"/>
      </rPr>
      <t xml:space="preserve">. Note that the natura of the problem require specialists to denote relationship values because we had no historical data about maintenance projects."] ["It is important to emphasize that </t>
    </r>
    <r>
      <rPr>
        <rFont val="Arial"/>
        <b/>
        <color theme="1"/>
        <sz val="10.0"/>
      </rPr>
      <t>the values and their corresponding probabilities are given by specialists</t>
    </r>
    <r>
      <rPr>
        <rFont val="Arial"/>
        <color theme="1"/>
        <sz val="10.0"/>
      </rPr>
      <t>..."]</t>
    </r>
  </si>
  <si>
    <t>["So far, we have only applied this technique to a couple of problems. We plan to apply it to a set of different problems in order to validate our tool. This task, however, is not very straightforward because short time projects do not give so accurate results as long time projects, and applications to long time projects takes time. Also, we intend to apply this to other environments in order to check how much re-calibration is needed."]</t>
  </si>
  <si>
    <t>["Fig. 1 shows one of the three proposed models that causally relate processes in the software engineering cycle with the initially computed reliability. This generates a new overall reliability that accounts for the dependence between software engineering processes and software reliability. Besides this, we develop two more models: one where there are only two causally related nodes representing the process and the reliability; the second combines the former model and the model from Fig. 1 i.e. the initial software reliability is causally dependent on the process as well. Suppose we assume no dependency, the overall reliability should be the initial value. Also, given that the process is excellent, the reliability cannot be any more than this value and therefore this is the upper limit on the reliability. However if there is any dependency, then the reliability should be reduced for any other level of the process. Intuitively, this is what we expect, and in the subsequent sections, we show that the results of our analysis confirm our expectations."] ["3 Reliability Analysis of an NVP System  As a preliminary attempt, software quality is causally related to software reliability in a system employing the NVP (N = 3) style of software fault tolerance. Fig. 2 shows a belief bar representation of our BBN model for the NVP system. We assumed a component-based architecture for the software modules. The node ArchitecturalReliability represents the reliability of the software computed using an architecture-based approach. The node QualityProcess represents the software quality process. The quality process is a BBN in itself, representing experience gained through the licensing process of a programmable system in a nuclear power plant. This is appropriate because nuclear power plants frequently use NVP for software fault tolerance. Both the process and its BBN were adopted from [3]. Briefly, this BBN related subprocesses such as quality assurance standards, quality assurance policy and quality control processes, among others. NetReliability represents the target node of the BBN, which gives us the new estimate of software reliability for the module. Fig. 2 shows the different states that the nodes can assume. We assumed weights for the edges of the BBNs for what we “believed” would be the influence of each node on the net reliability. "]</t>
  </si>
  <si>
    <t>Extension of existing models, survey with practitioners</t>
  </si>
  <si>
    <t>S97</t>
  </si>
  <si>
    <t>P140</t>
  </si>
  <si>
    <t>Ba, J., &amp; Wu, S.</t>
  </si>
  <si>
    <t>ProPRED: A probabilistic model for the prediction of residual defects</t>
  </si>
  <si>
    <t>International Conference on Mechatronic and Embedded Systems and Applications</t>
  </si>
  <si>
    <t>["In order for the model to accurately predict impacts on a project using mathematical methods, it is critical that the model be set up with a list of truly common risk factors, their relationship, and their impacts weights. In the year of 2000, Arizona State University developed a model that consisted of 24 common project risk factors in a research project. In this paper, we first adapted this model as our base model, and then surveyed a group of 29 information technology professionals with experience range from 5 to 25 years. Each person was presented with the base model, and then was asked, based on their project experience throughout their career, to make adjustments to the model by adding/deleting common risk factors, adjusting their probability and weight factor. After collecting results of the survey, a new model was created and described later on in this paper. The purpose of the survey is an attempt to collect more up-to-date information in the past three years and incorporate them in the base model to improve the accuracy of it. The survey provides us with good feedback in all areas. We believe that with newer information, the model becomes even more realistic and reliable."] ["Based on the research results from ASU, the authors of this paper conducted his own survey. The objective of the survey is to fine tune ASU’s model by collecting more up-to-date information from a group of 29 experienced IT professionals. Results of their professional opinions were used to validate against the ASU’s model, made necessary adjustments, and formulated a new risk and impact model. Twenty-four risk factors from the ASU’s model were selected because they were cited as most common and/or post high risk to a typical software development projects. They are listed below along with their estimate occurring probability and impacts weight. All of them are being used as input parameters to the new model. Result of the 24 risks factors and their impacts and effects expressed in vector format is in Appendix 1. [1] "]</t>
  </si>
  <si>
    <t>Survey with practitioners</t>
  </si>
  <si>
    <t>["A Bayesian belief network model and tool to evaluate risk and impact in software development projects"]</t>
  </si>
  <si>
    <t>S98</t>
  </si>
  <si>
    <t>P141</t>
  </si>
  <si>
    <t>Blackburn, M., &amp; Huddell, B.</t>
  </si>
  <si>
    <t>Hybrid bayesian network models for predicting software reliability</t>
  </si>
  <si>
    <t>International Conference on Software Security and Reliability Companion</t>
  </si>
  <si>
    <r>
      <rPr>
        <rFont val="Arial"/>
        <color theme="1"/>
        <sz val="10.0"/>
      </rPr>
      <t xml:space="preserve">["3.1  Overall structure of SAABNet The variables in SAABNet can be divided into three categories: •Architecture attributes •Quality Criteria •Quality Factors </t>
    </r>
    <r>
      <rPr>
        <rFont val="Arial"/>
        <b/>
        <color theme="1"/>
        <sz val="10.0"/>
      </rPr>
      <t>This categorization was inspired by Mc Call’s quality requirement framework [12].</t>
    </r>
    <r>
      <rPr>
        <rFont val="Arial"/>
        <color theme="1"/>
        <sz val="10.0"/>
      </rPr>
      <t xml:space="preserve"> In this framework, abstract quality factors, representing quality requirements, are decomposed in less abstract quality criteria. We have added an additional decomposition layer, called architecture attributes, that is even less abstract. Architecture attributes represent concrete, observable artifacts of an architecture."] ["3.2  Qualitative specification In this section we discuss the qualitative specification of SAABNet. In figure 2, a qualitative representation of our network is given (i.e. a directed acyclic graph). Though at first sight our network may seem rather complicated, it is really not that complex. While designing we carefully avoided having to many incoming arrows for each variable. In fact there are no variables with more than three incoming arrows. The reason that we did this was to keep the quantitative specification simple. The more incoming arrows, the higher the number of combinations of states of the predecessors. The cleverness of a BBN is that it organizes the variables in such a way that there are few dependencies (otherwise the number of conditional probabilities becomes exponentially large). Without a BBN, all combinations of all variable states would have to be considered (nearly impossible to do in practice because the number rises exponentially). </t>
    </r>
    <r>
      <rPr>
        <rFont val="Arial"/>
        <b/>
        <color theme="1"/>
        <sz val="10.0"/>
      </rPr>
      <t xml:space="preserve">In addition to limiting the number of incoming arrows we also limited the number of states the variables can be in. Most of the variables in our network only have two states (i.e. good and bad or high and low etc.). We may add more states later on to provide greater accuracy. </t>
    </r>
    <r>
      <rPr>
        <rFont val="Arial"/>
        <color theme="1"/>
        <sz val="10.0"/>
      </rPr>
      <t xml:space="preserve">We will give a short description of the variables (in alphabetical order) in our network and indicate how they depend on other variables. We have organized them into three groups corresponding with the different types of variables we discussed in 3.1. 3.2.1  Architecture Attributes arch_style (pipesfilters/broker/layers/blackboard). This is the only variable with more than two states. The styles they represent correspond with architectual styles discussed in [2]. This variable has no incoming arrows so all the states have the same default probability.(...)"] ["3.2.2  Quality Criteria complexity (high/low). Dependencies: vertical_complexity, horizontal_complexity. This variable indicates whether an architecture is perceived as complex. Vertical and horizontal complexity are explained in more detail below (...)."] ["3.2.3  Quality Factors configurability (good/bad). Dependencies: coupling, understandability. This indicates the ability to configure the architecture at runtime (for compile time configurability see the variable modifiability). There are two types of configurability: parameter modification and component rearranging. Both types of configuration become easier if the architecture can be easily understood. If, in addition, coupling is loose, the second type of configuration becomes more like the first type (i.e. components can be rearranged by setting certain parameters). correctness (good/bad). Dependencies: maintainability, understandability. This variable indicates whether implementations of the architecture are likely to behave correctly. I.e. whether they will always give correct output (...)."] </t>
    </r>
  </si>
  <si>
    <t>["4  Validation As a proof of concept, we implemented SAABNet using Hugin [7] and used it with some cases. This tool makes it possible to draw the network and enter the conditional probabilities. It can also run in the so called compiled mode where evidence can be entered and the conditional probabilities for each variable’s states are recalculated (for a complete specification of SAABNet in the form of a Hugin file, please contact the first author). The primary aim for the validation was to show that even with a simple model as SAABNet, it is possible to get useful qualitative assessments."] See cases for details.</t>
  </si>
  <si>
    <t>S99</t>
  </si>
  <si>
    <t>P142</t>
  </si>
  <si>
    <t>Gras, J. J., Gupta, R., &amp; Perez-Minana, E.</t>
  </si>
  <si>
    <t>Generating a test strategy with bayesian networks and common sense</t>
  </si>
  <si>
    <t>Literature review, risk-centric modeling</t>
  </si>
  <si>
    <t>Testing: Academic &amp; Industrial Conference-Practice And Research Techniques (TAIC PART'06)</t>
  </si>
  <si>
    <t>S100</t>
  </si>
  <si>
    <r>
      <rPr>
        <rFont val="Arial"/>
        <color rgb="FF000000"/>
        <sz val="10.0"/>
      </rPr>
      <t>["4 The BBN topology for computing RoSI Figure 2 depicts the top level BBN for phase 2 of the AORDD trade-off analysis. The node “RoSI” is the target node of the network. The nodes priorities (PRI), budget (BU), business goals (BG), law and regulations (LR), security risk acceptance criteria (SAC), and policies (POL) are observable nodes, nodes that represent information and evidence that can be directly observed or in other ways obtained. The nodes acceptance level (AL) and security level (SL) are intermediate nodes and requires inputs from observable nodes. The node SL receives information and evidence from the three input nodes; static security level (CC EAL), dynamic security level (OS DL), and treatment level (TL). Each of these nodes are decomposed into BBN subnets, and receive information and evidence from their respective subnets. Recall that a target node gives the objective of the assessment, in this case RoSI of a security treatment strategy. In BBN there are two sets of variables; stochastic and decision variables [13]. The decision variables represent decisions that need to be made. The stochastic variables represent the set of information on which a decision is based. We use nine stochastic variables to compute RoSI; treatment cost (TC), misuse cost (MC), confidentiality (Conf), integrity (Integr), availability (Avail), non-repudiation (NonR), accountability (Accnt), authenticity (Auth), and reliability (Relia). Variables can be in a set of states. In the current version of the BBN topology all variables have three associated states; low, medium, and high. Table 1 presents the variables and states of the nodes in the top-level BBN. (...) Furthermore, the intermediate node SL receives information from the three intermediate nodes CC EAL, OS DL, and TL, representing the static security level, dynamic security level, and treatment level.</t>
    </r>
    <r>
      <rPr>
        <rFont val="Arial"/>
        <b/>
        <color rgb="FF000000"/>
        <sz val="10.0"/>
      </rPr>
      <t xml:space="preserve"> Figure 3 depict the subnet for the node CC EAL. The subnet reflects the structure of part 3, the security assurance requirements, of the security standard ISO 15408: Common Criteria for Information Technology Security Evaluation [12].</t>
    </r>
    <r>
      <rPr>
        <rFont val="Arial"/>
        <color rgb="FF000000"/>
        <sz val="10.0"/>
      </rPr>
      <t xml:space="preserve"> These requirements describes different general and security specific properties of a development, and targets the evaluation of a system against seven Evaluation Assurance Levels (EAL). </t>
    </r>
    <r>
      <rPr>
        <rFont val="Arial"/>
        <b/>
        <color rgb="FF000000"/>
        <sz val="10.0"/>
      </rPr>
      <t>The assurance criteria represent general guidelines for development of security critical systems, and follows the same structure as the safety standard DO-178B: Software Considerations in Airborne Systems and Equipment Certification [23]</t>
    </r>
    <r>
      <rPr>
        <rFont val="Arial"/>
        <color rgb="FF000000"/>
        <sz val="10.0"/>
      </rPr>
      <t xml:space="preserve">. </t>
    </r>
    <r>
      <rPr>
        <rFont val="Arial"/>
        <b/>
        <color rgb="FF000000"/>
        <sz val="10.0"/>
      </rPr>
      <t>The BBN topology for safety assessment of software based systems developed by Gran [8] (see Section 3) is based on DO-178B. Evaluation according to Common Criteria is done using the documentation provided during the development and targets the requirement, design, and implementation phase of the AORDD process [9]</t>
    </r>
    <r>
      <rPr>
        <rFont val="Arial"/>
        <color rgb="FF000000"/>
        <sz val="10.0"/>
      </rPr>
      <t xml:space="preserve">. By including the assurance class AMA, maintenance of assurance, the BBN topology does also cover the maintenance phase [9]. Figure 4 depict the subnet for the node OS DL. </t>
    </r>
    <r>
      <rPr>
        <rFont val="Arial"/>
        <b/>
        <color rgb="FF000000"/>
        <sz val="10.0"/>
      </rPr>
      <t>The subnet targets the Australian risk management standard AS/NZS 4360:2004 [25]</t>
    </r>
    <r>
      <rPr>
        <rFont val="Arial"/>
        <color rgb="FF000000"/>
        <sz val="10.0"/>
      </rPr>
      <t xml:space="preserve">, </t>
    </r>
    <r>
      <rPr>
        <rFont val="Arial"/>
        <b/>
        <color rgb="FF000000"/>
        <sz val="10.0"/>
      </rPr>
      <t>as well as addressing the concept of operational security as described by Littlewood et al. [18]</t>
    </r>
    <r>
      <rPr>
        <rFont val="Arial"/>
        <color rgb="FF000000"/>
        <sz val="10.0"/>
      </rPr>
      <t>, Madan et al. [19], Jonsson and Olovsson[14], Ortalo [21], and Wang et al. [27]. AS/NZS 4360:2004 consist of five sub-processes covering risk assessment and two risk management sub-processes. The cost-benefit trade-off analysis covers the risk treatment and the management subprocesses. The remaining four sub-processes is addressed by the security risk assessment activity of the AORDD process [9]. The observable nodes mean effort to misuse, METM, and mean time to misuse, MTTM, targets the operational security level. METM and MTTM addresses one particular misuse, which is described by the nodes misuse scenario, MUSE, misuse frequency, MF, misuse impact, MI, and misuse cost, CO. Figure 5 depict the subnet for the node TL. The subnet targets the treatment level and consists of the observable nodes treatment strategy, TS, effect of treatment strategy, TE, and cost of treatment strategy, TC. The node TS describes a particular treatment strategy. The node TE has a set of associated stochastic variables, while TC describes treatment cost. Due to space restrictions we only look into the treatment level subnet in the example given in the next section. (...)"]</t>
    </r>
  </si>
  <si>
    <t>P143</t>
  </si>
  <si>
    <t>Ancveire, I., Gailite, I., Gailite, M., &amp; Grabis, J.</t>
  </si>
  <si>
    <t>Software delivery risk management: Application of bayesian networks in agile software development</t>
  </si>
  <si>
    <t>Information Technology and Management Science</t>
  </si>
  <si>
    <r>
      <rPr>
        <rFont val="Arial"/>
        <color theme="1"/>
        <sz val="10.0"/>
      </rPr>
      <t xml:space="preserve">["Probability distribution functions (pdf) may be continuous functions or discrete values. In this example we use discrete values since this makes it conceptually </t>
    </r>
    <r>
      <rPr>
        <rFont val="Arial"/>
        <b/>
        <color theme="1"/>
        <sz val="10.0"/>
      </rPr>
      <t>easier for experts to assess</t>
    </r>
    <r>
      <rPr>
        <rFont val="Arial"/>
        <color theme="1"/>
        <sz val="10.0"/>
      </rPr>
      <t xml:space="preserve">, as well as making the computations much simpler. 5.2 </t>
    </r>
    <r>
      <rPr>
        <rFont val="Arial"/>
        <b/>
        <color theme="1"/>
        <sz val="10.0"/>
      </rPr>
      <t xml:space="preserve">Elicitation of probabilities </t>
    </r>
    <r>
      <rPr>
        <rFont val="Arial"/>
        <color theme="1"/>
        <sz val="10.0"/>
      </rPr>
      <t xml:space="preserve">As an example of elicitation of probabilities we use a specialization of the TL subnet that is directly connected to the target node, RoSI, as depicted in Figure 7. We use three discrete stochastic variables to describe each treatment strategy; maintenance ( M), security level ( S), and cost ( C). (...) During elicitation of probabilities we feed the prior distributions into the BBN topology. </t>
    </r>
    <r>
      <rPr>
        <rFont val="Arial"/>
        <b/>
        <color theme="1"/>
        <sz val="10.0"/>
      </rPr>
      <t>In our example we assume that expert judgment is collected and aggregated with empirical data prior to elicitation of probabilities.</t>
    </r>
    <r>
      <rPr>
        <rFont val="Arial"/>
        <color theme="1"/>
        <sz val="10.0"/>
      </rPr>
      <t xml:space="preserve"> Several authors have discussed both aggregation techniques and expert judgment collection strategies [20], [2], and [10]. For simplicity we set the prior distribution for all observable variables to 0.33, meaning that all states of all variables are assigned the same prior distribution and have the same influence on the outcome. This gives for all variables, P(X=low)=0.33, P(X=medium)=0.33, and P(X=high)=0.33. The function P(X|Y) (see Section 3) expresses the belief one has in, for example, the RoSI level of SRP if one knew the cost of SRP, represented by the variable SRP C. This information is expressed in a dependency matrix as given in Table 2."]</t>
    </r>
  </si>
  <si>
    <t>["Figure 8 shows the result of the computation after observations are given as input to the BBN topology. Actual states of each of the stochastic variables are shown on the left side in the figure. In this case the SRP C variable is in the high state, the SRP M variable is in the medium state, and the SRP SL variable is in the low state. Utilities U2 and U3 are used to determine the states of the decision variables ROSI SRP and ROSI TLS. In this example, the combination of states of the SRP variables means that the ROSI SRP decision variable is twice as likely to be in the medium state as the high state, and it is one and one-half times as likely to be in the medium state as the low state. The ROSI TLS decision variable is twice as likely to be in the high state as the medium state, and one and one-half times as likely to be in the low state as the medium state. Utility U1 takes these distributions and calculates the state of the RoSI decision variable. The result shows that the TLS treatment is one and one-half times more effective than the SRP treatment. Figure 9 shows how changes in the observations entered propagates and change the result of the BBN computation. As in Figure 8, the values for the states of each of the stochastic variables are shown on the left side in the figure. The same utilities are used to calculate the states of the decision variables. In this figure, the states of SRP M, SRP SL, and TLS SL have been changed from the values given in Figure 8. The result is that the decision variable ROSI SRP is twice as likely to be in the high state as the medium state, and one and one-half times as likely to be in the low state as the medium state. The ROSI TLS variable is twice as likely to be in the medium state as the high state, and one and one-half times as likely to be in the medium state as the low state. As for the previous example the U1 utility is used to compute the state of the decision variable RoSI. In this case the result shows that the SRP treatment is one and one-half times more effective than the TLS treatment."]</t>
  </si>
  <si>
    <r>
      <rPr>
        <rFont val="Arial"/>
        <color rgb="FF000000"/>
        <sz val="10.0"/>
      </rPr>
      <t xml:space="preserve">["3. THE SERENE METHOD (QUICK OVERVIEW) 3. I General principles BBN to represent a safety argument will require three steps: Like in any application domain the building process of a BBN to represent a safety argument will require three steps: </t>
    </r>
    <r>
      <rPr>
        <rFont val="Arial"/>
        <b/>
        <color rgb="FF000000"/>
        <sz val="10.0"/>
      </rPr>
      <t>identification of nodes</t>
    </r>
    <r>
      <rPr>
        <rFont val="Arial"/>
        <color rgb="FF000000"/>
        <sz val="10.0"/>
      </rPr>
      <t xml:space="preserve">: the properties (e.g. suitability of design, competence of the development team, effort spent on validation ...) of the safety-related system and its development which can affect safety are identified: they will become the nodes of the BBN model, </t>
    </r>
    <r>
      <rPr>
        <rFont val="Arial"/>
        <b/>
        <color rgb="FF000000"/>
        <sz val="10.0"/>
      </rPr>
      <t>identification of the structure of the BBN:</t>
    </r>
    <r>
      <rPr>
        <rFont val="Arial"/>
        <color rgb="FF000000"/>
        <sz val="10.0"/>
      </rPr>
      <t xml:space="preserve"> the relationships between these properties determine the structure of the BBN. The relationships are causal but subject to uncertainty: for example, small software modules are more likely to increase testability, but it is still possible for the testability to be high in software without modules, </t>
    </r>
    <r>
      <rPr>
        <rFont val="Arial"/>
        <b/>
        <color rgb="FF000000"/>
        <sz val="10.0"/>
      </rPr>
      <t>filling in of NPTs</t>
    </r>
    <r>
      <rPr>
        <rFont val="Arial"/>
        <color rgb="FF000000"/>
        <sz val="10.0"/>
      </rPr>
      <t xml:space="preserve">: The conditional probabilities associated with each relation must be entered to complete the model."] ["5.2 Methodology </t>
    </r>
    <r>
      <rPr>
        <rFont val="Arial"/>
        <b/>
        <color rgb="FF000000"/>
        <sz val="10.0"/>
      </rPr>
      <t>We always worked as a group, through meetings, following the steps given in section 3</t>
    </r>
    <r>
      <rPr>
        <rFont val="Arial"/>
        <color rgb="FF000000"/>
        <sz val="10.0"/>
      </rPr>
      <t xml:space="preserve">, but without the support of the SERENE method (because it didn't exist at that time !). </t>
    </r>
    <r>
      <rPr>
        <rFont val="Arial"/>
        <b/>
        <color rgb="FF000000"/>
        <sz val="10.0"/>
      </rPr>
      <t>In several occasions, the group could confront its ideas to those of other partners of the SERENE consortium, which caused very vivid and interesting debates</t>
    </r>
    <r>
      <rPr>
        <rFont val="Arial"/>
        <color rgb="FF000000"/>
        <sz val="10.0"/>
      </rPr>
      <t xml:space="preserve">. </t>
    </r>
    <r>
      <rPr>
        <rFont val="Arial"/>
        <b/>
        <color rgb="FF000000"/>
        <sz val="10.0"/>
      </rPr>
      <t xml:space="preserve">One of the first issues that were debated was the number of states that should be chosen for variables of the BBN. We decided that this number should be even, in order to force the assessor to choose between a rather positive, or a rather negative judgement, in the nodes where evidence would be input. </t>
    </r>
    <r>
      <rPr>
        <rFont val="Arial"/>
        <color rgb="FF000000"/>
        <sz val="10.0"/>
      </rPr>
      <t>Choosing 4 states would lead to large NPTs (64 values to be specified for a node having 3 parent nodes !). It would be impossible to justify such a number of values, and anyway, the process of evaluation of these values would be excessively long and cumbersome. Thus, it was decided to use only 2 states, meaning good or poor, acceptable or not acceptable, yes or no, etc. Moreover, in order to simplify the description of the BBN, all nodes correspond to sentences such as: object x is y, with the two possible values: "yes" or "no". (NPPS). Example: "Requirements specification is suitable" "]</t>
    </r>
  </si>
  <si>
    <r>
      <rPr>
        <rFont val="Arial"/>
        <color theme="1"/>
        <sz val="10.0"/>
      </rPr>
      <t xml:space="preserve">["3. THE SERENE METHOD (QUICK OVERVIEW) (...) Like in any application domain the building process of a BBN to represent a safety argument will require three steps: identification of nodes (...); identification of the structure of the BBN (...); </t>
    </r>
    <r>
      <rPr>
        <rFont val="Arial"/>
        <b/>
        <color theme="1"/>
        <sz val="10.0"/>
      </rPr>
      <t>filling in of NPTs</t>
    </r>
    <r>
      <rPr>
        <rFont val="Arial"/>
        <color theme="1"/>
        <sz val="10.0"/>
      </rPr>
      <t>: The conditional probabilities associated with each relation must be entered to complete the model."] ["</t>
    </r>
    <r>
      <rPr>
        <rFont val="Arial"/>
        <b/>
        <color theme="1"/>
        <sz val="10.0"/>
      </rPr>
      <t>The probabilities can be revised each time a new piece of evidence becomes available</t>
    </r>
    <r>
      <rPr>
        <rFont val="Arial"/>
        <color theme="1"/>
        <sz val="10.0"/>
      </rPr>
      <t>, which means that trends can already be estimated in the early stages of a system development. "] ["</t>
    </r>
    <r>
      <rPr>
        <rFont val="Arial"/>
        <b/>
        <color theme="1"/>
        <sz val="10.0"/>
      </rPr>
      <t>We always worked as a group, through meetings, following the steps given in section 3</t>
    </r>
    <r>
      <rPr>
        <rFont val="Arial"/>
        <color theme="1"/>
        <sz val="10.0"/>
      </rPr>
      <t xml:space="preserve">, but without the support of the SERENE method (because it didn't exist at that time !)."] ["3.3 </t>
    </r>
    <r>
      <rPr>
        <rFont val="Arial"/>
        <b/>
        <color theme="1"/>
        <sz val="10.0"/>
      </rPr>
      <t>Eliciting the probabilities</t>
    </r>
    <r>
      <rPr>
        <rFont val="Arial"/>
        <color theme="1"/>
        <sz val="10.0"/>
      </rPr>
      <t xml:space="preserve"> Another important issue in the building of a BBN, is the elicitation of NPTs. Since we are in a domain where very little formalised feedback of experience is available, </t>
    </r>
    <r>
      <rPr>
        <rFont val="Arial"/>
        <b/>
        <color theme="1"/>
        <sz val="10.0"/>
      </rPr>
      <t>we have to elicit probabilities from experts</t>
    </r>
    <r>
      <rPr>
        <rFont val="Arial"/>
        <color theme="1"/>
        <sz val="10.0"/>
      </rPr>
      <t>. The SERENE method provides guidance in the elicitation process, by describing the many kinds of biases experts can be subject to, and how to avoid them or at least how to reduce their impact. One simple example is the fact that one gets much better estimations in terms of frequencies of events rather than probabilities. "] ["We also decided, after a few attempts to evaluate the values of the probabilities, to choose them (in most cases) from the following set: (0, 0.25, 0.5, 0.75, I}. The rationale for this choice is that it would be impossible to justify a higher number of levels in this scale, which is just what is needed to express the following concepts: impossible, improbable, probable, quite probable, certain. "]</t>
    </r>
  </si>
  <si>
    <r>
      <rPr>
        <rFont val="Arial"/>
        <color rgb="FF000000"/>
        <sz val="10.0"/>
      </rPr>
      <t xml:space="preserve">["6. EXAMPLES OF CALCULATIONS WITH THIS BBN Here are some illustrative calculation results obtained from this BBN with the HUGIN explorer tool. The following table gives the probabilities for the values ((yes )) of the main nodes of the network, i.e. the nodes corresponding to the various stages of the lifecycle. The columns of the table, numbered 1 to 5, correspond to the scenarios explained after the table. 1 - A priori probabilities. In the absence of any evidence, the predictions become more and more pessimistic as the development progresses. This is quite normal, since no evidence of successful verifications is entered. 2 - No evidence is entered, except the fact that all verifications give good results: this is always true for safety critical systems. Such a system can not be a candidate if it does not pass one or more tests. The probabilities are very close to 1, especially in the first stages of the life-cycle. This seems quite reasonable, since all NPTs of root nodes contain probabilities of .75 for the positive value of these nodes. 3 - Worst case calculation: negative evidence is entered in all nodes analogous to those marked with a black dot in Figure 3 (but the verifications and tests are still assumed to give good results). In this case, the probabilities are close to zero, except in the last stages, where the evidence coming from the test results gives some (little, in fact) hope. 4 - Best case calculation: positive evidence is entered in all nodes analogous to those marked with a black dot in Figure 3. The result is very much like the result of scenario 2, except that probabilities are closer to 1. 5 - Case with conflicting evidence: inputs to SRS are not suitable (the fact of supposing that this is known is very pessimistic, which explains the zeros in column 5), all verifications give good results, but they are not exhaustive: they are performed by competent actors, using good methods, but lacking resources. This lack of resources is known, which is reflected in the BBN by setting all nodes "EDF opinion on verification activity X is good" to NO. </t>
    </r>
    <r>
      <rPr>
        <rFont val="Arial"/>
        <b/>
        <color rgb="FF000000"/>
        <sz val="10.0"/>
      </rPr>
      <t>The results of the above simulations show that the BBN gives consistent results, which are in accordance with intuition</t>
    </r>
    <r>
      <rPr>
        <rFont val="Arial"/>
        <color rgb="FF000000"/>
        <sz val="10.0"/>
      </rPr>
      <t xml:space="preserve">. </t>
    </r>
    <r>
      <rPr>
        <rFont val="Arial"/>
        <b/>
        <color rgb="FF000000"/>
        <sz val="10.0"/>
      </rPr>
      <t>A "validation" of this BBN will consist in trying it on numerous scenarios, and comparing the results of calculations with the experts expectations</t>
    </r>
    <r>
      <rPr>
        <rFont val="Arial"/>
        <color rgb="FF000000"/>
        <sz val="10.0"/>
      </rPr>
      <t>. It is important to note that, in spite of the fact that the results are numerical, they are nothing more than an elaborate presentation of experts beliefs. They must not be taken as real probabilities, and must be used only for comparative purposes."]</t>
    </r>
  </si>
  <si>
    <t>["The conceptual elements of Bayesian Networks (BN) [1] are presented in this paper in the context of software house application test phase theory and software process using the Netica software tool [2]. The BN identification was restricted through the use of the Goals, Questions, and Metrics (GQM) technique [3]. "] ["A GQM was created to solve a production control necessity of a software product during its test phase. This GQM was used during the SDLC in a software factory. Table 2 shows the GQM technique results. The GQM identification was obtained by applying the GQM technique [3] and it can be visualized in a case study. Table 3 presents GQM technique application results. It was applied to restrict the test phase."] ["2.2 The restricting BN modeling step In order to implement the restricting BN modeling, it was necessary to research GQM methods to develop Bayes Theory elements. To do this, it was adopted a GQM test phase with BN related to Graph Theory. These conditions were adopted to represent nodes and arcs in variables. Each node and arc pair represented a probabilistic dependency between a quantitative and a qualitative variable association, as shown in Figure 1. A used information system organization can be schematically visualized using GQM and BN [8], both shown in Table 1 and Figure 1. Each paired questions 1-2, 3-4, 5-6, and 7-8 had two answer metrics, one quantitative and other qualitative [3] [7] to be implemented within an information system application. The DNCG model [9] had variables represented by nodes and arcs connecting the quantitative and qualitative variables defined by GQM, as shown in Figure 1. According to Table 3 and Figure 1, the goal node was considered the root or exit node. Metrics nodes from 1 to 8 were considered the leaves, entrances, or primitive nodes. This paper presents how one BN was proposed, defined, and constructed for a decision making process based upon inference rules. The BN presented in Figure 1 allowed a product diagnostic during the test phase of a System Development Life Cycle (SDLC) using the Netica software tool [2].</t>
  </si>
  <si>
    <t>The article provides an application of BN. ["3. Applications A BN application was shaped for control and plan the software production lines knowledge, and to get data from this behavior. A natural consequence of this register was to improving the project estimation quality in other projects. The control of quality and the decision making application with GQM-BN were solved to a product homologation. Its application was used to the knowledge acquisitions. The GQM-BN had many applications in software production engineering, software management, function points, and so on. (...)"] ["4. Result (...) The GQM-BN application allowed to find “3” errors in unitary tests with high severity. In the systems test it was found “0” error, and in the integrated test “0” error was found too, during the two homologation test cycles. According to theses evidences the team members could update the GQM-BN application. The results consolidation had provide the identification of “3“ errors with high severity in “70” possible cases. "]</t>
  </si>
  <si>
    <t>["Inspired by the literature and research work about Bayesian network-based software project risk management [11,13,15,32,35], especially research works on resources or user preferences trade-off problems [14,16,40], we propose our process risk framework based on the Bayesian network. Then we construct our measurement and optimization model on this risk network. However, instead of the project risk of the whole software process, we redefine risk occurrence in different sub-processes to make the model more meaningful and practical. Furthermore, compared with existing literature, our goal is to find the key point for risk management rather than predicting the risk or calculating the probability of risk occurrence."] ["The first part, the development process, is defined according to software process definition in the ISBSG standard (International Software Benchmarking Standards Group). It includes six processes: Planning, Requirement, Design, Development, Testing and Implementation. In this paper, software development process is specified as a sub-process in the software process. It refers to software module coding, module validation, and module integration. It is the center of the integrated model. The second part, risk management process, is designed to identify and control risks with checklists and case library in each step of the software process throughout the software lifecycle. In addition, deliverables of every process are considered as the third part, which affect software product trustworthiness directly. Consequently, software development, risk management and product trustworthiness are linked together, as a whole framework [30]."] ["To obtain project managers’ views and understanding about software process risk for different software development environments and different software companies, we designed a questionnaire for discovering the risk occurrence probability, and the impact on trustworthiness. Since lack of clarity about the definition of trustworthiness of software may lead to misleading conclusions, the definition of trustworthy software was explained to all respondents. In practice, requirements are consistent with the contracts. The questionnaire is comprised of four parts, as follows. Part A. The basic personal information and enterprise backgrounds of respondents. Part B. The performance of the last software project process. It includes software performance, degree of ease or difficulty of maintaining the software, degree of function completion, budget utilization and the gap with the original schedule. Part C. Occurrence or otherwise and influence on software trustworthiness, of the six categories of risk factors, during the six software processes. This part helps use the Bayesian network model to learn parameters of the network. Part D. The basic influencing relationships among the factors during the whole software process. These data are gathered for identifying cause-effect relationships among factors to construct the initial Bayesian network."] ["Based on risk factors during the whole software process, and the cause-and-effect relationships among factors, a conceptual BN model was built. The figure is graphed by GeNie 2, which is developed by the Decision Systems Laboratory of the University of Pittsburgh (Fig. 4). The oval nodes of the network indicate the process risk factors in different sub-processes. Arcs between two oval nodes at different sub-processes indicate the influence of nodes at arc tails, and on the nodes at the heads. All risk factors in each process influence its sub-product (in rectangle), which affects the final trustworthiness equally."]</t>
  </si>
  <si>
    <t>Literature review, meta-analysis, interviews, risk-centric modeling</t>
  </si>
  <si>
    <t>Survey with practitioners, risk-centric modeling</t>
  </si>
  <si>
    <r>
      <rPr>
        <rFont val="Arial"/>
        <color theme="1"/>
        <sz val="10.0"/>
      </rPr>
      <t>["BN is a useful tool to integrate various kinds of information and in particular to study the risk's transfer and accumulation. DAG models the set of relationships among the risk factors; each of a DAG's nodes represents a risk factor and the arcs are the causal or influential links between the risk factors. "] ["5.3.Research framework for risk identification Software risk identification is the first and critical activity adopted in software risk management process. For a reasonable and practical risk checklist we define our theoretical research model, which provides insights into checklist construction. As shown in Fig.3, it includes three phases: variable analysis, network construction and risk analysis.In the first phase (</t>
    </r>
    <r>
      <rPr>
        <rFont val="Arial"/>
        <b/>
        <color theme="1"/>
        <sz val="10.0"/>
      </rPr>
      <t>variable analysis</t>
    </r>
    <r>
      <rPr>
        <rFont val="Arial"/>
        <color theme="1"/>
        <sz val="10.0"/>
      </rPr>
      <t xml:space="preserve">), through </t>
    </r>
    <r>
      <rPr>
        <rFont val="Arial"/>
        <b/>
        <color theme="1"/>
        <sz val="10.0"/>
      </rPr>
      <t>review of the literatures and expert opinions in industrial standards</t>
    </r>
    <r>
      <rPr>
        <rFont val="Arial"/>
        <color theme="1"/>
        <sz val="10.0"/>
      </rPr>
      <t xml:space="preserve">, we can get a crude risk checklist of software process through the </t>
    </r>
    <r>
      <rPr>
        <rFont val="Arial"/>
        <b/>
        <color theme="1"/>
        <sz val="10.0"/>
      </rPr>
      <t>meta-analysis</t>
    </r>
    <r>
      <rPr>
        <rFont val="Arial"/>
        <color theme="1"/>
        <sz val="10.0"/>
      </rPr>
      <t xml:space="preserve">. This phase is the basis of our research. Then we design the </t>
    </r>
    <r>
      <rPr>
        <rFont val="Arial"/>
        <b/>
        <color theme="1"/>
        <sz val="10.0"/>
      </rPr>
      <t>questionnaires</t>
    </r>
    <r>
      <rPr>
        <rFont val="Arial"/>
        <color theme="1"/>
        <sz val="10.0"/>
      </rPr>
      <t xml:space="preserve"> to obtain the risk knowledge of practitioners. After data collection, we can get a preliminary process risk checklist. In the second phase (</t>
    </r>
    <r>
      <rPr>
        <rFont val="Arial"/>
        <b/>
        <color theme="1"/>
        <sz val="10.0"/>
      </rPr>
      <t>network construction</t>
    </r>
    <r>
      <rPr>
        <rFont val="Arial"/>
        <color theme="1"/>
        <sz val="10.0"/>
      </rPr>
      <t xml:space="preserve">) and the third phase (risk analysis), which are the focus of this paper, we construct the network and identify the important risk factors using BN approach. After parameter learning based on BN, we can calculate the risk influence strength. Key risk nodes and risk checklist can be acquired."] ["6.1.Overview of survey data </t>
    </r>
    <r>
      <rPr>
        <rFont val="Arial"/>
        <b/>
        <color theme="1"/>
        <sz val="10.0"/>
      </rPr>
      <t>The meta-analysis approach and unstructured interviews are conducted with an expert group</t>
    </r>
    <r>
      <rPr>
        <rFont val="Arial"/>
        <color theme="1"/>
        <sz val="10.0"/>
      </rPr>
      <t xml:space="preserve">. This group is composed of more than 20 software project managers and software process management researchers. </t>
    </r>
    <r>
      <rPr>
        <rFont val="Arial"/>
        <b/>
        <color theme="1"/>
        <sz val="10.0"/>
      </rPr>
      <t>Then 52 risk factors affecting the software trustworthiness are extracted from various risk factors by these experts</t>
    </r>
    <r>
      <rPr>
        <rFont val="Arial"/>
        <color theme="1"/>
        <sz val="10.0"/>
      </rPr>
      <t>.To obtain project managers' understanding about software process risk for diffferent industry software development environments and different software companies, we have designed the questionnaire for discovering the risk occurrence probability and its impact to trustworthiness. Because lacking of clarity in defining trustworthy software may lead to misleading conclusions from the questionnaires, the definition of trustworthy software was explained to all respondents at the start of questionnaires clearly. In the questionnaires, software trustworthiness is defined as the level of software product meeting the requirements of users. The demands include software component, application, system and network.</t>
    </r>
    <r>
      <rPr>
        <rFont val="Arial"/>
        <b/>
        <color theme="1"/>
        <sz val="10.0"/>
      </rPr>
      <t>The questionnaire is composed of the following four parts</t>
    </r>
    <r>
      <rPr>
        <rFont val="Arial"/>
        <color theme="1"/>
        <sz val="10.0"/>
      </rPr>
      <t>:Part A.The basic personnel information and enterprise backgrounds of the respondents. Part B.The performance of the last software project process.It includes software performance, dificulty level to maintain the software, function completion degree,budget utilization and the gap with the original planning schedule.Part C.Occurrence and influence on software trustworthiness of the 52 risk factors during six software processes (Planning process; Requirement process; De-sign process; Development process; Testing process; Implementation process).This part aims to help us use the BN model to learn the parameters of the network.</t>
    </r>
    <r>
      <rPr>
        <rFont val="Arial"/>
        <b/>
        <color theme="1"/>
        <sz val="10.0"/>
      </rPr>
      <t>Part D.The basic influence relationships among the factors during the whole software process.These data are gathered to identify cause–effect relationships among factors to construct the initial BN.</t>
    </r>
    <r>
      <rPr>
        <rFont val="Arial"/>
        <color theme="1"/>
        <sz val="10.0"/>
      </rPr>
      <t>The questionnaire consists of six risk categories (Requirement risk; Projectmanagement risk; Technical risk; Developer risk; User risk; Organization and envi-ronment risk) with 58 questions. The question form of the questionnaire is designed as shown in Table1. Each risk category contains several questions and these 52 risk factors information are grouped into the six risk categories."] ["6.2.Bayesian network construction The software process is the origin of the software. The trustworthiness of software product would be affected by all the risk factors during the software process. Because of risk transfer and accumulation mechanism, six categories or 52 types of risk factors in each individual sub-process transfer and accumulate continuously by affecting the occurrence probability of risk factors in the next sub-process.Every risk occurrence during the software process could make influence on the final product trustworthiness on varying levels. Furthermore, software trustwor-thiness includes several attributes. Different deliverables or services of sub-processes would influence the trustworthiness attribute values of the software product differ-ently. These differences on influence levels can be denoted by a risk impact matrix which is determined by experts according to the demand of product. Without loss of generality, in this paper the risk impact matrix is defined as a matrix which has the same element, that is, each sub-product has the equivalent influence on every trustworthiness attribute. Therefore, the final trustworthiness value equals to the sum of all the risk impact as shown in Fig.5.Based on the risk factors during the whole software process and the cause-and-effect relationships among risk factors, a conceptual BN model was constructed using GiNIe (See Fig.6). The oval nodes of the network indicate the process risk factors in different sub-processes. All the arcs between every two oval nodes at adjacent sub-processes indicate the influence of nodes at arc tails on the nodes at heads."]</t>
    </r>
  </si>
  <si>
    <t>Survey with practitioners, the Expectation-Maximization (EM) algorithm</t>
  </si>
  <si>
    <t>S102</t>
  </si>
  <si>
    <t>P145</t>
  </si>
  <si>
    <t>Lee, S. J., &amp; Jung, W.</t>
  </si>
  <si>
    <t>Estimation of Remained defects in a Safety-Critical Software using Bayesian Belief Network of Software Development Life Cycle</t>
  </si>
  <si>
    <t xml:space="preserve">Transactions of the Korean Nuclear Society Autumn Meeting </t>
  </si>
  <si>
    <r>
      <rPr>
        <rFont val="Arial"/>
        <color theme="1"/>
        <sz val="10.0"/>
      </rPr>
      <t xml:space="preserve">["The </t>
    </r>
    <r>
      <rPr>
        <rFont val="Arial"/>
        <b/>
        <color theme="1"/>
        <sz val="10.0"/>
      </rPr>
      <t>questionnaire is composed of the following four parts</t>
    </r>
    <r>
      <rPr>
        <rFont val="Arial"/>
        <color theme="1"/>
        <sz val="10.0"/>
      </rPr>
      <t>:Part A.The basic personnel information and enterprise backgrounds of therespondents.Part B.The performance of the last software project process.It includes softwareperformance, di±culty level to maintain the software, function completion degree,budget utilization and the gap with the original planning schedule.</t>
    </r>
    <r>
      <rPr>
        <rFont val="Arial"/>
        <b/>
        <color theme="1"/>
        <sz val="10.0"/>
      </rPr>
      <t>Part C.Occurrence and influence on software trustworthiness of the 52 risk factors during six software processes (Planning process; Requirement process; De-sign process; Development process; Testing process; Implementation process).This part aims to help us use the BN model to learn the parameters of the network</t>
    </r>
    <r>
      <rPr>
        <rFont val="Arial"/>
        <color theme="1"/>
        <sz val="10.0"/>
      </rPr>
      <t xml:space="preserve">.Part D.The basic influence relationships among the factors during the whole software process.These data are gathered to identify cause–effect relationships among factors to construct the initial BN.The questionnaire consists of six risk categories (Requirement risk; Projectmanagement risk; Technical risk; Developer risk; User risk; Organization and envi-ronment risk) with 58 questions. The question form of the questionnaire is designed as shown in Table1. Each risk category contains several questions and these 52 risk factors information are grouped into the six risk categories. Plan, Spec, Design, Build, Test and Imple represent Planning process, Requirement process, Design process, Development process, Testing process and Implementation process, respectively. </t>
    </r>
    <r>
      <rPr>
        <rFont val="Arial"/>
        <b/>
        <color theme="1"/>
        <sz val="10.0"/>
      </rPr>
      <t>The respondent fills in the questionnaire according to his/her experience</t>
    </r>
    <r>
      <rPr>
        <rFont val="Arial"/>
        <color theme="1"/>
        <sz val="10.0"/>
      </rPr>
      <t xml:space="preserve">. During six sub-processes, GeNIe (http://genie.sis.pitt.edu/) and Elvira (http://www.ia.uned.es/elvira/index-en.html) are used to develop the BN-based model based on the six risk categories and the cause–e®ect relationships of risk factors. Finally, the occurrence probability and in°uence of process risk factors can be inferred by applying the BN model. (...) To preserve the information of the survey data in the great extent, </t>
    </r>
    <r>
      <rPr>
        <rFont val="Arial"/>
        <b/>
        <color theme="1"/>
        <sz val="10.0"/>
      </rPr>
      <t>we choose the expectation maximization (EM) algorithm as the parameter learning approach to find a locally optimal maximum likelihood estimation of the parameters in GeNIe</t>
    </r>
    <r>
      <rPr>
        <rFont val="Arial"/>
        <color theme="1"/>
        <sz val="10.0"/>
      </rPr>
      <t>. Using the BN parameter learning approach, the CPTs are calculated. Then the BN with parameters can be obtained as shown in Fig. 7."]</t>
    </r>
  </si>
  <si>
    <r>
      <rPr>
        <rFont val="Arial"/>
        <color theme="1"/>
        <sz val="10.0"/>
      </rPr>
      <t xml:space="preserve">No mention of quantitative performance metrics (e.g., accuracy, precision, ROC) against ground truth or separate test data. ["Furthermore, we can construct the BN by using 52 types of risks instead of the six categories of risks. Similarly, through BN learning, we can get the probability of every risk factor. The top 20 process risk factors ordered by the impact can be shown in Table 2 after normalization. This table can be used in the software process risk management directly after customization. </t>
    </r>
    <r>
      <rPr>
        <rFont val="Arial"/>
        <b/>
        <color theme="1"/>
        <sz val="10.0"/>
      </rPr>
      <t>In our checklist, every risk has its probability and impact value in each individual sub-process</t>
    </r>
    <r>
      <rPr>
        <rFont val="Arial"/>
        <color theme="1"/>
        <sz val="10.0"/>
      </rPr>
      <t xml:space="preserve">. According to this checklist, requirement risk of requirement analysis sub-process; technical, developer risk and project management risk of development sub-process and project management risk of development sub-process should be paid more attention in risk management. For example, unclear system requirement, client's lack of knowledge about the software requirements, incorrect system requirement, continually changing system requirements, undefined project success criteria and conflicting system requirements are the most important risks during requirement analysis process. In addition, </t>
    </r>
    <r>
      <rPr>
        <rFont val="Arial"/>
        <b/>
        <color theme="1"/>
        <sz val="10.0"/>
      </rPr>
      <t>Han and Huang have provided the top 10 software risks</t>
    </r>
    <r>
      <rPr>
        <rFont val="Arial"/>
        <color theme="1"/>
        <sz val="10.0"/>
      </rPr>
      <t xml:space="preserve">, which are Continually changing system requirements, System requirements not adequately identified, Unclear system requirements, Lack of an effective project management methodology, Incorrect system requirements, Poor project planning, Inadequate estimation of required resources, Project involved the use of new technology, Project progress not monitored closely enough, Corporate politics with negative effect on project, respectively. </t>
    </r>
    <r>
      <rPr>
        <rFont val="Arial"/>
        <b/>
        <color theme="1"/>
        <sz val="10.0"/>
      </rPr>
      <t>We can find that most of these risks are also included in our risk checklist. Both of us consider that requirement risk and project management risk are the two important risk categories that are more likely to generate the risk factors with high negative impacts. Besides of the two important risk categories, we also consider that technical risk and developer risk are another important risk categories for concern. Therefore, our risk checklist is more comprehensively to some extent, which can give a more effective decision support for project managers.</t>
    </r>
    <r>
      <rPr>
        <rFont val="Arial"/>
        <color theme="1"/>
        <sz val="10.0"/>
      </rPr>
      <t>"]</t>
    </r>
  </si>
  <si>
    <t>Survey with practitioners, correlation analysis</t>
  </si>
  <si>
    <r>
      <rPr>
        <rFont val="Arial"/>
        <color theme="1"/>
        <sz val="10.0"/>
      </rPr>
      <t xml:space="preserve">["In  order  to  construct  our  proposed  model,  </t>
    </r>
    <r>
      <rPr>
        <rFont val="Arial"/>
        <b/>
        <color theme="1"/>
        <sz val="10.0"/>
      </rPr>
      <t>we  investigated  several  other  related  studies  in  order  to  frame  the concept   of   ‘success’.</t>
    </r>
    <r>
      <rPr>
        <rFont val="Arial"/>
        <color theme="1"/>
        <sz val="10.0"/>
      </rPr>
      <t xml:space="preserve">   Several   studies   suggested   that,   in general,  software  development  can  be  framed  in  terms  of both  the software  development  process (which contributes to   or   drives   a   ‘successful’   project),   and   the   product/outcome of that process (the resulting system) </t>
    </r>
    <r>
      <rPr>
        <rFont val="Arial"/>
        <b/>
        <color theme="1"/>
        <sz val="10.0"/>
      </rPr>
      <t>(McConnell,1996;  Saarinen,  1996;  Baccarini,  1999;  Linberg,  1999</t>
    </r>
    <r>
      <rPr>
        <rFont val="Arial"/>
        <color theme="1"/>
        <sz val="10.0"/>
      </rPr>
      <t xml:space="preserve">)."] ["As  mentioned  earlier,  </t>
    </r>
    <r>
      <rPr>
        <rFont val="Arial"/>
        <b/>
        <color theme="1"/>
        <sz val="10.0"/>
      </rPr>
      <t>our  findings  are  based  on  information   gathered   through   surveying   software   practitioners</t>
    </r>
    <r>
      <rPr>
        <rFont val="Arial"/>
        <color theme="1"/>
        <sz val="10.0"/>
      </rPr>
      <t xml:space="preserve"> about recently completed development projects with which they  were  involved.  Our  </t>
    </r>
    <r>
      <rPr>
        <rFont val="Arial"/>
        <b/>
        <color theme="1"/>
        <sz val="10.0"/>
      </rPr>
      <t>review  of  the  software  project management literature suggested early, non-technical items that  are  important  to  the  development  process,  as  well  as possible causal relationships amongst these items</t>
    </r>
    <r>
      <rPr>
        <rFont val="Arial"/>
        <color theme="1"/>
        <sz val="10.0"/>
      </rPr>
      <t xml:space="preserve">. </t>
    </r>
    <r>
      <rPr>
        <rFont val="Arial"/>
        <b/>
        <color theme="1"/>
        <sz val="10.0"/>
      </rPr>
      <t>We then investigated  whether  our  data  were  in  agreement  with  the literature through analysis of correlation</t>
    </r>
    <r>
      <rPr>
        <rFont val="Arial"/>
        <color theme="1"/>
        <sz val="10.0"/>
      </rPr>
      <t>, which we detail in the  Data  Analysis  section.  Next,  we  constructed  a  (admittedly  simplified)  Bayesian  model  that  included  items  we investigated.   We   also   explain   how   we   chose   the   items included  in  the  model  in  the  Data  Analysis  section.  The model is intended to serve as a mathematical representation of  early  software  development  issues  that  can  be  used  to model   the   impact   of   specific   items   related   to   sponsor management   support   and   participation,   customer/user support  and  participation,  and  requirements  management on    project    success.    Through    mathematically    holding constant  the  value  of  a  particular  component(s)  within our  proposed  model,  we  can  isolate  the  impact  of  that item(s),   and   thereby   demonstrate   the   potential   ‘down-stream’   implications   of   the   actions   (or   inactions)   of management  on  the  development  process  through  propagation    of    the    associated    probabilities. "] ["</t>
    </r>
    <r>
      <rPr>
        <rFont val="Arial"/>
        <b/>
        <color theme="1"/>
        <sz val="10.0"/>
      </rPr>
      <t xml:space="preserve">We  used  an  analysis  of  bivariate  correlation  and  ordinal regression    to    investigate    the    appropriateness    of    our proposed   Bayesian   model.   These   methods   are   briefly discussed  below,  along  with  associated  results.  We  recognize   that   such   an   analysis   only   provides   evidence   to support   an association between   items,   and   not   direct evidence of causality. However, the results of this analysis, combined  with  our  literature  review,  provide  the  basis  for our    proposed    probable    causal    relationships    between specific   items. </t>
    </r>
    <r>
      <rPr>
        <rFont val="Arial"/>
        <color theme="1"/>
        <sz val="10.0"/>
      </rPr>
      <t xml:space="preserve">  The   complexity   of   our   proposed   model became exponentially more complicated and more difficult to understand as we added additional items. As a result, we sought  to  limit  the  complexity  of  the  proposed  model. Several  of  the  items  investigated  were  not  included  in  our model  because  they  either  had  relatively  weak  support  in the   literature,   were   only   related   to   the   organizational/managerial perception of success and/or resulted in causal ‘dead ends’ (i.e. did not relate, either directly or indirectly, to practitioner’s  overall perception of success Q6.01)."] ["</t>
    </r>
    <r>
      <rPr>
        <rFont val="Arial"/>
        <b/>
        <color theme="1"/>
        <sz val="10.0"/>
      </rPr>
      <t>Analysis  of  bivariate  correlation  and  ordinal  regression provided  support  for  the  eight  proposed  causal  relation-ships</t>
    </r>
    <r>
      <rPr>
        <rFont val="Arial"/>
        <color theme="1"/>
        <sz val="10.0"/>
      </rPr>
      <t xml:space="preserve">. "] ["Our model was populated with empirical data (provided by respondents of our survey), but as noted previously, </t>
    </r>
    <r>
      <rPr>
        <rFont val="Arial"/>
        <b/>
        <color theme="1"/>
        <sz val="10.0"/>
      </rPr>
      <t>its structure is based on expert opinion (i.e., literature review)</t>
    </r>
    <r>
      <rPr>
        <rFont val="Arial"/>
        <color theme="1"/>
        <sz val="10.0"/>
      </rPr>
      <t>."]</t>
    </r>
  </si>
  <si>
    <t>Survey with practitioners, frequency quantification from historical/empirical data</t>
  </si>
  <si>
    <r>
      <rPr>
        <rFont val="Arial"/>
        <color theme="1"/>
        <sz val="10.0"/>
      </rPr>
      <t xml:space="preserve">["These probabilities can come from empirical data and/or expert opinion. </t>
    </r>
    <r>
      <rPr>
        <rFont val="Arial"/>
        <b/>
        <color theme="1"/>
        <sz val="10.0"/>
      </rPr>
      <t>Our model was populated with empirical data (provided by respondents of our survey)</t>
    </r>
    <r>
      <rPr>
        <rFont val="Arial"/>
        <color theme="1"/>
        <sz val="10.0"/>
      </rPr>
      <t xml:space="preserve">, but as noted previously, its structure is based on expert opinion (i.e., literature review). The CPT of a node that is not directly dependent on any other items (i.e., represent a ‘root’ node) is simply the </t>
    </r>
    <r>
      <rPr>
        <rFont val="Arial"/>
        <b/>
        <color theme="1"/>
        <sz val="10.0"/>
      </rPr>
      <t>frequency</t>
    </r>
    <r>
      <rPr>
        <rFont val="Arial"/>
        <color theme="1"/>
        <sz val="10.0"/>
      </rPr>
      <t xml:space="preserve"> of that item taking on each possible value (again, all probabilities totaling 1.00)."] ["The overall propagated probabilities from the model and </t>
    </r>
    <r>
      <rPr>
        <rFont val="Arial"/>
        <b/>
        <color theme="1"/>
        <sz val="10.0"/>
      </rPr>
      <t>relative frequencies from the sample</t>
    </r>
    <r>
      <rPr>
        <rFont val="Arial"/>
        <color theme="1"/>
        <sz val="10.0"/>
      </rPr>
      <t xml:space="preserve"> are shown in Table 1. Note should be made of the relatively low counts (N) associated with responses 1, 2 and 3. In order to provide a baseline measure of the variability of the estimates in our proposed model, we constructed 95% probability intervals for each of the relative frequencies in the table. The probability interval is a Bayesian construct similar to the confidence interval of traditional statistics (Neapolitan, 2004). We began the construction assuming no prior information about the relative frequencies, that is, the frequencies of Table 1 follow the Dirichlet distribution and all combinations of relative frequencies that sum to one are equally likely. We then updated our prior distribution using the sample data and calculated the boundaries of the middle 95% of the posterior distribution for each response (also included in Table 1)."]</t>
    </r>
  </si>
  <si>
    <r>
      <rPr>
        <rFont val="Arial"/>
        <color theme="1"/>
        <sz val="10.0"/>
      </rPr>
      <t xml:space="preserve">["Evaluation of model’s ability to predict project success We evaluated our critical path model’s ability to predict project success from early events within the software development process using </t>
    </r>
    <r>
      <rPr>
        <rFont val="Arial"/>
        <b/>
        <color theme="1"/>
        <sz val="10.0"/>
      </rPr>
      <t>10-fold cross validation</t>
    </r>
    <r>
      <rPr>
        <rFont val="Arial"/>
        <color theme="1"/>
        <sz val="10.0"/>
      </rPr>
      <t xml:space="preserve"> (Witten and Frank, 2000). (Responses of 1, 2 and 3 were collapsed into one response category.) The model achieved a 71% average accuracy rate. To put this result in perspective, consider Table 1, which shows that 50.62% of our sample projects were rated at 4. A naı¨ve model that predicts 4 for every project will achieve 50% accuracy, so we can say our critical path model provides a 40% increase in accuracy compared with informed guessing."]</t>
    </r>
  </si>
  <si>
    <t>S105</t>
  </si>
  <si>
    <t>P148</t>
  </si>
  <si>
    <t>["3. ARCHITECTURE OF MAST Based on research findings (Sharpa et al., 2001) and extensive interviews with 31 software professionals, we identified that due to the following risk factors, staff may be required to undergo training. 1. Lack of experience with project software (software involved in making the project was new to the employees). 2. Newly appointed staff (company was short of experienced staff and hence people who were fresh to the software industry were recruited). 3. Staff not well versed with the required quality standards (not aware of the standard of quality presently required, which may be due to increased priority and importance of present project or update in the company's CMM level). 4. Lack of experience with project environment (staff may not be familiar with the terminology or the processes involved in the project. For example, an employee involved may not be familiar with banking domain). MaST used ID (Influence Diagrams) to calculate the percentage of staff training required and cost of conducting this training. The risk factors mentioned above were represented by chance nodes i.e. circles/ovals and 'Staff Training' which was dependent on the probability of occurrence of these risk factors was also represented by a chance node as shown in Figure 2. Because the above four risk factors have an impact on staff training, arcs are drawn with the tails on these risk factors and the heads toward 'Staff Training' to indicate the cause-effect relationship as discussed in Section 1.2. In other words, staff training node was driven by these four risk factors. Conducting staff training has a cost and was represented by utility node (diamond shaped) as shown in Figure 2. This cost was dependent on amount of staff training required. So, an arc was dra\\n from node'Staff Training' to 'Cost'."] ["For each node (of ID) of MaST, a measurement scale, i.e. a categorization such as probable, possible, yes, no, etc. of possible outcomes, was required. This categorization was required to be as close as possible to the way the management conducts assessment in that organization, so that MaST fits well into the organization. By expert interviews and experiments, the best scale for MaST chance nodes (mentioned in the beginning of Section 3) was found to be "Probable", "Possible", or "Remote". "Probable" if the risk was found to occur very frequently, "Possible" if found to occur less frequently, and "Remote" if found to occur rarely in the staff allocated to the present SDP. Similarly, for 'StaffTraining' it was deduced to be "Yes", "No"."]</t>
  </si>
  <si>
    <t>Expert elicitation, direct function (e.g., sum, formula)</t>
  </si>
  <si>
    <t>["Prior probabilities, also called initial probabilities, were allocated to these outcomes by the project managers, on the basis of staff involved and the type of project under consideration. Let us assume that the managers found each of the three possible outcomes of each risk factor to be equally probable. So, the value of 1/3 = 0.33333 was assigned to each one of these. Similarly, prior probabilities for 'Staff Training' with both outcomes equally probable are 1/2 = 0.5 as shown in Figure 3. (...) To perform calculations, the categories of the outcomes of risk factors {Probable, Possible, Remote} were required to be mapped to some numeric values. The default for this was assumed to be {0.99999, 0.5, 0.00001}, meaning that if a particular risk factor's occurrence was highly probable, then its value would be 0.99999 (very high); if moderate, then it would be 0.5 (medium), and if significantly less, then it would be set to 0.00001 (very low). All the risk factors do not have the same impact on staff training. So, after identifying the probability of risk, it was required to identify the risk severity level (i.e. loss that could occur due to a particular risk factor). The default scale for this impact was 0-10 (0 for the risk with negligible impact and 10 for the risk with catastrophic impact). The impact of the risk factor was calculated on the basis of experience."]</t>
  </si>
  <si>
    <t>["3.3 Implementation of MaST As shown in Figure 4, project managers (users) can enter the impacts of all the four risk factors in the range 0-10. After accepting inputs from the user, MaST asked for another set of inputs, as shown in Figure 5. By using this interface, users can set the probability/likelihood of occurrence of the risk factors depending on the staff allocated to the project. On the other hand, in the background, MaST will generate the ID (.xdsl file) that could be viewed by.using GeNIe (see Figure 3).Worth mentioning is that GeNIe is a development environment (developed at the Decision Systems Laboratory) for building graphical decision-theoretic models. To generate ID, conditional probability tables (CRT) were generated for the node 'Staff Training'. This table contains probabilistic information that relates conditional events, i.e., the four risk factors mentioned in Section 3. This CPT was calculated by MaST on multiplyingprobability of occurrence of each risk factor (r) and its impact or severity level (e) as entered in Figures 4 and 5. This was called risk exposure (re), see equation (1), because it calculates the exposure of system under consideration to overall risk of damage. (...) Explanation of the function generateCPT The function 'add' was the contribution of a particular risk factor to the overall requirement of "Staff Training". These values were obtained by feedback from 31 software professionals and by conducting number of experiments. If the risk exposure re for a particular risk factor came to be less than 1.0, this meant that the risk had a negligible impact on staff training. In other words, the risk produced negligible loss and thus can be ignored. If re happened to be between 1.0 and 2.0, then it had a small impact and as a result, 0.5 was added to the overall impact as its contribution. Similarly, if re came to be between 2.0 and 3.0, then 1.0 was added as its contribution, and so on, meaning that as the risk exposure increased, the contribution of the risk of the risk factors to the requirement of staff training also increased. The overall risk exposure was divided by 10 to obtain the result in terms of the probability scale 0-1. Even if / happened to be greater than 1 , / was reset to 1as shown in the function generateCPT. For instance, if the impacts for the risk factors were as shown in Figure 4 and probability of occurrence of the risk factors were as entered in Figure 5, then Table 1 shows how a single conditional probability value was calculated. According to the values entered in Table 1, "Lack of experience with project software" contributed 1.0 as its risk exposure (3.0) was between 2 an 3 ,"Newly Appointed Staff did not contribute as its risk exposure was very low and had a negligible impact, "Lack of experience with project environment" contributed 1.5 as its risk exposure (3.99996) was between 3 and 4 and "Staff not Well Versed with Quality Standards" contributed 0.5 as its risk exposure (1) is between 1 and 2. According to the function generateCPT, contributions from all the risk exposures are to be added. The overall impact of all risk factors 1 = 1.0 + 1.5 + 0.5 = 3.0. Actual Conditional Probability (P) = 1/10 = 0.3."] ["This paper has presented a study on using an ID to help manage training of the staff indulged in a SDP. In general, the amount of staff s training is hard to predict. Most of the available management tools are unable to pre-calculate the actual cost of conducting such a training program. But in the tool described here, we used IDs to store probability distributions of staff training based on risk factors to calculate a more accurate probability of staff training, as well as the cost of conducting such training. So far, we have applied this tool to a couple of projects and the results were quite encouraging."]</t>
  </si>
  <si>
    <t>Ł Radliński, N Fenton, M Neil…</t>
  </si>
  <si>
    <t>["3.1. Construction of BBN topology The construction of a BBN is made by combining the target node(s) with the observable nodes and the intermediate nodes. The aim is to combine all available relevant information into the net. One way to do it is to start from a target node and draw edges to nodes influencing this. Then from these nodes draw edges to new nodes. In this way one will gradually build up a large BBN. One problem, however, is to decide when to stop, i.e. how much detail does one want to have in the BBN? The practical procedure is to start with constructing a BBN, containing nodes representing high level information. The diagram in Fig. 1 is not itself a BBN, but quite similar, so it is fairly straightforward to construct a high level BBN for safety assessment based on this. Then one can construct more detailed BBNs for the separate nodes in this BBN. As an example a more detailed BBN is shown in Fig. 3 with the node ‘production quality’ as target node. The observable nodes are represented as ovals and the intermediate nodes as circles. There is no unique way to construct a BBN. It is to a large degree based on experience and judgement. This concerns the choice of nodes, and the degree of detail one will include in the diagram. Another question is the edges and how to decide the direction between them. A rule for BBNs in general is to follow the causal direction, but this direction is not always obvious, in particular between nodes representing qualitative variables. In such cases the direction of the arrow between the nodes goes from higher abstraction to lower abstraction, or from the more general concept to the more detailed. A general interpretation of an arrow between two nodes A and B is that a ‘belief’ in A implies expectations on B. In this way of constructing a BBN, all observable nodes are end nodes in the diagram. This way has the advantage that statistical dependence between observations are properly treated through the hidden variables behind them. (Notice that in this fashion the arrows go in the opposite direction to the edges in Fig. 1). The intention is to connect the ‘production quality’ node with evidence for quality represented by observable nodes, through intermediate nodes. The highest node in this figure is the ‘producer quality’. This is a hidden variable representing a fairly abstract quantity, which manifests itself through the variables it influences in adjacent nodes. The producer quality has a direct influence on the production quality, as indicated by an arrow. But this influence can also be seen indirectly, through the process by which the system is actually developed. This is shown by the edge to the node ‘development quality’, which again has an edge to the node ‘production quality’. It has, however, also an edge leading to the node ‘documentation’. This should be interpreted such that the quality of the development process influences the quality of the documentation from the development. The latter is an observable, and one may put some kind of measures on the documentation quality. Another edge from ‘producer quality’ leads to the node ‘quality assurance policy’. The arrow of the edge between them could be expressed as: ‘‘the higher the quality of a producer, the more probable that he has a good quality assurance policy and uses good development methods’’. The further argument is that a good quality assurance policy implies that accepted quality assurance standards are followed, and this can be observed. It also implies that a strict quality control is followed, and this may be observed through the quality assurance control documents, which are also observable. The producer quality also has impact on the reliability of other products from the same producer. This again will clearly influence the number of failures observed in these products, which can be directly measured. However, the number of failures found in these products are clearly dependent on the amount of user experience with these products, i.e. the more these products are used, the higher is the likelihood that any inherent faults in the product will be revealed through an observed failure. This user experience can be observed through user reports, which is an observable node."]</t>
  </si>
  <si>
    <t>It mentions Bayes methodology and provides an example of a CPT.</t>
  </si>
  <si>
    <t>A learning Bayesian net for predicting number of software defects found in a sequence of testing</t>
  </si>
  <si>
    <t>["One objective of this work is to investigate how the network, representing the software-safety guideline RTCA/DO-178B and different quality aspects (Gran et al. 2000), can be merged with a network, developed by VTT (Helminen 2000), representing evidence from disparate operational environments. This paper describes experiences from both projects."] ["When building larger-scale BBNs, this procedure is rather effort consuming. Neil et  al.(2000) offered a solution based on building blocks (idioms) that serve as solution patterns. These can then be combined into larger BBNs. This approach is, for example, applied in the SERENE project (1999) and it has been applied to construct  large-scale BBNs for predicting  software safety. The use of idioms is also applied for the construction of the BBNs presented below. However, the BBNs are not of such a large scale, so it is also possible to argue through the `causal direction approach’."] ["3.3.Construction of BBN on the higher level The BBN for DO-178B was constructed at two levels. The higher level shows how nodes representing four quality aspects are combined with other nodes in the net and this leads to a node `P(failed state)’ representing the `probability of finding the system in a failed state’(Figure 3). The lower level shows how nodes representing the four quality aspects are related to objectives of DO-178B: (...) In addition to the quality nodes, it includes the nodes `problem complexity’ and `solution complexity’. The initial nodes or top nodes are the nodes: `Qproducer’ and `problem complexity’, where the latter is an attribute of the system to be developed, and can be assessed. It was assumed that the `Qproducer’ directly influences the `Qprocess’, and that `solution complexity’ was influenced  by the  initial  `problem  complexity’  and `Qprocess’. The same dependencies were assumed for the `Qproduct’. Remarkably, however, that this does not mean that the product quality depends only upon how difficult it is to fulfil the requirements (the complexity of the problem) and upon how good the development process handle complex systems. An assessment of the product will also be based upon assessments of the lower nets. `Qanalysis’ was assumed to be influenced by `Qproducer’, how well prepared the organization was to perform an analysis, and `solution complexity’, how difficult it was to analyse. All assumptions were in accordance with BBNs presented in the SERENE project(1999) and networks presented by the HRP project (Dahll and Gran 2000)."] ["3.4.Construction of BBN on the lower level We constructed a lower-level BBN for each of the four quality aspects. This was done by first putting the quality aspects as top nodes in the BBNs. Each top node was then linked to intermediate nodes representing the 10 lifecycle stages represented by tables A1-10 of DO-178B. Each node was again linked to other intermediate nodes, representing the objectives of the tables.The associating of the different objectives to the different quality aspects was done by a group of experts related to the standard itself, the development in accordance with the standard, and experts within safety assessment of critical systems. Each objective was identified to belong to one or more of the quality aspects. In addition, a stage `hmi-aspects’ representing objectives related to human-machine interfaces was added. The further step was to identify a list of questions to each objective. The questions were based on the understanding of the text in the main part of DO-178B, and then formulated so that the answer could be given by a `yes’ or a `no’. Figure 4 shows an example representing the list of questions associated with two of the objectives for the software development process (A2) related to the quality of analyses. A list of the questions identified related to the `quality of product’ for (A2  ) is given in table2."] ["3.7.Experiences from the M-ADS project One objective of the project was to investigate the possibility to transfer the requirements of a software safety standard into a BBN. A review of various software standards revealed that they are built on the same basic framework,  and  follow  the  same principles, although they may differ in the aspect they put special emphasis on. The results and experiences with using the avionics standard DO-178B in the test case can therefor be seen as representative also for other software safety standards, including those used in the nuclear industry. The BBN was constructed in two levels. The higher level was based on the four qualities: quality of the producer, quality of the production, quality of the product and quality of the analysis is general, and it was independent of the standard. The lower-level BBN reflected the recommendations of DO-178B, in the way that the four qualities were represented as top nodes in four sub-BBNs, whereas the objectives given in the tables in appendix A of DO-178B were represented as observable end nodes in the BBNs. These objectives were transformed into questions, and the answers to these were the observations used in the BBN computation. The construction of the BBN as was done in this study is not unique, but it should be considered as one possible solution in an experimental investigation."]</t>
  </si>
  <si>
    <t>S106</t>
  </si>
  <si>
    <t>P149</t>
  </si>
  <si>
    <t>C Zheng, J Wu, F Peng, Z Wu</t>
  </si>
  <si>
    <t>Software life cycle-based defects prediction and diagnosis technique research</t>
  </si>
  <si>
    <t>International Conference on Computer Application and System Modeling (ICCASM 2010)</t>
  </si>
  <si>
    <r>
      <rPr>
        <rFont val="Arial"/>
        <color theme="1"/>
        <sz val="10.0"/>
      </rPr>
      <t xml:space="preserve">["3.5. Elicitation of probability tables The elicitation of cpt to the nodes and edges was done as a </t>
    </r>
    <r>
      <rPr>
        <rFont val="Arial"/>
        <b/>
        <color theme="1"/>
        <sz val="10.0"/>
      </rPr>
      <t>brainstorming exercize</t>
    </r>
    <r>
      <rPr>
        <rFont val="Arial"/>
        <color theme="1"/>
        <sz val="10.0"/>
      </rPr>
      <t xml:space="preserve"> by the expert group. In gen- eral, this means that for each node, the expert group had to assess two conditional probabilities of the type P(good measurement | good quality) and P(bad measur- ement | bad quality). The ®rst probability was relatively easy to assess. Based on general knowledge and experience in soft- ware development and evaluation, it was mostly done by ranking the importance of the di_x0080_erent subnodes and giving them prede®ned probabilities such as {0.5, 0.7. 0.9, 0.95, 0.99}. The latter, however, became very di_x0081_cult. Often, where the experts had stated that there was a dependency between good quality and a speci®c good measurement, they could not state the opposite e_x0080_ect. The approach of ranking the nodes had also little success. Even if some of the project members could be considered as experts within their ®elds, it is, however, highly recommended that one makes use of some expert judgement tools or expert judgement expertise. The establishment of the BBNs and prior pdfs was rather time-consuming and would be even more so for a system. However, the generation of the BBNs was related to DO-178B and on safety assessment in general and not to the actual system. This implies that the BBNs have a general nature and can be reused in many appli- cations. They can also be gradually improved based on experience. Note too that on the lower level all nodes had only one parent (®gure 4). This made the complexity of the BBNs manageable. In the case of nodes with more incoming edges, it would be a good solution to apply the approach suggested by Neil et al (2000)."]
</t>
    </r>
  </si>
  <si>
    <t>["3.6. Computations Finally, all the BBNs were implemented, and all the cpt together with observations from the system development (KDA) were fed into the HUGIN and SERENE tools.This made it possible to make a variety of computations (Gran et al. 2000) to investigate different aspects of the methodology. What is the effect of observations during only one life cycle process? .How does the result change by subsequent inclusion of observations from the life cycle processes? .How sensitive is the result to changes in individual observations? Since the number of possible scenarios is seemingly infinite when one wants to explore both different sets of observations and prior cpts, a limited number of computations were made. However, an interesting observation was that we found surprising results that required further discussion and calculations. The results provided a list of topics for further research, both with respect to topological issues and to different cases of observations. The topics are all issues addressed through ongoing research activities. One example from this research is the importance of a good-quality assurance of the observations entered into a BBN. The trigging event was the discovery of a wrong entered observation. Correcting this error demonstrated that one negative observation can have a significant effect on partial results.The evaluation also showed that one negative observation or a set of a few negative observations is not enough to change the overall results."] ["The BBN was constructed in two levels. The higher level was based on the four qualities: quality of the producer, quality of the production, quality of the product and quality of the analysis is general, and were independent of the standard. The BBN was based on the research discussed above, but there is a need for validation and experimental investigation with respect to the network. Results obtained from calculations on the BBN (Gran et  al. 2000) seem not only to be a consequence of the `soft evidences’ in the lower level networks or the `hard evidences’ in the testing, but also a result of the underlying  topology.  The lower-level  BBN, reflecting the recommendations of RTCA/DO-178B, could also need a validation. A hypothesis is that a reallocation of objectives or questions only will give local (or partial) effects, and not changes in the overall assessment. A reason for this could be that there are a few `soft evidences’ and dependencies connecting this evidence, which is more sensitive than the other. So far, however, it has not been possible to find such evidence."]</t>
  </si>
  <si>
    <t>["4 Concepts related to our proposal This section explains factors considered to develop BN. Factors determined in articles [12,26] are the basis for this study, they did a literature review to identify and relate variables, Fig. 1 represents the structure."] ["5 Validation of factors These factors were validated through professionals in the industry of software development in Mexico. They are 16 Software Engineers from 4 companies, with different roles such as: Scrum masters, product owner, testers, software developer manager, and software architecture. They work with Scrum and use Planning Poker to assign complexity to USs, therefore, they have experience in this area. Each factor was evaluated considering the sentence: “I employ the factor X to assign complexity or importance to a user story in Scrum”, where, the variable X represents one proposed factor. The survey used a seven-point Likert scale (strongly disagree to strongly agree) to measure the use degree of the factor. Survey results are shown in Table 2. We considered that the scale points 1, 2, and 3 are negative aspects, and the scale points 5, 6, and 7 are positive aspects. The neutral point is not located anywhere. The percentages of factors acceptance are found on the positive side in each case: experience (100%), time (87.5%), effort (100%), priority (75%), and US value (81%)."] ["6 Bayesian network construction This section display how the BN is built based on [12]. First, the BN qualitative part is designed, this part represents the structure formed by nodes and relations, this part is developed based on the group of variables defined in [26], see Fig. 1. The quantitative part is defined, this part represents to Conditional Probability Tables (CPT), professionals gave their opinions for building CPT."] ["6.1 Bayesian network qualitative part Nodes and relations compound the qualitative part of BN; this structure is built considering the variables and relations in Fig. 1. The BN forms a hierarchical structure with variables organized by levels, these variables are described below: – First level variables: These nodes are evidence collectors, Scrum team members enter their estimates by applying mean to these variables. – Second level variables: The network has nodes that group the first level variables. These variables help to organize information hierarchically. Breaking down the exponential growth that would imply linking many variables to one. – Project value variable: This variable shows the final value to measure the grade of complexity and importance of the US."]</t>
  </si>
  <si>
    <t>S109</t>
  </si>
  <si>
    <t>P152</t>
  </si>
  <si>
    <t>K. Jeet, N. Bhatia, and R. S. Minhas</t>
  </si>
  <si>
    <t>A Model for Estimating the Impact of Low Productivity on the Schedule of a Software Development Project</t>
  </si>
  <si>
    <r>
      <rPr>
        <rFont val="Arial"/>
        <color rgb="FF000000"/>
        <sz val="10.0"/>
      </rPr>
      <t xml:space="preserve">["5. THE PROPOSED BAYESIAN NETWORK MODEL This section the selection of the attributes of the model of this proposal is described. Currently most of the methods for estimating user stories are mostly based on technical or project aspects [20], due that we proposed this model that mostly considers the personal attributes of developers, without neglecting the technical aspects. </t>
    </r>
    <r>
      <rPr>
        <rFont val="Arial"/>
        <b/>
        <color rgb="FF000000"/>
        <sz val="10.0"/>
      </rPr>
      <t>Attributes and classifications of the systematic literature review were analyzed [36], which lists more than 50 attributes of different categories that can influence the estimation of user stories</t>
    </r>
    <r>
      <rPr>
        <rFont val="Arial"/>
        <color rgb="FF000000"/>
        <sz val="10.0"/>
      </rPr>
      <t>. In this article, more than 50 attributes were analyzed and classified, forming 5 categories: personal aspects, technical complexity, project, team, and organizational complexity. As it is explained in the article, these categories were formed taking into account the opinion of the authors based on the experience of conducting real software projects. Because our model focuses on human aspects, our analysis is addressed on the attributes contemplated in the personal aspect’s category. The most relevant attributes were selected and those that were even suggested by professional practitioners: Experience with technology, experience with language, experience in previous projects, developer skills and knowledge of the project theme. Three of them are referred to experience, so that they are integrated in the experience node."] ["</t>
    </r>
    <r>
      <rPr>
        <rFont val="Arial"/>
        <b/>
        <color rgb="FF000000"/>
        <sz val="10.0"/>
      </rPr>
      <t>6. BAYESIAN NETWORK CONSTRUCTION</t>
    </r>
    <r>
      <rPr>
        <rFont val="Arial"/>
        <color rgb="FF000000"/>
        <sz val="10.0"/>
      </rPr>
      <t xml:space="preserve"> This section shows how the Bayesian network was built. </t>
    </r>
    <r>
      <rPr>
        <rFont val="Arial"/>
        <b/>
        <color rgb="FF000000"/>
        <sz val="10.0"/>
      </rPr>
      <t>The qualitative part represents the structure formed by nodes and the relations and dependencies between nodes, this part is developed based on the group of attributes selected from the article [36].</t>
    </r>
    <r>
      <rPr>
        <rFont val="Arial"/>
        <color rgb="FF000000"/>
        <sz val="10.0"/>
      </rPr>
      <t xml:space="preserve"> The quantitative part is composed of CPT, for creating this, professionals gave their opinions. 6.1. Qualitative Part The qualitative part of the Bayesian network is composed of nodes and the relationship between them. The relationships between the nodes are shown in Fig. 2. The Bayesian network is formed by a hierarchical structure which is organized by levels, each level represents a group of attributes or nodes: ● First level attributes: These nodes are the ones that collect information for the complexity estimation (Experience with technology, Experience in previous projects, Experience with language, Developer skills, Knowledge of the project theme, Dependence, Connection functions and Data functions) ● Second level attributes: These attributes help to organize nodes hierarchically (Experience, Technical complexity and Size). ● User stories complexity attribute/node: This attribute shows the final value to measure complexity estimation. 6.2. Quantitative Part To form the quantitative part of our Bayesian network, it is necessary to cover three important aspects: values between the relationships of the attributes, </t>
    </r>
    <r>
      <rPr>
        <rFont val="Arial"/>
        <b/>
        <color rgb="FF000000"/>
        <sz val="10.0"/>
      </rPr>
      <t>scales of values for the first level attributes</t>
    </r>
    <r>
      <rPr>
        <rFont val="Arial"/>
        <color rgb="FF000000"/>
        <sz val="10.0"/>
      </rPr>
      <t xml:space="preserve"> and the construction of the CPT. </t>
    </r>
    <r>
      <rPr>
        <rFont val="Arial"/>
        <b/>
        <color rgb="FF000000"/>
        <sz val="10.0"/>
      </rPr>
      <t>6.2.1. Values of relations between attributes. To obtain the values of the relationships between the attributes it was necessary to consult the opinion of the Scrum professionals, for which a survey was designed and applied, which is described below. 6.2.1.1. Survey to determine the importance and value of the attributes within the model.</t>
    </r>
    <r>
      <rPr>
        <rFont val="Arial"/>
        <color rgb="FF000000"/>
        <sz val="10.0"/>
      </rPr>
      <t xml:space="preserve"> </t>
    </r>
    <r>
      <rPr>
        <rFont val="Arial"/>
        <b/>
        <color rgb="FF000000"/>
        <sz val="10.0"/>
      </rPr>
      <t>The objective of the survey was to validate the importance and value of the selected attributes within the model. Respondents were asked the degree of acceptance of the selected attributes</t>
    </r>
    <r>
      <rPr>
        <rFont val="Arial"/>
        <color rgb="FF000000"/>
        <sz val="10.0"/>
      </rPr>
      <t xml:space="preserve">. The survey was conducted digitally using google forms. The survey was applied to 21 professionals. Survey question were formulated to know the degree of acceptance of the proposed attributes, and questions to collect information regarding the experience of the respondents. A Likert scale of 5 points was used (Strongly disagree, in disagreement, Neutral, in agreement, totally agree). The survey design was validated taking into account the recommendations of Guidelines for Conducting Surveys in Software Engineering V1.1. [44]. The most relevant questions in the survey are shown below: ● Do you agree that the experience with the technology involved in a project is an important factor in determining the developer’s experience? ● Do you agree that the experience with the language involved in a project is an important factor in determining the developer’s experience? ● Do you agree that experience in previous project is an important factor in determining developer experience? (...) </t>
    </r>
    <r>
      <rPr>
        <rFont val="Arial"/>
        <b/>
        <color rgb="FF000000"/>
        <sz val="10.0"/>
      </rPr>
      <t>6.2.2. A priori values for first level attributes. Scales of values were chosen for the collecting nodes; that is, what value or state each first level attribute can have. Three scales were used: low, regular and high</t>
    </r>
    <r>
      <rPr>
        <rFont val="Arial"/>
        <color rgb="FF000000"/>
        <sz val="10.0"/>
      </rPr>
      <t>. A question was made for each collecting node (first level attribute), which should be answered with one of the three scales proposed (low, regular, high). Table 4 shows the questions formulated for each attribute and the interpretation for each scale. "]</t>
    </r>
  </si>
  <si>
    <t>Survey with practitioners, direct function (e.g. sum, formula)</t>
  </si>
  <si>
    <r>
      <rPr>
        <rFont val="Arial"/>
        <color theme="1"/>
        <sz val="10.0"/>
      </rPr>
      <t xml:space="preserve">["6.2. </t>
    </r>
    <r>
      <rPr>
        <rFont val="Arial"/>
        <b/>
        <color theme="1"/>
        <sz val="10.0"/>
      </rPr>
      <t>Quantitative Part</t>
    </r>
    <r>
      <rPr>
        <rFont val="Arial"/>
        <color theme="1"/>
        <sz val="10.0"/>
      </rPr>
      <t xml:space="preserve"> To form the quantitative part of our Bayesian network, it is necessary to cover three important aspects: values between the relationships of the attributes, scales of values for the first level attributes and the </t>
    </r>
    <r>
      <rPr>
        <rFont val="Arial"/>
        <b/>
        <color theme="1"/>
        <sz val="10.0"/>
      </rPr>
      <t>construction of the CPT</t>
    </r>
    <r>
      <rPr>
        <rFont val="Arial"/>
        <color theme="1"/>
        <sz val="10.0"/>
      </rPr>
      <t xml:space="preserve">. 6.2.1. Values of relations between attributes. To obtain the values of the relationships between the attributes </t>
    </r>
    <r>
      <rPr>
        <rFont val="Arial"/>
        <b/>
        <color theme="1"/>
        <sz val="10.0"/>
      </rPr>
      <t>it was necessary to consult the opinion of the Scrum professionals, for which a survey was designed and applied</t>
    </r>
    <r>
      <rPr>
        <rFont val="Arial"/>
        <color theme="1"/>
        <sz val="10.0"/>
      </rPr>
      <t xml:space="preserve">, which is described below. "] ["6.2.1.2. </t>
    </r>
    <r>
      <rPr>
        <rFont val="Arial"/>
        <b/>
        <color theme="1"/>
        <sz val="10.0"/>
      </rPr>
      <t>Application of equations</t>
    </r>
    <r>
      <rPr>
        <rFont val="Arial"/>
        <color theme="1"/>
        <sz val="10.0"/>
      </rPr>
      <t xml:space="preserve">. To calculate the weights between attributes we apply the equations and definitions used in [8, 9].(...) We apply Equation 1 to obtain the non-standardized weight of each first-level attribute: experience with technology, experience with language and experience in previous projects. (...) To obtain the normalized weight of each attribute we will use Equation 2. It is necessary to consider the nodes that are parents of the same child node, in this case, the experience node. (...) To obtain the weight of the experience attribute and the other second-level attributes we will apply Equation 3."] ["6.2.3. </t>
    </r>
    <r>
      <rPr>
        <rFont val="Arial"/>
        <b/>
        <color theme="1"/>
        <sz val="10.0"/>
      </rPr>
      <t>Construction of Conditional Probability Tables</t>
    </r>
    <r>
      <rPr>
        <rFont val="Arial"/>
        <color theme="1"/>
        <sz val="10.0"/>
      </rPr>
      <t xml:space="preserve">. A CPT show the probability that an event will occur based on the combination of the attributes and the value of their states [9]. In this step a CPT is defined for each child node of the structure. </t>
    </r>
    <r>
      <rPr>
        <rFont val="Arial"/>
        <b/>
        <color theme="1"/>
        <sz val="10.0"/>
      </rPr>
      <t>To obtain the CPT we will apply the equations and definitions used in [8,9]</t>
    </r>
    <r>
      <rPr>
        <rFont val="Arial"/>
        <color theme="1"/>
        <sz val="10.0"/>
      </rPr>
      <t>."]</t>
    </r>
  </si>
  <si>
    <t>Statistical measures (Spearman correlation test)</t>
  </si>
  <si>
    <r>
      <rPr>
        <rFont val="Arial"/>
        <color rgb="FF000000"/>
        <sz val="10.0"/>
      </rPr>
      <t>["7. TESTING BAYESIAN NETWORK 7.1. Experiments To validate the model created, two different experiments were designed, one for beginners and one for professionals."] ["</t>
    </r>
    <r>
      <rPr>
        <rFont val="Arial"/>
        <b/>
        <color rgb="FF000000"/>
        <sz val="10.0"/>
      </rPr>
      <t xml:space="preserve">To validate the results obtained, we applied Spearman correlation test </t>
    </r>
    <r>
      <rPr>
        <rFont val="Arial"/>
        <color rgb="FF000000"/>
        <sz val="10.0"/>
      </rPr>
      <t>[45]. In the case of students, the variables were analyzed: ● estimationIni represents the estimation initial before making the user story. ● estimationFin represents the estimation final, once the user story is made. ● estimationBN represents the result obtained by the Bayesian network. The tests were applied considering the relationships: estimationIni-estimationBN which determines the correlation between the estimation initial and the one obtained by the network and estimationFin-estimationBN which determines the correlation between the final estimate and the one obtained by the network. The Spearman test for the estimationIni-estimationBN relationship, provided us a correlation of 0.659 and a p-value of 0.000, while for the estimationFin-estimationBN relationship provided us a correlation of 0.799 and a p-value of 0.000. As can be seen, the correlation between the final estimation and the one obtained in the network is greater, this is a good fact because it indicates that what obtained by the network is very related to what the student estimates once made user story. In the case of professionals, the variables were analyzed:• estimationIni represents the initial estimate before making the user story. • estimationBN represents the result obtained by the Bayesian Network. The tests were applied considering the relationships: estimationIni-estimationBN which determines the correlation between the initial estimate and the one obtained by the network. The Spearman test for the estimationIni-estimationBN relationship provided us a correlation of 0.887 and a p-value of 0.000. If we compare the results of students and professionals, we can deduce that the correlation in both cases was good, however, the correlation of the professionals is greater, this is because the professionals have more experience."]</t>
    </r>
  </si>
  <si>
    <r>
      <rPr>
        <rFont val="Arial"/>
        <color theme="1"/>
        <sz val="10.0"/>
      </rPr>
      <t xml:space="preserve">["3.1 </t>
    </r>
    <r>
      <rPr>
        <rFont val="Arial"/>
        <b/>
        <color theme="1"/>
        <sz val="10.0"/>
      </rPr>
      <t>Key Factors of Effort Prediction</t>
    </r>
    <r>
      <rPr>
        <rFont val="Arial"/>
        <color theme="1"/>
        <sz val="10.0"/>
      </rPr>
      <t xml:space="preserve"> In this paper, we propose a BN-based model to assess the effort prediction in the case of developing software with agile methodologies. Researchers have applied such a model in software engineering for process improvement, productivity prediction of the teams that use XP, risk evaluation and product quality prediction </t>
    </r>
    <r>
      <rPr>
        <rFont val="Arial"/>
        <b/>
        <color theme="1"/>
        <sz val="10.0"/>
      </rPr>
      <t>(Freire et al., 2018; López-Martínez et al., 2017a; Karna and Gotovac, 2015; Hearty et al., 2009; Lai, 2017).</t>
    </r>
    <r>
      <rPr>
        <rFont val="Arial"/>
        <color theme="1"/>
        <sz val="10.0"/>
      </rPr>
      <t xml:space="preserve"> Our model is generic, since there are many different agile frameworks and it is impossible to build a universal model that matches for all these frameworks. Also, the differences between projects, between teams’ size, organisational culture, the variety of enterprises business goals, etc. make it difficult, if not impossible, to use a universal model. </t>
    </r>
    <r>
      <rPr>
        <rFont val="Arial"/>
        <b/>
        <color theme="1"/>
        <sz val="10.0"/>
      </rPr>
      <t>Based on the above-mentioned literature the factors that influence effort needed in software project development can be classified into two categories: teamwork quality and user stories characteristics, summarized in Table 2</t>
    </r>
    <r>
      <rPr>
        <rFont val="Arial"/>
        <color theme="1"/>
        <sz val="10.0"/>
      </rPr>
      <t xml:space="preserve">."] ["3.3 </t>
    </r>
    <r>
      <rPr>
        <rFont val="Arial"/>
        <b/>
        <color theme="1"/>
        <sz val="10.0"/>
      </rPr>
      <t xml:space="preserve">Bayesian Networks Construction. Based on literature and discussions with practitioners, we identified the relationship between key factors. A top-down approach is used to decompose the top-level node into key factors that can be observed by experts or can be collected and analysed with specific tools. </t>
    </r>
    <r>
      <rPr>
        <rFont val="Arial"/>
        <color theme="1"/>
        <sz val="10.0"/>
      </rPr>
      <t>The complete DAG is shown in Figure 1. Next, in this section, we discuss in more details the key factors mentioned in previous section. "] ["</t>
    </r>
    <r>
      <rPr>
        <rFont val="Arial"/>
        <b/>
        <color theme="1"/>
        <sz val="10.0"/>
      </rPr>
      <t>According to Perkusich et al. (2013)</t>
    </r>
    <r>
      <rPr>
        <rFont val="Arial"/>
        <color theme="1"/>
        <sz val="10.0"/>
      </rPr>
      <t xml:space="preserve"> each key factor represents a set of tuples N={(s1,p1), …,( s|N|,p|N|)}, where si is a </t>
    </r>
    <r>
      <rPr>
        <rFont val="Arial"/>
        <b/>
        <color theme="1"/>
        <sz val="10.0"/>
      </rPr>
      <t>possible state</t>
    </r>
    <r>
      <rPr>
        <rFont val="Arial"/>
        <color theme="1"/>
        <sz val="10.0"/>
      </rPr>
      <t xml:space="preserve"> and pi is the probability of each state i to appear. </t>
    </r>
    <r>
      <rPr>
        <rFont val="Arial"/>
        <b/>
        <color theme="1"/>
        <sz val="10.0"/>
      </rPr>
      <t>For identifying the elements of N, each node can be mapped to a set of practices and is composed of a 5-point Likert scale: Very Low (VL), Low (L), Medium (M), High (H) and Very High (VH) (Freire et al., 2018; López-Martínez et al., 2017a, 2017b)</t>
    </r>
    <r>
      <rPr>
        <rFont val="Arial"/>
        <color theme="1"/>
        <sz val="10.0"/>
      </rPr>
      <t xml:space="preserve">. During the project’s lifecycles, the team should register the processes and practices used for each key factor. Furthermore, the base BN can be complemented with metrics. Some metrics, as size can be automatically collected. Other metrics, such as ordering, clarity, communication, expertise or shared decisions, are manually collected. To identify the elements of N, </t>
    </r>
    <r>
      <rPr>
        <rFont val="Arial"/>
        <b/>
        <color theme="1"/>
        <sz val="10.0"/>
      </rPr>
      <t>we defined that each node is composed of 5-point Likert scale mentioned above</t>
    </r>
    <r>
      <rPr>
        <rFont val="Arial"/>
        <color theme="1"/>
        <sz val="10.0"/>
      </rPr>
      <t xml:space="preserve">. Each state reflects to the quality of the node. "] ["This paper proposes a model of BN to assist the agile teams to estimate the effort needed in the case of software projects. </t>
    </r>
    <r>
      <rPr>
        <rFont val="Arial"/>
        <b/>
        <color theme="1"/>
        <sz val="10.0"/>
      </rPr>
      <t>To build the model, we performed a literature review and discussed with experts to identify the main factors that influence the effort needed. We identified two categories of factors: teamwork quality and user stories characteristics.</t>
    </r>
    <r>
      <rPr>
        <rFont val="Arial"/>
        <color theme="1"/>
        <sz val="10.0"/>
      </rPr>
      <t xml:space="preserve"> "]</t>
    </r>
  </si>
  <si>
    <t>S112</t>
  </si>
  <si>
    <t>P155</t>
  </si>
  <si>
    <t>L Yuqing, Z Tong</t>
  </si>
  <si>
    <t>Bayesian network to construct interoperability model of open source software</t>
  </si>
  <si>
    <r>
      <rPr>
        <rFont val="Arial"/>
        <color theme="1"/>
        <sz val="10.0"/>
      </rPr>
      <t>["</t>
    </r>
    <r>
      <rPr>
        <rFont val="Arial"/>
        <b/>
        <color theme="1"/>
        <sz val="10.0"/>
      </rPr>
      <t>Based on agile experts’ answers, we defined the NPT</t>
    </r>
    <r>
      <rPr>
        <rFont val="Arial"/>
        <color theme="1"/>
        <sz val="10.0"/>
      </rPr>
      <t xml:space="preserve">. This paper represents research-in-action and, as such, the validation of </t>
    </r>
    <r>
      <rPr>
        <rFont val="Arial"/>
        <b/>
        <color theme="1"/>
        <sz val="10.0"/>
      </rPr>
      <t>rank nodes</t>
    </r>
    <r>
      <rPr>
        <rFont val="Arial"/>
        <color theme="1"/>
        <sz val="10.0"/>
      </rPr>
      <t xml:space="preserve"> is not complete and will be improved in future research. Table 3 illustrates the calculated values of user stories characteristics in the case of excellent formulated requirements and a complex project (VL is very low, L is low, M is medium, H is high and VH is very high). The user stories are clear, stable and ordered. </t>
    </r>
    <r>
      <rPr>
        <rFont val="Arial"/>
        <b/>
        <color theme="1"/>
        <sz val="10.0"/>
      </rPr>
      <t xml:space="preserve">We used WMEAN function (eq. 2) </t>
    </r>
    <r>
      <rPr>
        <rFont val="Arial"/>
        <color theme="1"/>
        <sz val="10.0"/>
      </rPr>
      <t>(Dimitrova and Petkova, 2015) with different weights for each attribute. The variance is 0.0005, the lower bound is 0 and the upper bound is 1. "]</t>
    </r>
  </si>
  <si>
    <t>CSSE</t>
  </si>
  <si>
    <r>
      <rPr>
        <rFont val="Arial"/>
        <color theme="1"/>
        <sz val="10.0"/>
      </rPr>
      <t>The authors checked if the BN was able to detect Scrum anti-patterns. ["</t>
    </r>
    <r>
      <rPr>
        <rFont val="Arial"/>
        <b/>
        <color theme="1"/>
        <sz val="10.0"/>
      </rPr>
      <t>To validate the completeness of the model</t>
    </r>
    <r>
      <rPr>
        <rFont val="Arial"/>
        <color theme="1"/>
        <sz val="10.0"/>
      </rPr>
      <t xml:space="preserve">, Eloranta et al., (2016) identified 14 anti-patterns in adopting Scrum based on a study expected in 11 companies:  (1) big requirements documentation, (2) customer product owner, (3) product owner without authority, (4) long or non-existent feedback loops, (5) unordered product backlog, (6) work estimates given to teams, (7) hours in progress monitoring, (8) semifunctional teams, (9) customer caused disruption, (10) no sprint retrospective, (11) invisible progress, (12) varying sprint length, (13) too long sprints and (14) testing in next sprint. </t>
    </r>
    <r>
      <rPr>
        <rFont val="Arial"/>
        <b/>
        <color theme="1"/>
        <sz val="10.0"/>
      </rPr>
      <t>We only considered the anti-patterns that are valid for our BN</t>
    </r>
    <r>
      <rPr>
        <rFont val="Arial"/>
        <color theme="1"/>
        <sz val="10.0"/>
      </rPr>
      <t xml:space="preserve">. We present only the analysis for one anti-pattern in this section. For big requirements document, the consequence is the ambiguity. The requirements are stable, but they are not ordered, and are unclear. This is related to Quality, which is not an input node. We define evidences for the nodes Complete, Consistent, Discussable and Understandable to analyse this pattern. The result is presented in Figure 2. The requirements are incomplete and inconsistent. Furthermore, the client is not available to discuss them and, as consequence, the team doesn’t understand the functionalities that has to be developed. </t>
    </r>
    <r>
      <rPr>
        <rFont val="Arial"/>
        <b/>
        <color theme="1"/>
        <sz val="10.0"/>
      </rPr>
      <t>The calculated BN shown in Figure 2 is shown that antipattern (1) is detected by the BN.</t>
    </r>
    <r>
      <rPr>
        <rFont val="Arial"/>
        <color theme="1"/>
        <sz val="10.0"/>
      </rPr>
      <t xml:space="preserve"> Some anti-pattern related to sprint length (13), testing (14) and agile ceremonies (10) are considered invalid. They are not modelled by this BN. "] ["</t>
    </r>
    <r>
      <rPr>
        <rFont val="Arial"/>
        <b/>
        <color theme="1"/>
        <sz val="10.0"/>
      </rPr>
      <t>The main limitation of the model is the validation</t>
    </r>
    <r>
      <rPr>
        <rFont val="Arial"/>
        <color theme="1"/>
        <sz val="10.0"/>
      </rPr>
      <t xml:space="preserve">. </t>
    </r>
    <r>
      <rPr>
        <rFont val="Arial"/>
        <b/>
        <color theme="1"/>
        <sz val="10.0"/>
      </rPr>
      <t>For future research</t>
    </r>
    <r>
      <rPr>
        <rFont val="Arial"/>
        <color theme="1"/>
        <sz val="10.0"/>
      </rPr>
      <t xml:space="preserve">, we intend to validate the model in two stages: </t>
    </r>
    <r>
      <rPr>
        <rFont val="Arial"/>
        <b/>
        <color theme="1"/>
        <sz val="10.0"/>
      </rPr>
      <t>NPT validation and model validation</t>
    </r>
    <r>
      <rPr>
        <rFont val="Arial"/>
        <color theme="1"/>
        <sz val="10.0"/>
      </rPr>
      <t xml:space="preserve">. We will define </t>
    </r>
    <r>
      <rPr>
        <rFont val="Arial"/>
        <b/>
        <color theme="1"/>
        <sz val="10.0"/>
      </rPr>
      <t>more scenarios</t>
    </r>
    <r>
      <rPr>
        <rFont val="Arial"/>
        <color theme="1"/>
        <sz val="10.0"/>
      </rPr>
      <t xml:space="preserve"> and will </t>
    </r>
    <r>
      <rPr>
        <rFont val="Arial"/>
        <b/>
        <color theme="1"/>
        <sz val="10.0"/>
      </rPr>
      <t>compare, in collaboration with experts, the expected output with actual results to conclude if they are acceptable.</t>
    </r>
    <r>
      <rPr>
        <rFont val="Arial"/>
        <color theme="1"/>
        <sz val="10.0"/>
      </rPr>
      <t xml:space="preserve"> We will complete the model and the final version will be evaluated it through case studies in the software companies that use agile methodologies. "]</t>
    </r>
  </si>
  <si>
    <t>Interviews, grounded theory, risk-centric modeling</t>
  </si>
  <si>
    <r>
      <rPr>
        <rFont val="Arial"/>
        <color rgb="FF000000"/>
        <sz val="10.0"/>
      </rPr>
      <t xml:space="preserve">The </t>
    </r>
    <r>
      <rPr>
        <rFont val="Arial"/>
        <b/>
        <color rgb="FF000000"/>
        <sz val="10.0"/>
      </rPr>
      <t>Core BN fragment</t>
    </r>
    <r>
      <rPr>
        <rFont val="Arial"/>
        <color rgb="FF000000"/>
        <sz val="10.0"/>
      </rPr>
      <t xml:space="preserve"> was built through a </t>
    </r>
    <r>
      <rPr>
        <rFont val="Arial"/>
        <b/>
        <color rgb="FF000000"/>
        <sz val="10.0"/>
      </rPr>
      <t>Grounded Theory study</t>
    </r>
    <r>
      <rPr>
        <rFont val="Arial"/>
        <color rgb="FF000000"/>
        <sz val="10.0"/>
      </rPr>
      <t xml:space="preserve"> in which the authors used </t>
    </r>
    <r>
      <rPr>
        <rFont val="Arial"/>
        <b/>
        <color rgb="FF000000"/>
        <sz val="10.0"/>
      </rPr>
      <t>interviews</t>
    </r>
    <r>
      <rPr>
        <rFont val="Arial"/>
        <color rgb="FF000000"/>
        <sz val="10.0"/>
      </rPr>
      <t xml:space="preserve"> with software practitioners as a data collection approach. ["Thus, we constructed a BN with four fragments: core, technology, strategy, and context-sensitive risk. The Core fragment consists of the </t>
    </r>
    <r>
      <rPr>
        <rFont val="Arial"/>
        <b/>
        <color rgb="FF000000"/>
        <sz val="10.0"/>
      </rPr>
      <t>kinds of risk factors</t>
    </r>
    <r>
      <rPr>
        <rFont val="Arial"/>
        <color rgb="FF000000"/>
        <sz val="10.0"/>
      </rPr>
      <t xml:space="preserve"> technological common on software projects. Thus, it should be context-independent. Considering our proposed BN as a framework, the Core fragment would be the framework’s cold spot. The Supplementary Material presents the definition for each Core node1.</t>
    </r>
    <r>
      <rPr>
        <rFont val="Arial"/>
        <b/>
        <color rgb="FF000000"/>
        <sz val="10.0"/>
      </rPr>
      <t xml:space="preserve"> We built the core BN through a Grounded Theory study with twenty-five professionals from ten organizations working on software projects</t>
    </r>
    <r>
      <rPr>
        <rFont val="Arial"/>
        <color rgb="FF000000"/>
        <sz val="10.0"/>
      </rPr>
      <t>. It is out of this paper’s scope to describe the research methods applied to build the Core fragment. Figure 1 shows the Core fragment, in which the leaf nodes are the yellow ones. As discussed in what follows, we can think about the Core fragment’s leaf nodes as an interface connected to nodes from Technology, Strategy, and Context-Sensitive Risk. The Technology fragment consists of variables representing the technologies used by the project team, such as JWT, KeyStore, Firebase, and Pandas. For instance, JWT and KeyStore are security technologies; thus, they could be represented, respectively, by the Technology nodes JWT and KeyStore and connected to the Core fragment’s leaf node Security. Notice that one Technology node can be connected to multiple Core nodes and vice versa. Figure 2 presents an example in which the Technology nodes JWT and KeyStore (pink nodes) connect to the Core node Security (yellow node). Notice that the Security is represented by a dashed line, meaning that it is a leaf node of the Core fragment. The Strategy fragment consists of</t>
    </r>
    <r>
      <rPr>
        <rFont val="Arial"/>
        <b/>
        <color rgb="FF000000"/>
        <sz val="10.0"/>
      </rPr>
      <t xml:space="preserve"> variables representing the risk mitigation strategies employed by the project team</t>
    </r>
    <r>
      <rPr>
        <rFont val="Arial"/>
        <color rgb="FF000000"/>
        <sz val="10.0"/>
      </rPr>
      <t xml:space="preserve">, such as having offline data persistence, using stateless communication, and reviewing proxy settings. For instance, we could have the Strategy node Offline data persistance connected to the Core fragment’s leaf node Security. Figure 2 complements the example shown in Figure 3 by connecting the Strategy node Offline data persistance to the Core node Security. Finally, </t>
    </r>
    <r>
      <rPr>
        <rFont val="Arial"/>
        <b/>
        <color rgb="FF000000"/>
        <sz val="10.0"/>
      </rPr>
      <t>the Context-Sensitive Risk Fragment consists of specialized risks that further detail the risk of a Core fragment’s leaf node</t>
    </r>
    <r>
      <rPr>
        <rFont val="Arial"/>
        <color rgb="FF000000"/>
        <sz val="10.0"/>
      </rPr>
      <t xml:space="preserve">. For instance, we could have the Context-Sensitive Risk node Token decoding failed connected to the Core fragment’s leaf node Security. Figure 4 presents an example connecting the Context-Sensitive Risk node Token decoding failed to the Core node Security. Notice that the Strategy and Technology nodes previously connected to the Core node Security are now connected to the newly added Context-Sensitive node. </t>
    </r>
    <r>
      <rPr>
        <rFont val="Arial"/>
        <b/>
        <color rgb="FF000000"/>
        <sz val="10.0"/>
      </rPr>
      <t>The nodes on the Technology, Strategy, and Context-Sensitive Risk fragments are defined given the project’s mobile, Web, and IoT domains. They can be defined by consulting specialists and the project team or by using data from past projects</t>
    </r>
    <r>
      <rPr>
        <rFont val="Arial"/>
        <color rgb="FF000000"/>
        <sz val="10.0"/>
      </rPr>
      <t>. Considering our proposed BN as a framework, the Technology, the Strategy, and Context-Sensitive Risk fragments would be the framework’s hot spots."] ["</t>
    </r>
    <r>
      <rPr>
        <rFont val="Arial"/>
        <b/>
        <color rgb="FF000000"/>
        <sz val="10.0"/>
      </rPr>
      <t>By default, we defined all BN’s nodes as Boolean, but the users could adapt the nodes’ scale to fit their needs</t>
    </r>
    <r>
      <rPr>
        <rFont val="Arial"/>
        <color rgb="FF000000"/>
        <sz val="10.0"/>
      </rPr>
      <t xml:space="preserve">."] ["After identifying the Technology, Strategy, and Context-Sensitive Risk nodes, connecting them to the Core fragment, and </t>
    </r>
    <r>
      <rPr>
        <rFont val="Arial"/>
        <b/>
        <color rgb="FF000000"/>
        <sz val="10.0"/>
      </rPr>
      <t>making the necessary adjustments to the nodes’ scales</t>
    </r>
    <r>
      <rPr>
        <rFont val="Arial"/>
        <color rgb="FF000000"/>
        <sz val="10.0"/>
      </rPr>
      <t xml:space="preserve"> and probability functions, the users can input data (i.e., evidence) into the Bayesian network. "]</t>
    </r>
  </si>
  <si>
    <r>
      <rPr>
        <rFont val="Arial"/>
        <color theme="1"/>
        <sz val="10.0"/>
      </rPr>
      <t xml:space="preserve">["By default, we defined all BN’s nodes as Boolean, but the users could adapt the nodes’ scale to fit their needs. </t>
    </r>
    <r>
      <rPr>
        <rFont val="Arial"/>
        <b/>
        <color theme="1"/>
        <sz val="10.0"/>
      </rPr>
      <t>Regarding the probability functions, we defined them by eliciting the knowledge from two domain experts</t>
    </r>
    <r>
      <rPr>
        <rFont val="Arial"/>
        <color theme="1"/>
        <sz val="10.0"/>
      </rPr>
      <t xml:space="preserve">."] ["After identifying the Technology, Strategy, and Context-Sensitive Risk nodes, connecting them to the Core fragment, and </t>
    </r>
    <r>
      <rPr>
        <rFont val="Arial"/>
        <b/>
        <color theme="1"/>
        <sz val="10.0"/>
      </rPr>
      <t>making the necessary adjustments to the nodes’ scales and probability functions</t>
    </r>
    <r>
      <rPr>
        <rFont val="Arial"/>
        <color theme="1"/>
        <sz val="10.0"/>
      </rPr>
      <t>, the users can input data (i.e., evidence) into the Bayesian network. "]</t>
    </r>
  </si>
  <si>
    <t>Simulated scenarios, focus group</t>
  </si>
  <si>
    <r>
      <rPr>
        <rFont val="Arial"/>
        <color rgb="FF000000"/>
        <sz val="10.0"/>
      </rPr>
      <t xml:space="preserve">["4 EMPIRICAL EVALUATION We performed a </t>
    </r>
    <r>
      <rPr>
        <rFont val="Arial"/>
        <b/>
        <color rgb="FF000000"/>
        <sz val="10.0"/>
      </rPr>
      <t>static validation of the proposed BN, presenting it to practitioners and analyzing its acceptance level</t>
    </r>
    <r>
      <rPr>
        <rFont val="Arial"/>
        <color rgb="FF000000"/>
        <sz val="10.0"/>
      </rPr>
      <t xml:space="preserve">. According to Gorscheck and Wohlin [13], performing static validation is vital for learning a proposed solution’s benefits, to get buy-in from practitioners, and a recommended step before piloting it through dynamic validation (e.g., action research or case study). For this purpose, </t>
    </r>
    <r>
      <rPr>
        <rFont val="Arial"/>
        <b/>
        <color rgb="FF000000"/>
        <sz val="10.0"/>
      </rPr>
      <t>following a guideline for the knowledge engineering of BN [21], we developed six simulated scenarios (i.e., model walkthrough or use cases) in collaboration with two industry experts</t>
    </r>
    <r>
      <rPr>
        <rFont val="Arial"/>
        <color rgb="FF000000"/>
        <sz val="10.0"/>
      </rPr>
      <t xml:space="preserve"> (see Section 4.1). </t>
    </r>
    <r>
      <rPr>
        <rFont val="Arial"/>
        <b/>
        <color rgb="FF000000"/>
        <sz val="10.0"/>
      </rPr>
      <t>Later, we performed a focus group</t>
    </r>
    <r>
      <rPr>
        <rFont val="Arial"/>
        <color rgb="FF000000"/>
        <sz val="10.0"/>
      </rPr>
      <t xml:space="preserve">, following the guidelines presented in Kontio et al. [19] </t>
    </r>
    <r>
      <rPr>
        <rFont val="Arial"/>
        <b/>
        <color rgb="FF000000"/>
        <sz val="10.0"/>
      </rPr>
      <t>to assess the proposed BN’s practical utility by analyzing the simulated scenarios</t>
    </r>
    <r>
      <rPr>
        <rFont val="Arial"/>
        <color rgb="FF000000"/>
        <sz val="10.0"/>
      </rPr>
      <t xml:space="preserve"> (see Section 4.2)."] [".1 </t>
    </r>
    <r>
      <rPr>
        <rFont val="Arial"/>
        <b/>
        <color rgb="FF000000"/>
        <sz val="10.0"/>
      </rPr>
      <t>Simulated Scenarios</t>
    </r>
    <r>
      <rPr>
        <rFont val="Arial"/>
        <color rgb="FF000000"/>
        <sz val="10.0"/>
      </rPr>
      <t xml:space="preserve"> According to the Expert-based Knowledge Engineering of Bayesian Networks [22 ], </t>
    </r>
    <r>
      <rPr>
        <rFont val="Arial"/>
        <b/>
        <color rgb="FF000000"/>
        <sz val="10.0"/>
      </rPr>
      <t>the first validation step for a BN is to define simulated scenarios</t>
    </r>
    <r>
      <rPr>
        <rFont val="Arial"/>
        <color rgb="FF000000"/>
        <sz val="10.0"/>
      </rPr>
      <t xml:space="preserve">. Such a step is essential because before adopting the BN on real projects, it is necessary to obtain a subjective assessment of how well the experts “feel” that the model calculates what it is supposed to estimate, at face value (i.e., face validity) [ 8]. Simulated scenarios are “what-if” scenarios, establishing a set of inputs and expected outputs and comparing them with the BN’s calculated outputs (i.e., similar to software test cases)."] [".2 </t>
    </r>
    <r>
      <rPr>
        <rFont val="Arial"/>
        <b/>
        <color rgb="FF000000"/>
        <sz val="10.0"/>
      </rPr>
      <t>Focus Group</t>
    </r>
    <r>
      <rPr>
        <rFont val="Arial"/>
        <color rgb="FF000000"/>
        <sz val="10.0"/>
      </rPr>
      <t xml:space="preserve"> Our next step was to analyze the practitioner’s adoption intention after validating our approach by defining six simulated scenarios with two experts. For this purpose, we followed the </t>
    </r>
    <r>
      <rPr>
        <rFont val="Arial"/>
        <b/>
        <color rgb="FF000000"/>
        <sz val="10.0"/>
      </rPr>
      <t>Technology Acceptance Model (TAM)</t>
    </r>
    <r>
      <rPr>
        <rFont val="Arial"/>
        <color rgb="FF000000"/>
        <sz val="10.0"/>
      </rPr>
      <t xml:space="preserve"> [7]."]</t>
    </r>
  </si>
  <si>
    <t>S115</t>
  </si>
  <si>
    <t>P158</t>
  </si>
  <si>
    <t>Li, H., Xu, P., Zhao, Q., &amp; Liu, Y.</t>
  </si>
  <si>
    <t>Research on fault diagnosis in early stage of software development based on Object-oriented Bayesian Networks</t>
  </si>
  <si>
    <t>International Conference on Software Quality, Reliability and Security Companion (QRS-C)</t>
  </si>
  <si>
    <t>["3  The Methodology In this section, we introduce the methodology used to build a SI BN prediction model in the context of RSD. It is based on the EKEBN (Expert-based Knowledge Engineering of Bayesian Networks) methodology [14] and the Weighted Sum Algorithm (WSA) [8], adapted to the Q-Rapids context. BNs allow incorporating company business knowledge and representing uncertainty that is inherent in a complex domain. Such representation and quantification use probabilities, and model the cause and effect relationships between the variables of a BN model [8]. BN models can be created using expert knowledge, pure data-driven approaches or a combination of both. Next sections describe the steps of our hybrid approach. 3.1 Structure Building This step consists in the construction of the directed acyclic graph (DAG) that represents the BN structure. Such DAG includes, within the context of this work, two types of nodes: product/process QFs and a SI. Further, such DAG also includes arrows between nodes, which represent their cause and effect relationships. Herein a SI node is always the destination of arrows from QF nodes, which means that QFs are SI’s predictors. While building a DAG, a company also needs to decide upon: i) the QFs that will be used to predict the chosen SI; ii) the cause and effect relationships between nodes; and iii) categorical scales to measure each of the nodes. In the case of QFs, it is also important to decide how each scale point matches the [0, 1] interval. For instance, a given QF node may have three categories: Low, Medium, and High, corresponding respectively to ranges [0 - 0.6), [0.6 - 0.85) and [0.85 - 1]. "] ["4 Pilot Use Case A real scenario was considered in a company working in the telecommunications domain to create a company-specific SI BN prediction model. For this purpose, a workshop to apply the methodology introduced in Section 3 was conducted, with the help of three stakeholders: a software engineer with more than 4 years of experience, a project manager with almost 2 years of experience, and a software development specialist with more than 10 years of experience. The workshop lasted for 4 hours, divided into 2 sessions of 2 hours each. The first one covered the structure building and uncertainty quantification and the second one covered the model validation. The last participant only attended the second session. As an introduction, in the first session an example presenting the rationale of BNs was shown, and concepts like probabilities and causal relationships were clarified, along with the objectives and the results to emerge from the workshop."] ["4.2 Structure Building In this part of the workshop, the stakeholders decided which of the QFs being computed in their premises would take part in the SI assessment model. The SI selected was Product Quality¸ based on the Code Quality and Software Stability QFs, which had been computed and stored for six months in a software-testing environment. The first factor, Code Quality, is computed from several software metrics related to the software complexity, ratio of comments and percentage of duplicated code. The second factor, Software Stability, is computed from ratio of bugs’ related metrics. These factors are aggregated from metrics coming out of several data sources like SonarQube, Jira and Jenkins. Fig. 1. shows the cause and effect relationships between QFs and the SI. "]</t>
  </si>
  <si>
    <t>Literature review, focus group, quality model</t>
  </si>
  <si>
    <t>Automatic discretization (Equal-Width and Equal-Frequency binning), expert-derived categories/thresholds</t>
  </si>
  <si>
    <r>
      <rPr>
        <rFont val="Arial"/>
        <color rgb="FF000000"/>
        <sz val="10.0"/>
      </rPr>
      <t>["</t>
    </r>
    <r>
      <rPr>
        <rFont val="Arial"/>
        <b/>
        <color rgb="FF000000"/>
        <sz val="10.0"/>
      </rPr>
      <t>Hierarchical decomposition for specifying the SSI meaning</t>
    </r>
    <r>
      <rPr>
        <rFont val="Arial"/>
        <color rgb="FF000000"/>
        <sz val="10.0"/>
      </rPr>
      <t xml:space="preserve">. SSIs should be elaborated using a </t>
    </r>
    <r>
      <rPr>
        <rFont val="Arial"/>
        <b/>
        <color rgb="FF000000"/>
        <sz val="10.0"/>
      </rPr>
      <t>hierarchical approach based on the QM structure proposed in [23,62,63</t>
    </r>
    <r>
      <rPr>
        <rFont val="Arial"/>
        <color rgb="FF000000"/>
        <sz val="10.0"/>
      </rPr>
      <t xml:space="preserve">]. We chose such structure as it has proved to contribute to ease the specification and understandability of software development related concepts."] ["Phase 1: </t>
    </r>
    <r>
      <rPr>
        <rFont val="Arial"/>
        <b/>
        <color rgb="FF000000"/>
        <sz val="10.0"/>
      </rPr>
      <t>SSI Specification</t>
    </r>
    <r>
      <rPr>
        <rFont val="Arial"/>
        <color rgb="FF000000"/>
        <sz val="10.0"/>
      </rPr>
      <t xml:space="preserve"> The product manager of ModelioNG chose Product Readiness as the most appropriate SSI to be tackled by the SESSI method. We studied the literature with the aim of providing some related examples that could serve as starting point for its specification. We found some works specifying/assessing product readiness [27,28], however, none of them was suitable for the particular meaning of product readiness in ModelioNG. Therefore, </t>
    </r>
    <r>
      <rPr>
        <rFont val="Arial"/>
        <b/>
        <color rgb="FF000000"/>
        <sz val="10.0"/>
      </rPr>
      <t>the product manager and the team leader elicited the list of aspects related to product readiness based on their own knowledge and experience</t>
    </r>
    <r>
      <rPr>
        <rFont val="Arial"/>
        <color rgb="FF000000"/>
        <sz val="10.0"/>
      </rPr>
      <t xml:space="preserve">. </t>
    </r>
    <r>
      <rPr>
        <rFont val="Arial"/>
        <b/>
        <color rgb="FF000000"/>
        <sz val="10.0"/>
      </rPr>
      <t>After some iterations and discussions, the Product Readiness SSI specification was stated as shown in Table 2</t>
    </r>
    <r>
      <rPr>
        <rFont val="Arial"/>
        <color rgb="FF000000"/>
        <sz val="10.0"/>
      </rPr>
      <t xml:space="preserve">. It was based on 3 factors that at their turn were based on the stated metrics."] ["Step 2 – </t>
    </r>
    <r>
      <rPr>
        <rFont val="Arial"/>
        <b/>
        <color rgb="FF000000"/>
        <sz val="10.0"/>
      </rPr>
      <t>DAG specification</t>
    </r>
    <r>
      <rPr>
        <rFont val="Arial"/>
        <color rgb="FF000000"/>
        <sz val="10.0"/>
      </rPr>
      <t xml:space="preserve"> Using the hierarchical specification of the Product Readiness SSI (see Table 2), a preliminary DAG was obtained. Figure 10 shows the obtained DAG, with metrics as root nodes, factors as intermediate nodes, and the SSI as the leaf node. </t>
    </r>
    <r>
      <rPr>
        <rFont val="Arial"/>
        <b/>
        <color rgb="FF000000"/>
        <sz val="10.0"/>
      </rPr>
      <t>We held two virtual meetings with the team leader in order to complete a preliminary DAG with its corresponding states for each node.</t>
    </r>
    <r>
      <rPr>
        <rFont val="Arial"/>
        <color rgb="FF000000"/>
        <sz val="10.0"/>
      </rPr>
      <t xml:space="preserve"> The team leader decided the states of the nodes based on the product rules commonly used in Modeliosoft. </t>
    </r>
    <r>
      <rPr>
        <rFont val="Arial"/>
        <b/>
        <color rgb="FF000000"/>
        <sz val="10.0"/>
      </rPr>
      <t>The elicited states for the metric nodes are shown in [80] (Table A1), while the elicited states for the factor nodes and the SSI node are shown in [80] (Table A2)</t>
    </r>
    <r>
      <rPr>
        <rFont val="Arial"/>
        <color rgb="FF000000"/>
        <sz val="10.0"/>
      </rPr>
      <t xml:space="preserve">. </t>
    </r>
    <r>
      <rPr>
        <rFont val="Arial"/>
        <b/>
        <color rgb="FF000000"/>
        <sz val="10.0"/>
      </rPr>
      <t>Additionally, for the metric nodes (i.e., root nodes) it was required to specify their binning intervals, as they were computed and stored in the HistoricalNG database in the continuous interval [0, 1]. To ease the specification of the binning intervals, we used our implemented versions of the two main unsupervised binning algorithms (Equal-Width and Equal-Frequency binning). We showed the results to the team leader as a suggestion of the binning intervals, but he preferred to define his own binning intervals for each metric node, according to their usual (implicit) rules and thresholds.</t>
    </r>
    <r>
      <rPr>
        <rFont val="Arial"/>
        <color rgb="FF000000"/>
        <sz val="10.0"/>
      </rPr>
      <t xml:space="preserve"> The specified binning intervals can be found in [80] (Table A1, second column)."]</t>
    </r>
  </si>
  <si>
    <t>S117</t>
  </si>
  <si>
    <t>Frequency quantification from historical/empirical data (for root nodes), expert elicitation (child nodes with one parent), the WSA algorithm (for child nodes)</t>
  </si>
  <si>
    <t>P160</t>
  </si>
  <si>
    <t>Shorthill, T., Bao, H., Zhang, H., &amp; Ban, H.</t>
  </si>
  <si>
    <t>A novel approach for software reliability analysis of digital instrumentation and control systems in nuclear power plants</t>
  </si>
  <si>
    <r>
      <rPr>
        <rFont val="Arial"/>
        <color theme="1"/>
        <sz val="10.0"/>
      </rPr>
      <t xml:space="preserve">["To fill in the </t>
    </r>
    <r>
      <rPr>
        <rFont val="Arial"/>
        <b/>
        <color theme="1"/>
        <sz val="10.0"/>
      </rPr>
      <t>CPTs for root nodes</t>
    </r>
    <r>
      <rPr>
        <rFont val="Arial"/>
        <color theme="1"/>
        <sz val="10.0"/>
      </rPr>
      <t>, the probabilities of their states are</t>
    </r>
    <r>
      <rPr>
        <rFont val="Arial"/>
        <b/>
        <color theme="1"/>
        <sz val="10.0"/>
      </rPr>
      <t xml:space="preserve"> directly computed from the historical data through frequency quantification</t>
    </r>
    <r>
      <rPr>
        <rFont val="Arial"/>
        <color theme="1"/>
        <sz val="10.0"/>
      </rPr>
      <t xml:space="preserve">. </t>
    </r>
    <r>
      <rPr>
        <rFont val="Arial"/>
        <b/>
        <color theme="1"/>
        <sz val="10.0"/>
      </rPr>
      <t>CPTs for child nodes</t>
    </r>
    <r>
      <rPr>
        <rFont val="Arial"/>
        <color theme="1"/>
        <sz val="10.0"/>
      </rPr>
      <t xml:space="preserve"> are built based on the combinations of the states of their parent nodes. As the CPTs for these nodes grow exponentially depending on the number of parent nodes and their potential states, it might be not feasible for domain experts to manually fill in the probabilities for each combination. Therefore, for these cases, </t>
    </r>
    <r>
      <rPr>
        <rFont val="Arial"/>
        <b/>
        <color theme="1"/>
        <sz val="10.0"/>
      </rPr>
      <t>we consider the use of the WSA technique</t>
    </r>
    <r>
      <rPr>
        <rFont val="Arial"/>
        <color theme="1"/>
        <sz val="10.0"/>
      </rPr>
      <t xml:space="preserve"> [59] to ease the quantification of probabilities. This technique is based on expert knowledge and takes as input a set of compatible configurations for the node being quantified, their resulting probabilities and the relative weights of its parent nodes."] ["</t>
    </r>
    <r>
      <rPr>
        <rFont val="Arial"/>
        <b/>
        <color theme="1"/>
        <sz val="10.0"/>
      </rPr>
      <t>Tool support</t>
    </r>
    <r>
      <rPr>
        <rFont val="Arial"/>
        <color theme="1"/>
        <sz val="10.0"/>
      </rPr>
      <t xml:space="preserve">: We implemented a set of tools to support the semi-automatic generation of CPTs. </t>
    </r>
    <r>
      <rPr>
        <rFont val="Arial"/>
        <b/>
        <color theme="1"/>
        <sz val="10.0"/>
      </rPr>
      <t>For root nodes, the tool getFrequencyQuantification</t>
    </r>
    <r>
      <rPr>
        <rFont val="Arial"/>
        <color theme="1"/>
        <sz val="10.0"/>
      </rPr>
      <t xml:space="preserve"> [70] </t>
    </r>
    <r>
      <rPr>
        <rFont val="Arial"/>
        <b/>
        <color theme="1"/>
        <sz val="10.0"/>
      </rPr>
      <t xml:space="preserve">computes the CPTs through frequency quantification over the historical data, </t>
    </r>
    <r>
      <rPr>
        <rFont val="Arial"/>
        <color theme="1"/>
        <sz val="10.0"/>
      </rPr>
      <t xml:space="preserve">using the provided states and its corresponding binning intervals (from Step 2). For child nodes, </t>
    </r>
    <r>
      <rPr>
        <rFont val="Arial"/>
        <b/>
        <color theme="1"/>
        <sz val="10.0"/>
      </rPr>
      <t>we implemented a version of the WSA technique</t>
    </r>
    <r>
      <rPr>
        <rFont val="Arial"/>
        <color theme="1"/>
        <sz val="10.0"/>
      </rPr>
      <t xml:space="preserve"> (as we could not find any public available implementation). "] ["Step 5 – Estimation Model Validation This step aims to validate and/or </t>
    </r>
    <r>
      <rPr>
        <rFont val="Arial"/>
        <b/>
        <color theme="1"/>
        <sz val="10.0"/>
      </rPr>
      <t>recalibrate the model</t>
    </r>
    <r>
      <rPr>
        <rFont val="Arial"/>
        <color theme="1"/>
        <sz val="10.0"/>
      </rPr>
      <t xml:space="preserve"> resulting from the previous step. With this purpose, other works have suggested two validation methods: Model Walkthrough and Outcome Adequacy [34,56]. The SESSI method also applies these validation methods, but in contrast to the mentioned works, SESSI conducts the validation for all the nodes of the model, except for the metric nodes (as </t>
    </r>
    <r>
      <rPr>
        <rFont val="Arial"/>
        <b/>
        <color theme="1"/>
        <sz val="10.0"/>
      </rPr>
      <t>their CPTs are directly quantified from the training data and refined by the domain experts</t>
    </r>
    <r>
      <rPr>
        <rFont val="Arial"/>
        <color theme="1"/>
        <sz val="10.0"/>
      </rPr>
      <t>). This is particularly relevant to ensure the trustworthiness of the entire model, especially because of the use of the WSA semi-automatic approach for supporting the construction of the CPTs for child nodes. "] ["</t>
    </r>
    <r>
      <rPr>
        <rFont val="Arial"/>
        <b/>
        <color theme="1"/>
        <sz val="10.0"/>
      </rPr>
      <t>CPTs for metric nodes</t>
    </r>
    <r>
      <rPr>
        <rFont val="Arial"/>
        <color theme="1"/>
        <sz val="10.0"/>
      </rPr>
      <t xml:space="preserve"> were automatically computed from the training set, the specified states and their corresponding binning intervals. To do so, </t>
    </r>
    <r>
      <rPr>
        <rFont val="Arial"/>
        <b/>
        <color theme="1"/>
        <sz val="10.0"/>
      </rPr>
      <t>we applied frequency quantification</t>
    </r>
    <r>
      <rPr>
        <rFont val="Arial"/>
        <color theme="1"/>
        <sz val="10.0"/>
      </rPr>
      <t xml:space="preserve"> with our developed software tool getFrequencyQuantification [70]. </t>
    </r>
    <r>
      <rPr>
        <rFont val="Arial"/>
        <b/>
        <color theme="1"/>
        <sz val="10.0"/>
      </rPr>
      <t>The domain experts reviewed and refined the resulting CPTs according to their knowledge and rules.</t>
    </r>
    <r>
      <rPr>
        <rFont val="Arial"/>
        <color theme="1"/>
        <sz val="10.0"/>
      </rPr>
      <t xml:space="preserve"> (...) CPTs for factor and SSI nodes were manually or automatically filled in depending on their size. For instance, </t>
    </r>
    <r>
      <rPr>
        <rFont val="Arial"/>
        <b/>
        <color theme="1"/>
        <sz val="10.0"/>
      </rPr>
      <t>the CPT for the factor node Known Remaining Defects Closed ratio was manually filled in by domain experts</t>
    </r>
    <r>
      <rPr>
        <rFont val="Arial"/>
        <color theme="1"/>
        <sz val="10.0"/>
      </rPr>
      <t xml:space="preserve">, as it only had a parent node (Postponed Issues Closed Ratio) with the states (“Low”, “Medium”, “High”). So, its CPT resulted in 9 entries (3 rows of 3 probabilities each). </t>
    </r>
    <r>
      <rPr>
        <rFont val="Arial"/>
        <b/>
        <color theme="1"/>
        <sz val="10.0"/>
      </rPr>
      <t>The rest of the CPTs for factor and SSI nodes were large and required the application of the WSA technique</t>
    </r>
    <r>
      <rPr>
        <rFont val="Arial"/>
        <color theme="1"/>
        <sz val="10.0"/>
      </rPr>
      <t xml:space="preserve"> to reduce the number of entries to fill in."]</t>
    </r>
  </si>
  <si>
    <r>
      <rPr>
        <rFont val="Arial"/>
        <color rgb="FF000000"/>
        <sz val="10.0"/>
      </rPr>
      <t xml:space="preserve">["Step 5 – Estimation Model Validation Once the estimation model for the Product Readiness SSI was generated, we conducted the two validations mechanisms proposed by the SESSI method: </t>
    </r>
    <r>
      <rPr>
        <rFont val="Arial"/>
        <b/>
        <color rgb="FF000000"/>
        <sz val="10.0"/>
      </rPr>
      <t>Model Walkthrough and Outcome Adequacy</t>
    </r>
    <r>
      <rPr>
        <rFont val="Arial"/>
        <color rgb="FF000000"/>
        <sz val="10.0"/>
      </rPr>
      <t xml:space="preserve"> over its factor and SSI nodes. Model Walkthrough validation This validation aims to test and recalibrate the estimation model using hypothetical scenarios and the domain experts’ perceptions for these scenarios. Three domain experts participated in this activity: the project manager, the team leader and a developer."] ["Outcome Adequacy It aims to validate the model using real scenarios from the validation dataset. The project manager and the team leader participated in this validation as domain experts."]</t>
    </r>
  </si>
  <si>
    <r>
      <rPr>
        <rFont val="Arial"/>
        <color rgb="FF000000"/>
        <sz val="10.0"/>
      </rPr>
      <t xml:space="preserve">["3. The Proposed Non-Parametric Bayesian Networks Model. In this study, </t>
    </r>
    <r>
      <rPr>
        <rFont val="Arial"/>
        <b/>
        <color rgb="FF000000"/>
        <sz val="10.0"/>
      </rPr>
      <t xml:space="preserve">we modify a framework designed by Perkusich et al. [21] </t>
    </r>
    <r>
      <rPr>
        <rFont val="Arial"/>
        <color rgb="FF000000"/>
        <sz val="10.0"/>
      </rPr>
      <t xml:space="preserve">to build a non-parametric Bayesian networks model in predicting success rate of the Scrum-based software development project rather than detecting the problems in the project as in [22]. </t>
    </r>
    <r>
      <rPr>
        <rFont val="Arial"/>
        <b/>
        <color rgb="FF000000"/>
        <sz val="10.0"/>
      </rPr>
      <t>We also defined several required artifacts and metrics as discussed in [23] to build our proposed non-parametric Bayesian network model based on the variables defined in Section 2.</t>
    </r>
    <r>
      <rPr>
        <rFont val="Arial"/>
        <color rgb="FF000000"/>
        <sz val="10.0"/>
      </rPr>
      <t xml:space="preserve"> Table 1 shows the operationalization of variables used in the model as described in Section 2. There are seven variables considered as independent variables, i.e., P, H, M, K, N, Ti; and R. As known in each of the artifacts, K, N, Ti and R are determinants in the sprint backlog while P, H; and M are determinants in the product backlog. For monitoring purposes, we used forecasted work remaining on the sprint backlog (X) and product backlog (Y ), respectively, where X is a determinant of Y according to the </t>
    </r>
    <r>
      <rPr>
        <rFont val="Arial"/>
        <b/>
        <color rgb="FF000000"/>
        <sz val="10.0"/>
      </rPr>
      <t>Scrum framework</t>
    </r>
    <r>
      <rPr>
        <rFont val="Arial"/>
        <color rgb="FF000000"/>
        <sz val="10.0"/>
      </rPr>
      <t>. X is also a determinant for both D and V where they are determinants for Y . S is measured by three metrics, i.e., C, L; and Q, which are determined by X and Y . Based on this rule, we then construct a probabilistic graphical model [24] with mixed – discrete-continuous – variables [13], as known as non-parametric Bayesian networks model. Therefore, the success rate prediction problems in the Scrum-based software development project can be represented as a directed acyclic graph as illustrated in Figure 3 where discrete and continuous variables are distinguished by single and double ellipses, respectively. Remember that Bayesian (personal) probability has different meaning with classical probability where Bayesian refers to a degree of belief in an event while classical view refers to the true or physical probability of that event [25]."] ["</t>
    </r>
    <r>
      <rPr>
        <rFont val="Arial"/>
        <b/>
        <color rgb="FF000000"/>
        <sz val="10.0"/>
      </rPr>
      <t>The success rate of software development project can be classified into five categories, i.e., (i) significant changes; (ii) over time/budget, (iii) on time, on budget, on scope; (iv) canceled; and (v) postponed [19]. Moreover, in this study, each of success metrics is divided into three classes where the costs consist of lower costs, at costs, and higher costs; the deadline consists of in time, on time, and over time; and the quality consists of aspirational, appropriate, and acceptable. Furthermore, there are three dimensions of the complexity in the software development project, namely requirements, technology, and people [20].</t>
    </r>
    <r>
      <rPr>
        <rFont val="Arial"/>
        <color rgb="FF000000"/>
        <sz val="10.0"/>
      </rPr>
      <t xml:space="preserve"> However, in this study, we only considered two dimensions (i.e., requirements and technology) which divide the complexity into four levels, i.e., simple, complicated, complex, and anarchy, as illustrated in Figure 2. We construct a non-parametric Bayesian networks model by the level of complexity, success metrics, and Scrum framework to represent the success rate of the Scrum-based software development project as discussed in Section 3."]</t>
    </r>
  </si>
  <si>
    <t>The Ranked Nodes method, survey with practitioners</t>
  </si>
  <si>
    <r>
      <rPr>
        <rFont val="Arial"/>
        <color theme="1"/>
        <sz val="10.0"/>
      </rPr>
      <t xml:space="preserve">["We generate the </t>
    </r>
    <r>
      <rPr>
        <rFont val="Arial"/>
        <b/>
        <color theme="1"/>
        <sz val="10.0"/>
      </rPr>
      <t>node probability tables</t>
    </r>
    <r>
      <rPr>
        <rFont val="Arial"/>
        <color theme="1"/>
        <sz val="10.0"/>
      </rPr>
      <t xml:space="preserve"> using two algorithms based on: (i) </t>
    </r>
    <r>
      <rPr>
        <rFont val="Arial"/>
        <b/>
        <color theme="1"/>
        <sz val="10.0"/>
      </rPr>
      <t>ranked nodes</t>
    </r>
    <r>
      <rPr>
        <rFont val="Arial"/>
        <color theme="1"/>
        <sz val="10.0"/>
      </rPr>
      <t xml:space="preserve"> [27]; and (ii) </t>
    </r>
    <r>
      <rPr>
        <rFont val="Arial"/>
        <b/>
        <color theme="1"/>
        <sz val="10.0"/>
      </rPr>
      <t>survey and weight functions</t>
    </r>
    <r>
      <rPr>
        <rFont val="Arial"/>
        <color theme="1"/>
        <sz val="10.0"/>
      </rPr>
      <t xml:space="preserve"> [28], but in this study, we only used simulated survey for each scenario."]</t>
    </r>
  </si>
  <si>
    <r>
      <rPr>
        <rFont val="Arial"/>
        <color rgb="FF000000"/>
        <sz val="10.0"/>
      </rPr>
      <t xml:space="preserve">["We then design </t>
    </r>
    <r>
      <rPr>
        <rFont val="Arial"/>
        <b/>
        <color rgb="FF000000"/>
        <sz val="10.0"/>
      </rPr>
      <t>several scenarios</t>
    </r>
    <r>
      <rPr>
        <rFont val="Arial"/>
        <color rgb="FF000000"/>
        <sz val="10.0"/>
      </rPr>
      <t xml:space="preserve"> to the generated large-scale Scrum-based development projects with multiple stakeholders and multiple feature teams. We tried to </t>
    </r>
    <r>
      <rPr>
        <rFont val="Arial"/>
        <b/>
        <color rgb="FF000000"/>
        <sz val="10.0"/>
      </rPr>
      <t>simulate several variables</t>
    </r>
    <r>
      <rPr>
        <rFont val="Arial"/>
        <color rgb="FF000000"/>
        <sz val="10.0"/>
      </rPr>
      <t xml:space="preserve"> used in this model by using (rank nodes)-based as well as (survey and weight functions)-based algorithms. The experimental results show that the proposed model is running well so that it can be an alternative for Scrum team in predicting the success rate of the Scrum-based software development project."] ["4. Results and Discussion. We designed the experiments for large-scale Scrum-based development project with multiple stakeholders and multiple feature teams as described in [26] and [15]. The experiments designed are related to the number of stakeholders (H) who provide input in the implementation of Scrum; the number of workers (N) in the team along with the number of feature teams (K) formed; the number of defects (R); as well as the number of features (M) in the product backlog along with the number of tasks (Ti) in the sprint backlog for each of features (i), which tested on four levels of complexity (P) of the Scrum-based software development project and both of sprint review (D) and sprint retrospective (V ) labels. To simplify the experiment, we specify the sprint time duration to be four weeks, five days each, and maximum number of sprints is ten times. Based on the proposed non-parametric Bayesian networks model, we tried to simulate some of variables used in this model to show its effect on the success rate (S) as well as success metrics, i.e., cost (C), deadline (L), and quality (Q). We generate the node probability tables using two algorithms based on: (i) ranked nodes [27]; and (ii) survey and weight functions [28], but in this study, we only used simulated survey for each scenario. Note that we can use a time series model, such as Autoregressive Integrated Moving Average (ARIMA) model, to forecast both of the work remaining on the product backlog (Y ) and the sprint backlog (X) in monitoring ongoing project performance according to the forecasted data from real-time artifacts (daily updates of work remaining on the sprint backlog and release backlog). </t>
    </r>
    <r>
      <rPr>
        <rFont val="Arial"/>
        <b/>
        <color rgb="FF000000"/>
        <sz val="10.0"/>
      </rPr>
      <t>Table 2 shows the example of simulation results for some specific values of other variables based on Table 1</t>
    </r>
    <r>
      <rPr>
        <rFont val="Arial"/>
        <color rgb="FF000000"/>
        <sz val="10.0"/>
      </rPr>
      <t xml:space="preserve">. </t>
    </r>
    <r>
      <rPr>
        <rFont val="Arial"/>
        <b/>
        <color rgb="FF000000"/>
        <sz val="10.0"/>
      </rPr>
      <t>We can see that the non-parametric Bayesian networks model built is running well in predicting the success rate of the Scrum-based software development project.</t>
    </r>
    <r>
      <rPr>
        <rFont val="Arial"/>
        <color rgb="FF000000"/>
        <sz val="10.0"/>
      </rPr>
      <t xml:space="preserve"> "] ["</t>
    </r>
    <r>
      <rPr>
        <rFont val="Arial"/>
        <b/>
        <color rgb="FF000000"/>
        <sz val="10.0"/>
      </rPr>
      <t>The model has also been validated through a number of simulated experiments designed based on certain scenarios</t>
    </r>
    <r>
      <rPr>
        <rFont val="Arial"/>
        <color rgb="FF000000"/>
        <sz val="10.0"/>
      </rPr>
      <t xml:space="preserve"> to be implemented in the generated large-scale software development projects with multiple stakeholders and multiple feature teams. The experiments designed are related to the number of stakeholders who provide input in the implementation of Scrum; the number of workers in the team along with the number of feature teams formed; the number of defects; as well as the number of features in the product backlog along with the number of tasks in the sprint backlog for each of features, which tested on four levels of complexity of the Scrum-based software development project and both of sprint review and sprint retrospective labels with fixed sprint time duration and fixed maximum number of sprints. In this experiment, we used two algorithms, (rank nodes)-based as well as (simulated survey and weight functions)-based, to generate the node probability tables in the non-parametric Bayesian networks model. The simulation results show that the non-parametric Bayesian networks model built is running well in predicting the success rate of the Scrum-based software development project. The success rate prediction of this generated project is classified into over time/budget where it is most likely of spending lower costs than it should be, but still produces the appropriate quality, even though it will miss the deadline. We also know that changes in the number of features in the product backlog have a significant effect on the success rate prediction. This sensitivity analysis can be developed further for other variables."]</t>
    </r>
  </si>
  <si>
    <t>["The change in requirements predicted earlier can preserve precious resources. Therefore, factors related to stakeholders, developers, and experts having a higher impact on requirements change should be analyzed in detail to predict requirements change at the early stages of software development. To address these limitations, a change prediction process model is proposed based on the weaknesses of existing literature. The knowledge related to these factors is incorporated in the Bayesian network; the results obtained are promising. "] ["II. LITERATURE REVIEW To know the strengths and limitations of the existing work, in this section, the literature related to the requirements change prediction techniques is reviewed. Detailed review is conducted as under. (...) In this section, different prediction models are reviewed among which the results reported by Bayesian network models are more promising. However, these prediction methods consider limited factors while predicting the requirements change in software systems. So, the consideration of limited factors might affect the accuracy of prediction. Therefore, for better prediction, a prediction model should consider the experts' knowledge, developer opinions, and stakeholders’ preference along with other factors as mentioned in Table 2, which might increase the probability of accuracy. "] ["Il. In this section, a brief requirement change prediction methodology is discussed. REQUIREMENT CHANGE PREDICTION METHODOLOGY A. Data Collection We used a questionnaire for data collection. For this purpose, we selected an online registration system. We collected data from the experts, stakeholders, and developers. The dataset consists of 300 responses. As we have designed three questionnaires separately for stakeholders, experts, and developers. B. Data Analysis The questionnaire responses were recorded in the excel sheet. We performed data cleaning and data analysis with the help of IBM SPSS Statistics Version 27.0.0.0. We performed descriptive analysis to analyze the mean, median, mode, variance, standard deviation range (Table 1 and Figure 1). We also executed normalization tests on the data to analyze the normality of the data. We also determined correlation and regression between dependent and independent variables to analyze the relationship between them. The results proved significant as p values (below 0.05). C. Bayesian Network Construction After acquiring data from the experts, stakeholders, and developers, the Bayesian network formation was performed with the help of expert knowledge (used in network construction). Bayesian networks are directed Acyclic graphs which consist of nodes considered as variables {vz, v2....vn}. These variables are connected with the arcs which show the relationships between the variables. Each of the variables has a conditional probability associated with it. The joint probability distribution can be calculated by combining the probabilities of all variables. The conditional probabilities of variables were obtained from the data collected from experts, stakeholders, and developers. We used the Netica tool for the construction of the Bayesian network. In Netica, tool initial probabilities of the variables were fed while the inference process was used to calculate the posterior probability of the probabilities, the model produces the results for different States. IV. PROCESS MODEL One of the biggest issues being faced by the project manager during software development is the change in the software requirements. If the potential changes are being identified at earlier stages of software development may preserve the precious resources of the project. In this regard, to identify the possible changes in the SRS document a comprehensive process model is proposed in Figure 3. The proposed process model accepts SRS documents to predict the change based on some important parameters (variables). We collected and analyzed these variables (with the help of domain experts) which may cause changes in the variables. The demonstration of the Netica tool is shown in Figure 2. In this network the dependent variables are commitment, cost &amp; schedule, quality, consistency, variability, revisions, and independent variables are specificities, dependencies, technological needs, expertise, verifiable, ambiguity, completion, reusability. To perform the inference in the Netica, we trained the model on data, stored in excel sheets along with the conditional probabilities of each variable. By compiling and incorporating the initial SRS. The probability of change in requirements document due to these variables are measured and categorized into high or low. In this regard, a Bayesian network was constructed in the Netica tool by considering dependencies of variables. Initially, probabilities were calculated by multiplying the probabilities of variables with the regression values of variables along with the weights proposed for developers, stakeholders, and experts. By measuring the subsequent probabilities, the higher probability indicates the change in requirements will occur, so the revision in the requirement document should be considered and a loop for requirement gathering should be initiated. "] ["To know the strengths and weaknesses of the requirement change prediction studies, a comparative evaluation is performed in Table 2. The evaluation criteria are divided into two categories; Project Estimation and Project Management. Evaluation criteria is based on key variables derived from literature; having higher impact on requirements change. In this regard, the weighting technique was applied and the variables having higher values were selected. Moreover, all of these variables were also discussed with the experts before finalizing them. From comparative evaluation (Table 2), It is observed that the requirements change prediction model proposed by Misirli et al. [16], meets most of the requirements but it does not consider some important requirements like the consideration of expert knowledge, developer expertise, and completeness, etc. Overall, the prediction approaches have least considered the requirement of the project estimation category. These limitations were considered while proposing the prediction model and the comparative evaluation (Table 2) confirms it. "]</t>
  </si>
  <si>
    <t>Survey with practitioners, correlation analysis, regression analysis</t>
  </si>
  <si>
    <r>
      <rPr>
        <rFont val="Arial"/>
        <color rgb="FF000000"/>
        <sz val="10.0"/>
      </rPr>
      <t xml:space="preserve">["The main contributions of the work are summarized as follows. - Performing a </t>
    </r>
    <r>
      <rPr>
        <rFont val="Arial"/>
        <b/>
        <color rgb="FF000000"/>
        <sz val="10.0"/>
      </rPr>
      <t>detailed literature review and deriving the requirement variables that support the prediction model for acquiring the probability of changes.</t>
    </r>
    <r>
      <rPr>
        <rFont val="Arial"/>
        <color rgb="FF000000"/>
        <sz val="10.0"/>
      </rPr>
      <t xml:space="preserve"> - </t>
    </r>
    <r>
      <rPr>
        <rFont val="Arial"/>
        <b/>
        <color rgb="FF000000"/>
        <sz val="10.0"/>
      </rPr>
      <t>Defining the core requirement variables with the consultation of experts and weighting techniques</t>
    </r>
    <r>
      <rPr>
        <rFont val="Arial"/>
        <color rgb="FF000000"/>
        <sz val="10.0"/>
      </rPr>
      <t xml:space="preserve">. - Developing a refined dataset with the help of a questionnaire. </t>
    </r>
    <r>
      <rPr>
        <rFont val="Arial"/>
        <b/>
        <color rgb="FF000000"/>
        <sz val="10.0"/>
      </rPr>
      <t>This questionnaire was given to stakeholders, developers, and experts to acquire their knowledge of the set of requirements</t>
    </r>
    <r>
      <rPr>
        <rFont val="Arial"/>
        <color rgb="FF000000"/>
        <sz val="10.0"/>
      </rPr>
      <t xml:space="preserve">. - Developing a prediction model in the Bayesian network with nodes and arcs to predict the probability of changes in software requirements. Nodes are the core variables with the conditional probabilities acquired by the dataset. - The proposed algorithm includes a variable elimination method for predicting requirement changes in the specification document. This algorithm takes the Bayesian network conditional probabilities as an input and provides the probability of revisions in the requirement document. - Evaluation of the proposed model by comparing it with the existing models in terms of the accuracy and validity of this model."] ["Literature studies lack a consideration of the sophisticated variables (e.g., developer skills, stakeholder expertise, technological needs, verification, consistency, ambiguity, and quality). </t>
    </r>
    <r>
      <rPr>
        <rFont val="Arial"/>
        <b/>
        <color rgb="FF000000"/>
        <sz val="10.0"/>
      </rPr>
      <t>These variables were collected from the literature by using weighting techniques and shortlisted using expert opinion</t>
    </r>
    <r>
      <rPr>
        <rFont val="Arial"/>
        <color rgb="FF000000"/>
        <sz val="10.0"/>
      </rPr>
      <t xml:space="preserve">. </t>
    </r>
    <r>
      <rPr>
        <rFont val="Arial"/>
        <b/>
        <color rgb="FF000000"/>
        <sz val="10.0"/>
      </rPr>
      <t>The experts categorized these variables into two groups: project estimation and management.</t>
    </r>
    <r>
      <rPr>
        <rFont val="Arial"/>
        <color rgb="FF000000"/>
        <sz val="10.0"/>
      </rPr>
      <t xml:space="preserve"> Table 1 provides the details of the variables and their descriptions."] ["3. Proposed Approach The methodology of the proposed approach is presented in Figure 1. </t>
    </r>
    <r>
      <rPr>
        <rFont val="Arial"/>
        <b/>
        <color rgb="FF000000"/>
        <sz val="10.0"/>
      </rPr>
      <t>After the detailed literature review, the core factors/variables that led to the research problem were introduced</t>
    </r>
    <r>
      <rPr>
        <rFont val="Arial"/>
        <color rgb="FF000000"/>
        <sz val="10.0"/>
      </rPr>
      <t xml:space="preserve">. According to the problem, the study presents a probabilistic Bayesian model for variable change predictions. We gathered data against these variables and integrated them into the model. "] ["Requirements are repeatedly passed from the complete cycle to measure the change in the requirement specification document. First, the requirements were gathered and explored for students’ management software. The requirements were listed in a document called the SRS document. After that, we identified the variables for analyzing the requirements. We analyzed the variables that support change predictions in the requirements document from the literature. </t>
    </r>
    <r>
      <rPr>
        <rFont val="Arial"/>
        <b/>
        <color rgb="FF000000"/>
        <sz val="10.0"/>
      </rPr>
      <t xml:space="preserve">We derived the core productive variables from experts’ suggestions and requirements engineers from relevant variables. </t>
    </r>
    <r>
      <rPr>
        <rFont val="Arial"/>
        <color rgb="FF000000"/>
        <sz val="10.0"/>
      </rPr>
      <t>The selected core variables measure the probability of change as follows."] ["</t>
    </r>
    <r>
      <rPr>
        <rFont val="Arial"/>
        <b/>
        <color rgb="FF000000"/>
        <sz val="10.0"/>
      </rPr>
      <t>We performed a detailed systematic literature review to find the variables that can be used for the accurate prediction of changes in requirements.</t>
    </r>
    <r>
      <rPr>
        <rFont val="Arial"/>
        <color rgb="FF000000"/>
        <sz val="10.0"/>
      </rPr>
      <t xml:space="preserve"> We observed that existing approaches use a few variables for change predictions resulting in compromised accuracy, whereas relatively few approaches consider expert knowledge and requirements matrices. Thus, in this work, we discovered the core factors from the literature that are the most influential on the revision of requirement specifications and utilized them in the construction of the Bayesian network."] ["3.2. Data Analysis The information was gathered in an Excel spreadsheet; whereas for data analysis, IBM SPSS Statistics Version 27.0.0.0 was used to clean and analyze the data. The data’s mean, median, mode, variance, standard deviation range, and missing values were examined using descriptive analysis. Table 2 presents the results of descriptive analysis. It shows the mean, median, mode, variance, standard deviation, and missing values of the variables. We applied a normalization test to determine whether the data were normally distributed. The findings are statistically significant since all alpha values (p-value) were less than 0.05 (there is a less than 5% chance that the data being tested have an error). </t>
    </r>
    <r>
      <rPr>
        <rFont val="Arial"/>
        <b/>
        <color rgb="FF000000"/>
        <sz val="10.0"/>
      </rPr>
      <t>Moreover, we also analyzed the relationship between the dependent and independent variables by determining their correlation and regression.</t>
    </r>
    <r>
      <rPr>
        <rFont val="Arial"/>
        <color rgb="FF000000"/>
        <sz val="10.0"/>
      </rPr>
      <t xml:space="preserve"> </t>
    </r>
    <r>
      <rPr>
        <rFont val="Arial"/>
        <b/>
        <color rgb="FF000000"/>
        <sz val="10.0"/>
      </rPr>
      <t>Table 3 demonstrates how close the proposed model is to the regression line</t>
    </r>
    <r>
      <rPr>
        <rFont val="Arial"/>
        <color rgb="FF000000"/>
        <sz val="10.0"/>
      </rPr>
      <t xml:space="preserve">, as the values are between 0 and 100%; thus, these are best fitted to the model. The table shows that the values are significant, as they are below the alpha value (0.05). </t>
    </r>
    <r>
      <rPr>
        <rFont val="Arial"/>
        <b/>
        <color rgb="FF000000"/>
        <sz val="10.0"/>
      </rPr>
      <t>As the regression values validate the fitness of the model and the relation between variables, we will utilize them in calculating the conditional probabilities between variables</t>
    </r>
    <r>
      <rPr>
        <rFont val="Arial"/>
        <color rgb="FF000000"/>
        <sz val="10.0"/>
      </rPr>
      <t>."]</t>
    </r>
  </si>
  <si>
    <t>Survey with practitioners, frequency quantification from historical/empirical data, learning from data using an automated tool</t>
  </si>
  <si>
    <r>
      <rPr>
        <rFont val="Arial"/>
        <color theme="1"/>
        <sz val="10.0"/>
      </rPr>
      <t xml:space="preserve">["3.1. Data Collection To evaluate the proposed system, </t>
    </r>
    <r>
      <rPr>
        <rFont val="Arial"/>
        <b/>
        <color theme="1"/>
        <sz val="10.0"/>
      </rPr>
      <t>a questionnaire was used for data collection</t>
    </r>
    <r>
      <rPr>
        <rFont val="Arial"/>
        <color theme="1"/>
        <sz val="10.0"/>
      </rPr>
      <t xml:space="preserve">. Certain software requirements were framed on the questionnaire and distributed online to experts for rating. Data were collected from the system analysts, stakeholders, quality assurance experts, and developers. (...) The questionnaire’s first section describes the aims and objectives of data collection and the variables on which the requirement probability will be measured. In the second section, the directions about the questionnaire are given, and in the third section, requirements are given along with the questions related to each variable. The respondents have to respond on the scale along with each question. The scale was organized as follows: 1: very low, 2: low, 3: high, and 4: very high. </t>
    </r>
    <r>
      <rPr>
        <rFont val="Arial"/>
        <b/>
        <color theme="1"/>
        <sz val="10.0"/>
      </rPr>
      <t>The scale was used for rating the particular requirements, which shows the probability value estimated by respondents</t>
    </r>
    <r>
      <rPr>
        <rFont val="Arial"/>
        <color theme="1"/>
        <sz val="10.0"/>
      </rPr>
      <t xml:space="preserve">. The dataset comprises the responses of the system analysts, developers, and quality assurance experts on the requirements of the online registration system. The dataset ensures a minimum of three hundred responses. </t>
    </r>
    <r>
      <rPr>
        <rFont val="Arial"/>
        <b/>
        <color theme="1"/>
        <sz val="10.0"/>
      </rPr>
      <t>After obtaining responses, the probability of each variable is calculated</t>
    </r>
    <r>
      <rPr>
        <rFont val="Arial"/>
        <color theme="1"/>
        <sz val="10.0"/>
      </rPr>
      <t xml:space="preserve">. We assign weights to each person’s response according to their knowledge and expertise. As the experts have a high experience and knowledge in the domain, we assigned a 50% weightage to their responses. Likewise, we assigned a 30% weight to the system analysts and a 20% weightage to the developers. "] ["3.3. Bayesian Network Construction with Netica Data collected from experts, stakeholders, and developers aided in developing the Bayesian network. (...) In a Bayesian network, the posterior probability of a particular variable is calculated using the inference process. </t>
    </r>
    <r>
      <rPr>
        <rFont val="Arial"/>
        <b/>
        <color theme="1"/>
        <sz val="10.0"/>
      </rPr>
      <t xml:space="preserve">The conditional probability of variables was obtained from experts, stakeholders, and developers by defining the probability scale and taking the averages. </t>
    </r>
    <r>
      <rPr>
        <rFont val="Arial"/>
        <color theme="1"/>
        <sz val="10.0"/>
      </rPr>
      <t xml:space="preserve">The proposed Bayesian network is constructed using the Netica tool. The Netica tool develops the considered Bayesian network by incorporating expert knowledge to obtain the conditional probabilities. By inputting the variables’ prior probabilities and running the tool, Netica determines the variables’ posterior probabilities. </t>
    </r>
    <r>
      <rPr>
        <rFont val="Arial"/>
        <b/>
        <color theme="1"/>
        <sz val="10.0"/>
      </rPr>
      <t>The model can learn the Excel data file</t>
    </r>
    <r>
      <rPr>
        <rFont val="Arial"/>
        <color theme="1"/>
        <sz val="10.0"/>
      </rPr>
      <t xml:space="preserve"> to perform the inference in Netica. Figure 2 presents the construction of the Bayesian network over Netica. In this network, the dependent variables are commitment, cost and schedule, quality, consistency, variability, and revisions. Furthermore, the independent variables are specificity, dependencies, technological needs, expertise, verifiable, ambiguity, completion, and reusability. The initial probability values of nodes are set to low, and high. By selecting the states, the dialog box is settled to discrete variables. The probability is measured in percentage for each variable. To perform the inference, the model is made capable of learning. For this purpose, </t>
    </r>
    <r>
      <rPr>
        <rFont val="Arial"/>
        <b/>
        <color theme="1"/>
        <sz val="10.0"/>
      </rPr>
      <t>an Excel data sheet is incorporated into Netica, which has the same name as the nodes and the frequency associated with the nodes</t>
    </r>
    <r>
      <rPr>
        <rFont val="Arial"/>
        <color theme="1"/>
        <sz val="10.0"/>
      </rPr>
      <t>.</t>
    </r>
    <r>
      <rPr>
        <rFont val="Arial"/>
        <b/>
        <color theme="1"/>
        <sz val="10.0"/>
      </rPr>
      <t xml:space="preserve"> When the file is added into Netica, it will set the conditional probabilities in tables by reading the file. </t>
    </r>
    <r>
      <rPr>
        <rFont val="Arial"/>
        <color theme="1"/>
        <sz val="10.0"/>
      </rPr>
      <t>The data of the high and low states of the node variables are incorporated from the case file. Compiling and incorporating the different case files will provide the results for different states."]</t>
    </r>
  </si>
  <si>
    <t>Comparison with existing models, statistical measures (Mean Magnitude Relative Error (MMRE), Root Mean Square Error (RMSE))</t>
  </si>
  <si>
    <r>
      <rPr>
        <rFont val="Arial"/>
        <color rgb="FF000000"/>
        <sz val="10.0"/>
      </rPr>
      <t xml:space="preserve">["4.1.3. </t>
    </r>
    <r>
      <rPr>
        <rFont val="Arial"/>
        <b/>
        <color rgb="FF000000"/>
        <sz val="10.0"/>
      </rPr>
      <t xml:space="preserve">Sensitivity Analysis </t>
    </r>
    <r>
      <rPr>
        <rFont val="Arial"/>
        <color rgb="FF000000"/>
        <sz val="10.0"/>
      </rPr>
      <t xml:space="preserve">We calculated the posterior probability of the target variable by increasing the values of the prior probabilities of the variables in the network. (...) The probabilities (before and after the increase) of variables (quality, reusability, variability, and consistency) are presented in Table 4. The distance between the old probability values of the variables is calculated by Equation (1) and the new probability of revision is calculated by Equation (2). The revisions in the Bayesian network are dependent on the quality, reusability, variability, and consistency. To analyze the effect of the revisions, the conditional probabilities were increased by 5% </t>
    </r>
    <r>
      <rPr>
        <rFont val="Arial"/>
        <b/>
        <color rgb="FF000000"/>
        <sz val="10.0"/>
      </rPr>
      <t>(suggested by experts</t>
    </r>
    <r>
      <rPr>
        <rFont val="Arial"/>
        <color rgb="FF000000"/>
        <sz val="10.0"/>
      </rPr>
      <t xml:space="preserve">). Table 4 shows the results of the posterior probability of revisions as a result of increasing the probability of the given variables. The results demonstrate that there is little effect on the posterior probability, except in the variability values of 0.38 for the low state and 0.62 for the high state."]["4.2. </t>
    </r>
    <r>
      <rPr>
        <rFont val="Arial"/>
        <b/>
        <color rgb="FF000000"/>
        <sz val="10.0"/>
      </rPr>
      <t>Accuracy Measurement</t>
    </r>
    <r>
      <rPr>
        <rFont val="Arial"/>
        <color rgb="FF000000"/>
        <sz val="10.0"/>
      </rPr>
      <t xml:space="preserve"> In this section, </t>
    </r>
    <r>
      <rPr>
        <rFont val="Arial"/>
        <b/>
        <color rgb="FF000000"/>
        <sz val="10.0"/>
      </rPr>
      <t>the accuracy values of the del Sagrado et al. [13] model and the proposed model are computed by the mean magnitude error (Equation (3)) and root mean square error (Equation (4)).</t>
    </r>
    <r>
      <rPr>
        <rFont val="Arial"/>
        <color rgb="FF000000"/>
        <sz val="10.0"/>
      </rPr>
      <t>(...) Low values of the root mean square error and mean magnitude relative error mean a higher accuracy of predictions. The lower the number of revisions, the higher the reliability of the requirement specification document. The values of the MMRE and RMSE of the proposed model are 0.0042 and 0.0026, while the MMRE and RMSE values of del Sagrado et al. [13] are 0.0052 and 0.0032. As the proposed model MMRE and RMSE values are lower than the del Sagrado et al. [13] model, the proposed model achieved a higher performance than the existing model."] ["The results obtained from both models by varying the values of each variable depict that the probability of revisions remains low in the proposed model as compared to the del Sagrado et al. [13] model. We also proposed two scenarios with experts’ suggestions for the prediction of revisions in the SRS document and recorded the results. The scenarios are as follows: Scenario 1: Specificity = High, Expertise = High, Verification = High, Ambiguity = Low, Dependency = Low, Technology = High, Completeness = High, Reusability = High, Commitment = High, Cost and Schedule = Low, Consistency = High, Quality = High, Variability = Low, Revisions = Low. Scenario 2: Specificity = Low, Expertise = Low, verification = Low, Ambiguity = High, Dependency = High, Technology = Low, completeness = Low, Reusability = Low, Commitment = Low, Cost and Schedule = High, Consistency = High, Quality = High, Variability = High, Revisions = High. The results of the proposed model and the del Sagrado et al. [13] model after applying both scenarios are presented in Table 8."] ["</t>
    </r>
    <r>
      <rPr>
        <rFont val="Arial"/>
        <b/>
        <color rgb="FF000000"/>
        <sz val="10.0"/>
      </rPr>
      <t>In this section, the proposed model is evaluated by (i) comparing results, (ii) sensitivity analysis, and (iii) accuracy calculation. We performed a sensitivity analysis by using four variables to measure the effects on the posterior probability of revisions. The accuracy of the proposed model is calculated through two methods: (i) mean magnitude relative error and (ii) root mean square error.</t>
    </r>
    <r>
      <rPr>
        <rFont val="Arial"/>
        <color rgb="FF000000"/>
        <sz val="10.0"/>
      </rPr>
      <t xml:space="preserve"> The MMRE and RMSE values of the proposed model are 0.0042 and 0.0026, while the MMRE and RMSE values of del Sagrado et al. [13] are 0.0052 and 0.0032, respectively. As lower values are better, it is concluded that the proposed model has a better accuracy."] </t>
    </r>
  </si>
  <si>
    <r>
      <rPr>
        <rFont val="Arial"/>
        <color theme="1"/>
        <sz val="10.0"/>
      </rPr>
      <t xml:space="preserve">["In our research, only common risk factors (that the Agile software development and the traditional software development have in common) and affect software scheduling and planning are examined. These common risk factors are also considered as specific risks which are common to many activities or tasks in a project. They can be mostly derived from development environment, process issues, staff size, and experience and schedule risks. </t>
    </r>
    <r>
      <rPr>
        <rFont val="Arial"/>
        <b/>
        <color theme="1"/>
        <sz val="10.0"/>
      </rPr>
      <t>In order to identify them, the three lists of risk factors mentioned above [9, 10, 16] are compared and combined</t>
    </r>
    <r>
      <rPr>
        <rFont val="Arial"/>
        <color theme="1"/>
        <sz val="10.0"/>
      </rPr>
      <t xml:space="preserve"> (in consideration of the planning phase of software development) with the same method used by N. T. Nguyen and Q. T. Huynh [17]. The comparison and combination were based on the risk factors’ description, even when they are not stated literally the same."] ["</t>
    </r>
    <r>
      <rPr>
        <rFont val="Arial"/>
        <b/>
        <color theme="1"/>
        <sz val="10.0"/>
      </rPr>
      <t>The Table 2 lists the 19 common risk factors</t>
    </r>
    <r>
      <rPr>
        <rFont val="Arial"/>
        <color theme="1"/>
        <sz val="10.0"/>
      </rPr>
      <t xml:space="preserve"> directly or indirectly influence the possibility of a schedule success, which </t>
    </r>
    <r>
      <rPr>
        <rFont val="Arial"/>
        <b/>
        <color theme="1"/>
        <sz val="10.0"/>
      </rPr>
      <t>combined from the three researches mentioned above</t>
    </r>
    <r>
      <rPr>
        <rFont val="Arial"/>
        <color theme="1"/>
        <sz val="10.0"/>
      </rPr>
      <t xml:space="preserve">. </t>
    </r>
    <r>
      <rPr>
        <rFont val="Arial"/>
        <b/>
        <color theme="1"/>
        <sz val="10.0"/>
      </rPr>
      <t>Their relationships were formed based on the literature in which the risk factors were described.</t>
    </r>
    <r>
      <rPr>
        <rFont val="Arial"/>
        <color theme="1"/>
        <sz val="10.0"/>
      </rPr>
      <t xml:space="preserve"> For example, risk factor (1) Large-scale, offshore and distributed would lead to risk factors (2) Insufficient training and (19) Lack of management experience due to the size and complexity of such a project. "] ["To form the overall CPM network (or the overall BN), in which a task is a node (and also a variable in BN), we define the connection between dependent variables. Predecessor node i and successor node j are connected by: • Connecting EF of i with ES of j; • Connecting LS of j with LF of i. In the directed graph CPM, each task is associated with parameters D, LS, LF, ES, and EF. </t>
    </r>
    <r>
      <rPr>
        <rFont val="Arial"/>
        <b/>
        <color theme="1"/>
        <sz val="10.0"/>
      </rPr>
      <t>In our model, each task is also affected by a general risk which represents the set of 19 risks.  Another BN formed is the BN for 19 common risk factors and a general risk (Figure 3). Their relationship is also analyzed based on literature review [10, 16] and project managers’ experience.</t>
    </r>
    <r>
      <rPr>
        <rFont val="Arial"/>
        <color theme="1"/>
        <sz val="10.0"/>
      </rPr>
      <t xml:space="preserve"> "]</t>
    </r>
  </si>
  <si>
    <r>
      <rPr>
        <rFont val="Arial"/>
        <color theme="1"/>
        <sz val="10.0"/>
      </rPr>
      <t xml:space="preserve">["In addition, </t>
    </r>
    <r>
      <rPr>
        <rFont val="Arial"/>
        <b/>
        <color theme="1"/>
        <sz val="10.0"/>
      </rPr>
      <t>each risk factor or node is associated with a node probability table (NPT</t>
    </r>
    <r>
      <rPr>
        <rFont val="Arial"/>
        <color theme="1"/>
        <sz val="10.0"/>
      </rPr>
      <t xml:space="preserve">). </t>
    </r>
    <r>
      <rPr>
        <rFont val="Arial"/>
        <b/>
        <color theme="1"/>
        <sz val="10.0"/>
      </rPr>
      <t>In our research, each project team or project manager played as an expert to provide the values in the NPTs (based on his/her previous experience on the project features and the team)</t>
    </r>
    <r>
      <rPr>
        <rFont val="Arial"/>
        <color theme="1"/>
        <sz val="10.0"/>
      </rPr>
      <t xml:space="preserve">."] ["3.2 Experimental results and analysis Data samples used in the experiments can be categorized as: • Data samples used for CPM algorithm: sets of tasks with start time, duration and precedence constraints.
• </t>
    </r>
    <r>
      <rPr>
        <rFont val="Arial"/>
        <b/>
        <color theme="1"/>
        <sz val="10.0"/>
      </rPr>
      <t>Data samples used for BNs: NPTs of nodes, which often provided by the project manager or some project expert.</t>
    </r>
    <r>
      <rPr>
        <rFont val="Arial"/>
        <color theme="1"/>
        <sz val="10.0"/>
      </rPr>
      <t xml:space="preserve">"] ["Data samples for BNs: Nodes in the BN are risks (or uncertainty) for each task of the project. </t>
    </r>
    <r>
      <rPr>
        <rFont val="Arial"/>
        <b/>
        <color theme="1"/>
        <sz val="10.0"/>
      </rPr>
      <t>The authors asked project managers and some other key people of the projects to judge the NPTs and relationship of risks based on their experience in their projects</t>
    </r>
    <r>
      <rPr>
        <rFont val="Arial"/>
        <color theme="1"/>
        <sz val="10.0"/>
      </rPr>
      <t>. They provided as initial input a particular set of values for the node's parent variables, and the NPTs of the variable represented by the node. There were 7 sets of NPTs provided by the project managers for the authors’ BNs of 19 common risks. Each task is impacted by one of these 7 sets of BNs."]</t>
    </r>
  </si>
  <si>
    <r>
      <rPr>
        <rFont val="Arial"/>
        <color theme="1"/>
        <sz val="10.0"/>
      </rPr>
      <t xml:space="preserve">["3.2 Experimental results and analysis </t>
    </r>
    <r>
      <rPr>
        <rFont val="Arial"/>
        <b/>
        <color theme="1"/>
        <sz val="10.0"/>
      </rPr>
      <t>Data samples used in the experiments can be categorized as</t>
    </r>
    <r>
      <rPr>
        <rFont val="Arial"/>
        <color theme="1"/>
        <sz val="10.0"/>
      </rPr>
      <t xml:space="preserve">: • </t>
    </r>
    <r>
      <rPr>
        <rFont val="Arial"/>
        <b/>
        <color theme="1"/>
        <sz val="10.0"/>
      </rPr>
      <t>Data samples used for CPM algorithm: sets of tasks with start time, duration and precedence constraints.• Data samples used for BNs: NPTs of nodes, which often provided by the project manager or some project expert. Data samples for CPM algorithm: two samples from real-life projects as shown in Table 4 and Table 5.</t>
    </r>
    <r>
      <rPr>
        <rFont val="Arial"/>
        <color theme="1"/>
        <sz val="10.0"/>
      </rPr>
      <t>"] ["For the first experiment: the</t>
    </r>
    <r>
      <rPr>
        <rFont val="Arial"/>
        <b/>
        <color theme="1"/>
        <sz val="10.0"/>
      </rPr>
      <t xml:space="preserve"> possibility of finishing on time</t>
    </r>
    <r>
      <rPr>
        <rFont val="Arial"/>
        <color theme="1"/>
        <sz val="10.0"/>
      </rPr>
      <t xml:space="preserve"> </t>
    </r>
    <r>
      <rPr>
        <rFont val="Arial"/>
        <b/>
        <color theme="1"/>
        <sz val="10.0"/>
      </rPr>
      <t>(as planned 80 days</t>
    </r>
    <r>
      <rPr>
        <rFont val="Arial"/>
        <color theme="1"/>
        <sz val="10.0"/>
      </rPr>
      <t xml:space="preserve">) is 67.56% (Figure 7). </t>
    </r>
    <r>
      <rPr>
        <rFont val="Arial"/>
        <b/>
        <color theme="1"/>
        <sz val="10.0"/>
      </rPr>
      <t>In fact, the project is done in 95 days</t>
    </r>
    <r>
      <rPr>
        <rFont val="Arial"/>
        <color theme="1"/>
        <sz val="10.0"/>
      </rPr>
      <t>, with the possibility calculated by the tool is 88.34%. For the second experiment: the</t>
    </r>
    <r>
      <rPr>
        <rFont val="Arial"/>
        <b/>
        <color theme="1"/>
        <sz val="10.0"/>
      </rPr>
      <t xml:space="preserve"> possibility of finishing on time (as planned 112 days)</t>
    </r>
    <r>
      <rPr>
        <rFont val="Arial"/>
        <color theme="1"/>
        <sz val="10.0"/>
      </rPr>
      <t xml:space="preserve"> is 69.11% (Figure 8). </t>
    </r>
    <r>
      <rPr>
        <rFont val="Arial"/>
        <b/>
        <color theme="1"/>
        <sz val="10.0"/>
      </rPr>
      <t>In fact, the project is done in 132 days</t>
    </r>
    <r>
      <rPr>
        <rFont val="Arial"/>
        <color theme="1"/>
        <sz val="10.0"/>
      </rPr>
      <t xml:space="preserve">, with the possibility calculated by the tool is over 90%. </t>
    </r>
    <r>
      <rPr>
        <rFont val="Arial"/>
        <b/>
        <color theme="1"/>
        <sz val="10.0"/>
      </rPr>
      <t>The results show the reliability of the model and the tool, since the calculation is appropriate to the situation of the real-life projects</t>
    </r>
    <r>
      <rPr>
        <rFont val="Arial"/>
        <color theme="1"/>
        <sz val="10.0"/>
      </rPr>
      <t>. However, the reliability of the proposed model depends on the BN, i.e. 19 common risk factors, their relations and their NPTs. Therefore, the feedback from experts and from project managers is crucial to the results. This is also the similar case with any other system based on BNs."]</t>
    </r>
  </si>
  <si>
    <t>Literature review, Analytic Hierarchy Process</t>
  </si>
  <si>
    <r>
      <rPr>
        <rFont val="Arial"/>
        <color theme="1"/>
        <sz val="10.0"/>
      </rPr>
      <t xml:space="preserve">["BBN was selected because it is a well-known technique for solving problems that involve reasoning under uncertainty and provides a graphically and mathematically sound technique for explicit representation of uncertainty. BBN mainly addresses the problem of having incomplete and inaccurate information about COTS candidates and vendors. The process of using the UnHOS method includes five main steps: 1. Eliciting an initial set of requirements from stakeholders. These requirements are used to define an initial set of criteria used to search the market to identify possible COTS candidates.  2. The features offered by these candidates are used to refine the criteria and the initial requirements set.  3. The refined criteria are used to filter COTS candidates and to select the most promising candidates. The process of searching for and screening of COTS candidates as well as refining system requirements and evaluation criteria continues simultaneously until reaching a reasonable number of potential and promising candidates.   4. Afterwards, potential candidates are evaluated in detail using AHP and uncertainty is simultaneously represented using BBN.  5. The results produced by AHP and BBN are used to select a candidate. "] ["Assuming that a set of evaluation criteria are defined and the most promising COTS candidates are identified, the following subsections describe how AHP and BBN are used during the evaluation process. A brief description of the supporting tool is also provided. "] ["4.2.1 Model Construction  Constructing a BBN model usually starts with identifying a set of uncertain variables representing the problem and the causal relationship (i.e. dependency) between them. In COTS selection, our concern is the explicit representation of how confident the evaluators are about scores Si created by AHP and assigned to the candidates. These scores are calculated using the relative scores Sij. Furthermore, the criteria is associated with a set of attributes (e.g. performance criterion has response time, and throughput as attributes). Consequently, scores S(Ajk) that represent to what extent these attributes are satisfied by COTS candidates influence the relative scores Sij because S(Ajk) is used to calculate Sij. Moreover, how confident evaluators are about S(Ajk) influences how confident they are about Sij.(...) This means, estimating Bel(Ci) given Bel(Ej)which is calculated given Bel(Ajk). In summary, the BBN model for the COTS selection problem has three levels: · The upper level contains nodes that represent COTS candidates. · The intermediate level contains nodes that represent evaluation criteria. · The lowest level contains nodes that represent attributes associated with evaluation criteria."] ["In the ARS case study, four evaluators (namely S1, S2, S3, and S4) participated in the process of acquiring a suitable DBMS to develop ARS. The four evaluators are information technology (IT) and database experts and academic researchers who are specialized in database systems at the University of Alberta, the University of Manitoba, and the University of California. "] ["5.3.1 Applying UnHOS: Steps 1-4 of Evaluation Process  5.3.1.1 Step 1: </t>
    </r>
    <r>
      <rPr>
        <rFont val="Arial"/>
        <b/>
        <color theme="1"/>
        <sz val="10.0"/>
      </rPr>
      <t xml:space="preserve">Evaluation Criteria Definition  There are many criteria that can be considered when evaluating DBMS software packages. Most of the evaluation criteria presented in the literature are based on straightforward measurements. This includes the maximum table size, maximum database size, available data types, operating systems supported, number of processors supported, native connectivity and compatibility with other software, and the average price per client. However, such criteria do not match the unique feature of UnHOS method and tool in handling COTS problems that are associated with uncertainty. In view of that, the evaluators started by conducting a primarily comparative survey to review the specifications and features offered for most of the DBMS software available in the market. </t>
    </r>
    <r>
      <rPr>
        <rFont val="Arial"/>
        <color theme="1"/>
        <sz val="10.0"/>
      </rPr>
      <t>The participants decided to focus on the more subjective criteria that are important and challenging to many business process activities. The participants ended up by defining the evaluation criteria shown in Table 8. These dimensions (i.e., evaluation criteria) are not intended to be a complete list and are not presented in any particular order. "] ["In particular, the evaluators should determine on what computer hardware and under what operating systems the software must run. The evaluators decided to use Microsoft Windows Server 2008 as an operating system to manage hardware and software resources of a more advanced 64-bit architecture. As a result, the initial list of DBMS candidates is screened to the following 3 potential DBMS software packages summarized in Table 9. The evaluators were provided sufficient documentation about the ongoing study, clear instructions about the evaluation task, and equal amount of time to complete their evaluation using a well-prepared questionnaire. "] ["5.3.1.3 Steps 4: Evaluating DBMS Candidates  AHP is used to evaluate the three DBMS candidates as follows:  5.3.1.3.1 Developing AHP Hierarchical Model for COTS Selection Problem  The evaluation criteria and short list of COTS candidates are used to develop an AHP hierarchy model for COTS selection in the ARS case study. The hierarchy AHP model has three levels. The first level is the main goal of the COTS selection problem which is selecting the best DBMS candidate. At the second level, there are a number of evaluation criteria (i.e. the criteria summarized in Table 8). Eventually, at the lowest level, there are the most promising DBMS candidates (see Table 9). There may be intermediate levels between level 2 and 3. These intermediate levels have strategic and technical criteria."] ["5.3.2 Applying UnHOS: Uncertainty Representation  The process of using BBN to explicitly represent uncertainty during the evaluation process includes three steps (see Figure 10). These three steps are summarized below. 5.3.2.1 BBN Model Construction  In this step, the evaluation team performed the following tasks to develop a BBN model for the ARS case study (Figure 18 shows a part of the BBN model): 1. Identify variables of interest that represents nodes in BBN model. We identified three types of variables (see Figure 18): a. Variables representing attributes associated with the criteria (e.g. Automatic recovery, response time, etc.) b. Variables representing the evaluation criteria (e.g. Recoverability, Performance, etc.) c. Variables representing confidence in scores assigned to COTS candidates. 2. Identify the causal relationship between these variables (see equation 3.11)  3. Construct node probability tables (NPTs). "]</t>
    </r>
  </si>
  <si>
    <t>Expert elicitation, historical/empirical data</t>
  </si>
  <si>
    <t>["The NPT probability entries are specified by: · Applying Bayes’ theorem. · Utilizing domain experts’ knowledge. · Using historical and empirical data about COTS products. "]</t>
  </si>
  <si>
    <t>The results provided are based on a usage example. ["5. Case Study: Airline Reservations System (ARS) 5.1. ARS Overview (...) 5.3.4 Discussion of the Results The main benefit of using UnHOS to represent uncertainty during COTS evaluation is to identify possible mismatch risks that may be associated with the COTS selection decision. According to the ARS results, there are several scenarios related to possible risks associated with the COTS selection decision. These scenarios can be divided into two groups: · Perfect Scenario This scenario corresponds to cases in which the evaluator confidence is relatively high. In these cases, a high confidence means low likelihood of error in the assigned scores compared to those with medium or low confidence. In both case studies, there is no perfect scenario since all confidence values are between 50% and 80%. · Risky and Very Risky Scenarios Risky and very risky scenarios correspond to cases in which evaluator confidence is medium or low, respectively. In both scenarios, there are possible errors in the scores Si assigned to the candidates. As a result, decision makers might select an inappropriate candidate resulting in higher mismatch between system requirements and the selected candidate's features. Even though the confidence level does not influence the candidates ranking, the explicit representation of uncertainty using evaluator confidence is still beneficial to highlight possible mismatch risks associated with the selection decision. As an example in the ARS case study, there is a 47% chance of mismatch when selecting Oracle 10g Release 2 since the average confidence level is 53%. One of the added values of using UnHOS method and its tool is that they can be used to identify the criteria for which the evaluators' confidence is low or medium. Figure 22 shows the fourth evaluator’s confidence assigned to the relative scores of Oracle 10g Release 2 with respect to the six evaluation criteria. As shown in Figure 22, Criteria 2, 4, 5, and 6 are considered as sources of risk since the corresponding confidence levels (i.e. 64%, 33%, 18%, and 26% respectively) are relatively low. These criteria need significant attention from the evaluators in particular if they are important (i.e. their weights are high) to stakeholders. Furthermore, the UnHOS method and its tool can be used to identify which attributes are sources of risk for each criterion. Figure 23 shows the attributes associated with criterion 4 (i.e. Performance) and corresponding confidence values assigned to Oracle 10g candidate. As shown in Figure 23, attributes 2, 3, and 4 (i.e. number of simultaneous users, resources utilization, and throughput respectively) are considered as sources of risk since the corresponding confidence levels (i.e. 55%, 39%, and 25% respectively) are relatively low. These attributes also need significant attention from the evaluators. In conclusion, it is important to consider the influence of confidence levels on the final COTS selection decision. The extent to which the confidence influences the outcome depends on the scores, confidence levels, difference between these scores, and difference between the confidence levels. Although, the explicit representation of uncertainty may not influence the final COTS selection decision, it is beneficial since it can be used to determine which criteria and attributes lead to a low confidence level. "]</t>
  </si>
  <si>
    <r>
      <rPr>
        <rFont val="Arial"/>
        <color theme="1"/>
        <sz val="10.0"/>
      </rPr>
      <t xml:space="preserve">["For analysing stability, we exploit one of the holistic reasoning methods for quality analysis in software architectures. </t>
    </r>
    <r>
      <rPr>
        <rFont val="Arial"/>
        <b/>
        <color theme="1"/>
        <sz val="10.0"/>
      </rPr>
      <t>In particular, we extend the “ISO/IEC/IEEE 42010 Systems and software engineering - Architecture description” standards</t>
    </r>
    <r>
      <rPr>
        <rFont val="Arial"/>
        <color theme="1"/>
        <sz val="10.0"/>
      </rPr>
      <t xml:space="preserve"> ( International Organization for Standardization and International Electrotechnical Commission (ISO/IEC), 2011 ), as outlined in Fig. 1 ). 1 According to the ISO/IEC/IEEE 42010 ( International Organization for Standardization and International Electrotechnical Commission (ISO/IEC), 2011 ), a system has one or more </t>
    </r>
    <r>
      <rPr>
        <rFont val="Arial"/>
        <b/>
        <color theme="1"/>
        <sz val="10.0"/>
      </rPr>
      <t>stakeholders</t>
    </r>
    <r>
      <rPr>
        <rFont val="Arial"/>
        <color theme="1"/>
        <sz val="10.0"/>
      </rPr>
      <t xml:space="preserve">, where each stakeholder has interest (i.e. concerns) for that system. </t>
    </r>
    <r>
      <rPr>
        <rFont val="Arial"/>
        <b/>
        <color theme="1"/>
        <sz val="10.0"/>
      </rPr>
      <t xml:space="preserve">Concerns </t>
    </r>
    <r>
      <rPr>
        <rFont val="Arial"/>
        <color theme="1"/>
        <sz val="10.0"/>
      </rPr>
      <t xml:space="preserve">are “those interests which pertain to the system’s development, its operation or any other aspects that are critical or otherwise important to one or more stakeholders” ( International Organization for Standardization and International Electrotechnical Commission (ISO/IEC), 2011 ). Examples of concerns include quality of service, environmental regulations and economical concerns. "] ["4. Stability modelling 4.1. Stability modelling Achieving runtime architectural stability for different </t>
    </r>
    <r>
      <rPr>
        <rFont val="Arial"/>
        <b/>
        <color theme="1"/>
        <sz val="10.0"/>
      </rPr>
      <t>viewpoints</t>
    </r>
    <r>
      <rPr>
        <rFont val="Arial"/>
        <color theme="1"/>
        <sz val="10.0"/>
      </rPr>
      <t xml:space="preserve"> should involve a careful understanding of the relationship, impact, correlation and sensitivity among </t>
    </r>
    <r>
      <rPr>
        <rFont val="Arial"/>
        <b/>
        <color theme="1"/>
        <sz val="10.0"/>
      </rPr>
      <t>stability attributes</t>
    </r>
    <r>
      <rPr>
        <rFont val="Arial"/>
        <color theme="1"/>
        <sz val="10.0"/>
      </rPr>
      <t xml:space="preserve">, as well as handling potential conflicts between different viewpoints. (...) Our approach for modelling stability follows the formalism process of probabilistic relational models ( Kjaerulff and Madsen, 2008 ), that is suitable for representing and processing probabilistic knowledge of runtime behavioural stability. For each viewpoint, a probabilistic relational model is constructed using the stability attributes identified earlier in the analysis. The model represents the relation between the attributes of the viewpoint and interdependent attributes. The approach for eliciting the model structure relies on the notion of cause-effect relations between the variables of the problem domain ( Kjaerulffand Madsen, 2008 ). In practice, such relations are modelled using a graph of nodes representing the variables and links representing the cause-effect relations between the entities. The construction of probabilistic networks usually proceeds according to an iterative procedure, where the set of nodes and the set of links are updated iteratively as the model becomes more and more refined ( Kjaerulffand Madsen, 2008 ). Modelling causal dependence relations requires careful consideration, as sometimes it is not quite obvious in which direction a link should point ( Kjaerulffand Madsen, 2008 ). In the case of architectural stability, we can rely on the architect’s experience, subject matter experts and pre-experiments in defining the dependency relations between different stability attributes. Structure learning could also make use of data-driven approaches, where data could be acquired from pre-experiments and simulations. There exist different classes of algorithms for learning the structure of Bayesian networks, such as search-and-score and constraint-based algorithms ( Kjaerulff and Madsen, 2008 ). Background knowledge of domain experts and architects can be specified in the form of constraints on the structure of the model. "] ["6.1. </t>
    </r>
    <r>
      <rPr>
        <rFont val="Arial"/>
        <b/>
        <color theme="1"/>
        <sz val="10.0"/>
      </rPr>
      <t>Stability analysis for self-adaptive cloud architectures</t>
    </r>
    <r>
      <rPr>
        <rFont val="Arial"/>
        <color theme="1"/>
        <sz val="10.0"/>
      </rPr>
      <t xml:space="preserve"> The analysis is based on the </t>
    </r>
    <r>
      <rPr>
        <rFont val="Arial"/>
        <b/>
        <color theme="1"/>
        <sz val="10.0"/>
      </rPr>
      <t>architectural stability taxonomy ( Salama and Bahsoon, 2016 ) applied on this case study ( Chen et al., 2014; Salama and Bahsoon, 2015 )</t>
    </r>
    <r>
      <rPr>
        <rFont val="Arial"/>
        <color theme="1"/>
        <sz val="10.0"/>
      </rPr>
      <t>. Step 1. identify stability dimensions. As mentioned in the Stability analysis model earlier, we identify two main stability dimensions for the case of self-adaptive software, which are: the adaptation goal and adaptation property. Step 2. identify stability stakeholders. The main stakeholders that we consider are the end-users, the environment and the business. Step 3. identify concerns for stability. The concerns for each stakeholder are listed as follows: (i) end-users’ concern is the provision of QoS defined in their Service Level Agreements (SLAs), (ii) the environment regulations are concerned with the energy consumption constraints, and (iii) the business is concerned with operational costs. Step 4. derive stability viewpoints. Given the stability dimensions and the stakeholders’ concerns, we identify the following viewpoints for stability: quality of service, environmental, economical and quality of adaptation viewpoints. The former three denote the adaptation goals, and the latter represents the adaptation property dimension. The quality of service viewpoint mainly covers the quality requirements of end-users. The environmental viewpoint covers aspects related to energy consumption and savings ( Lago et al., 2015; Calero and Piattini, 2015 ). The economical viewpoint is related to the business concerns about monetary operational cost. Step 5. define stability attributes and their evaluation criteria. Based on the stability viewpoints, we define related attributes. Stability attributes could, then, include traditional quality requirements specified in end-users SLAs. Here, we consider performance (measured by response time in milliseconds), and throughput (measured by number of completed requests per second). For the environmental aspect, we use the greenability attribute ( Lago et al., 2015; Calero and Piattini, 2015 ) measured by energy consumption in kWh. For the economic constraints, we define the operational cost by the cost of computational resources (CPUs, memory, storage and bandwidth). Regarding the adaptation properties, we consider the settling time - that is the time required by the adaptation system to achieve the adaptation goal ( Villegas et al., 2011 ). In order to capture the negative impact of adaptation on the system’s behaviour, we consider the overhead of adaptation, measured by the frequency of adaptation cycles to achieve the adaptation goals ( Cheng et al., 2009; Villegas et al., 2011 ). The analysis is illustrated in Fig. 3 . For simplicity, the information relating stability attributes with the stability concerns and their stakeholders is not included in the figure. Step 6. extract interdependencies between stability attributes. De- pendencies between stability attributes are defined based on the architect’s domain experience, as depicted in Fig. 4 . For example, performance and greenability could contradictorily affect each other, i.e. stabilising performance shall demand more computational resources that consume more power and eventually have a negative effect on stabilising greenability. Meanwhile, greenability and operational cost could support each other, i.e. decreasing the usage of computational resources for saving power consumption would in turn decrease the operational costs. 6.2. Stability modelling for cloud architectures Step 1. build probabilistic relational model. Based on the interdependencies between stability attributes, we deduce the probabilistic relational model for each stability viewpoint. The probabilistic relational model related to the four stability viewpoints (quality of service, environmental, economical and quality of adaptation viewpoints) is depicted in Fig. 5 (a), (b), (c) and (d) respectively. For instance, the quality of service model could be read as follows: stabilising the performance and throughput would affect the stability of related attributes that are greenability, operational cost and quality of adaptation attributes. Regarding the environmental model, such representation reflects that stabilising the energy consumption would affect the stability of performance, throughput and operational cost. Step 2. build stability Bayesian network. To quantitatively measure the dependency factors between stability attributes and getting the prior knowledge to build the stability Bayesian network, we simulated the cloud self-adaptive architecture. "]</t>
    </r>
  </si>
  <si>
    <t>Frequency estimation from simulated data</t>
  </si>
  <si>
    <t>["Step 2. build stability Bayesian network. To quantitatively measure the dependency factors between stability attributes and getting the prior knowledge to build the stability Bayesian network, we simulated the cloud self-adaptive architecture. Our simulation tool, extending the widely adopted CloudSim simulation platform for cloud environments ( Calheiros et al., 2011 ), was built using Java JDK 1.7 to cre- ate the cloud self-adaptive architecture, and was run on an Intel Core i5 3.40 GHz, 8GB RAM computer. We conducted the pre-experiments by simulating a cloud data center initially operating 10 IBM x3550 server physical machines (PMs), with the configuration of 2 x Xeon X5675 3067 MHz, 6 cores and 16GB RAM. The frequency of the servers’ CPUs are mapped onto Million Instructions Per Second (MIPS) ratings: 3067 MIPS each core ( Beloglazov and Buyya, 2012 ). The characteristics of the virtual machines (VMs) types correspond to the latest generation of General Purpose Amazon EC2 Instances ( Amazon Web Services, Inc., 2016 ). In particular, we use the m4.large (2 core CPU, 8GB RAM) and m4.xlarge (4 core CPU, 16GB RAM) instances. Initially, the VMs are allocated according to the resource requirements of the VM types. However, VMs utilise less resources according to the workload data during runtime, creating opportunities for dynamic consolidation. For the energy consumption, we employed the power models defined in Beloglazov and Buyya (2012) . For a detailed cost model, the operational cost is calculated as a total of the usage of processing unit (0.04$ for CPU unit/s), memory (0.02$ for 1 GB memory/s), storage (1 GB storage/s) and bandwidth (0.01$ for 1 GB/s). We run the pre-experiments for 300 time intervals, each interval is of 200 s, in order to get sufficient data for building the Bayesian network. In each time interval, we generate a random number of requests, and the length of each request randomly varies between 10 0 0 and 20,0 0 0 MIPS requiring 1 or 2 core CPU. To measure the stability ranges for different viewpoints, we configured the architecture to take adaptation actions to stabilise specific attributes within different ranges, by setting this attribute as the single adaptation goal. We applied rule-based adaptations based on the stimulus- awareness level, i.e. the adaptation controller selects an adaptation tactic from the tactics catalogue mentioned earlier in order to achieve the quality requirement within the desired range whenever a violation is detected. The adaptation controller is responsible about selecting the adaptation tactic based on the quality attribute subject to violation, e.g. VM consolidation in case greenability is the stimulus. If multiple tactics could be applied, the rule ap- plied is choosing the tactic that results in smaller overhead and/or cost ( Chen and Bahsoon, 2014 ). For instance, we use vertical scaling first and then and horizontal scaling in the performance case, as the former is usually more ex- pensive ( Chen and Bahsoon, 2014 ). We, then, measured the impact of such stability actions on the stability of related attributes. Fig. 6 shows the Bayesian networks of different viewpoints when stabilising their attributes for one range. In more details, to capture stability from the quality of service viewpoint, we run the architecture with the adap- tation goal of having the performance response time and throughput stable for different ranges. Fig. 6 (a) shows the Bayesian network for the quality of service viewpoint when response time is stabilised for a range of 10–15 ms. and the throughput within a range of 1–5 request/s or higher. The impact of such stability actions is, then, measured on the related quality attributes, i.e. energy consumption, operational cost, adaptation settling time and overhead. The attributes selected for stability, i.e. performance, is indicated by probability = 1 for the range of 10–15 ms. Sta- bilising throughput was for the range 1–5 request/s in 60% of the cases or for higher ranges in the remaining cases, in order to reduce the complexity of adaptations during runtime. The probability distribution of impacts on related attributes is shown in the corresponding graphs of each node. As shown in the figure, this results in having energy consumption within ranges of 10–20, 20–30 and 50–100 kWh associated with probabilities 0.17, 0.15, 0.14 respec- tively, while other ranges have smaller probabilities. The cost ranges of 140 0–150 0, 40 0–50 0, and 10 0–20 0$ have the probabilities 0.15, 0.11, 0.10 respectively. Same applies for the adaptation settling time, where the highest proba- bility is for the 200 s, and the adaptation overhead where the majority of adaptation cycles took place every 200 s. With respect to the environmental viewpoint, Fig. 6 (b) shows the probabilities of impacts of this viewpoint when the energy consumption is stabilised in the range of 50–60 kWh. The energy consumption range 50–60 kWh is indi- cated with probability = 1. As shown in the corresponding graph of each related attribute, the performance response time will range between 1–5 ms. with the highest proba- bility of 0.49, the throughput range will be 0.1–5 request/s with a probability of 0.60, and the cost range 10 0–20 0$ with the higher probability of 0.25. The Bayesian network for economical viewpoint is shown in Fig. 6 (c), where operational cost is stabilised for the range of 10 0–20 0$. Such stability would lead to having response time of 15 ms. with probability of 0.49, throughput of 1–5 request/s with probability of 0.60, energy consumption of 10–20 kWh with probability of 0.25, and adaptation settling time of 200 s with probability of 0.44. Other ranges for all attributes come with lower probabilities. "]</t>
  </si>
  <si>
    <t>Proof of concept (experimental evaluation)</t>
  </si>
  <si>
    <r>
      <rPr>
        <rFont val="Arial"/>
        <color rgb="FF000000"/>
        <sz val="10.0"/>
      </rPr>
      <t xml:space="preserve">["7. Experimental evaluation The main objective of the experimental evaluation is to examine the quality of service delivered and the quality of adaptation when employing the stability analysis during runtime, and assess the associated runtime overhead for the stability model. The experiments setup was inspired by the earlier work of Chen et al. (2014) and Chen and Bahsoon (2014) on self-adaptive and self-aware cloud architectures. 7.1. Experiments setup To simulate runtime dynamics, we used the RUBiS benchmark ( RUBiS ) and the World Cup 1998 trend ( Arlitt and Jin, 20 0 0 ) in our experiments. The RUBiS benchmark ( RUBiS ) is an online auction application defining different services categorised in two workload patterns: the browsing pattern assuming read-only services, and the bidding pattern simulating both read and write intensive services. For fitting the simulation parameters, we mapped the two service patterns of the RUBiS benchmark into MIPS, as follows: 10,0 0 0 MIPS 1 CPU core and 20,0 0 0 2 CPU cores for the browsing and bidding services respectively."] ["The proposed analysis model is generic enough to be applied to architecture-centric software systems. As an example, the com- ponents of the self-adaptive software (i.e. managed system and adaptation controller) - appearing in the analysis model - could be replaced by domain-specific components of the architecture under evaluation. Yet, we demonstrated the proposed analysis model using self-adaptive software systems, as they tend to be more complex in behavioural aspects at runtime. "] ["The fact that </t>
    </r>
    <r>
      <rPr>
        <rFont val="Arial"/>
        <b/>
        <color rgb="FF000000"/>
        <sz val="10.0"/>
      </rPr>
      <t>the proposed method is evaluated by its authors</t>
    </r>
    <r>
      <rPr>
        <rFont val="Arial"/>
        <color rgb="FF000000"/>
        <sz val="10.0"/>
      </rPr>
      <t xml:space="preserve"> presents a threat to objectivity. To mitigate this risk, we sought to conduct practical evaluation by architects in industrial settings, in order to provide more feedback from independent sources. "] ["Regarding the proposed methodological support, the level of automation generally varies between steps. For instance, the qual- itative analysis depends on the human capabilities (stakeholders’ input and architects’ decision), which is different from the auto- mated reasoning during runtime. Though extensive effort has been taken to ensure re-reproducibility of the method by providing systematic guidance, this would be subject to further empirical studies to determine the practicality of the method, where factors, such as availability of information, stakeholders’ experience would be examined. </t>
    </r>
    <r>
      <rPr>
        <rFont val="Arial"/>
        <b/>
        <color rgb="FF000000"/>
        <sz val="10.0"/>
      </rPr>
      <t>Though, we believe that the presented case study for evaluation exemplifies the working procedure of the approach and reflect the potential usability.</t>
    </r>
    <r>
      <rPr>
        <rFont val="Arial"/>
        <color rgb="FF000000"/>
        <sz val="10.0"/>
      </rPr>
      <t xml:space="preserve"> "]</t>
    </r>
  </si>
  <si>
    <t>GQM paradigm, interviews, focus group, idioms</t>
  </si>
  <si>
    <r>
      <rPr>
        <rFont val="Arial"/>
        <color rgb="FF000000"/>
        <sz val="10.0"/>
      </rPr>
      <t xml:space="preserve">["As shown in Figure 4 the proposed method consists of five steps: </t>
    </r>
    <r>
      <rPr>
        <rFont val="Arial"/>
        <b/>
        <color rgb="FF000000"/>
        <sz val="10.0"/>
      </rPr>
      <t>(i) goals, questions, and measures identification; (ii) Directed Acyclic Graph (DAG) construction; (iii) probability functions definition; (iv) Model validation;</t>
    </r>
    <r>
      <rPr>
        <rFont val="Arial"/>
        <color rgb="FF000000"/>
        <sz val="10.0"/>
      </rPr>
      <t xml:space="preserve"> and (v) Model usage. In the following paragraphs, we briefly describe the proposed method. In </t>
    </r>
    <r>
      <rPr>
        <rFont val="Arial"/>
        <b/>
        <color rgb="FF000000"/>
        <sz val="10.0"/>
      </rPr>
      <t>step (i)</t>
    </r>
    <r>
      <rPr>
        <rFont val="Arial"/>
        <color rgb="FF000000"/>
        <sz val="10.0"/>
      </rPr>
      <t xml:space="preserve">, a </t>
    </r>
    <r>
      <rPr>
        <rFont val="Arial"/>
        <b/>
        <color rgb="FF000000"/>
        <sz val="10.0"/>
      </rPr>
      <t>knowledge acquisition meeting with practitioners</t>
    </r>
    <r>
      <rPr>
        <rFont val="Arial"/>
        <color rgb="FF000000"/>
        <sz val="10.0"/>
      </rPr>
      <t xml:space="preserve"> is performed to identify the goals, questions, and measures associated with the quality focus stated in the goals. Abstraction sheets or a similar tool can be used to acquire knowledge, keeping in mind that we are not interested in variation factors (i.e., factors that explain baseline hypotheses), but in reliability factors (i.e., factors that explain the confidence that we have in the collected measure). (...) </t>
    </r>
    <r>
      <rPr>
        <rFont val="Arial"/>
        <b/>
        <color rgb="FF000000"/>
        <sz val="10.0"/>
      </rPr>
      <t>Step (ii) is also executed during this meeting. This step focuses on building the DAG corresponding to the project.</t>
    </r>
    <r>
      <rPr>
        <rFont val="Arial"/>
        <color rgb="FF000000"/>
        <sz val="10.0"/>
      </rPr>
      <t xml:space="preserve"> </t>
    </r>
    <r>
      <rPr>
        <rFont val="Arial"/>
        <b/>
        <color rgb="FF000000"/>
        <sz val="10.0"/>
      </rPr>
      <t>This step includes the identification of relationships between measures, risks, and reliability factors.</t>
    </r>
    <r>
      <rPr>
        <rFont val="Arial"/>
        <color rgb="FF000000"/>
        <sz val="10.0"/>
      </rPr>
      <t xml:space="preserve"> The end goal is to have a DAG constructed for each goal to be assessed."] ["There are two challenges to build Bayesian networks: building the directed acyclic graph and defining the probability functions [48]. To assist in building the directed acyclic graph, [42] presents a set of </t>
    </r>
    <r>
      <rPr>
        <rFont val="Arial"/>
        <b/>
        <color rgb="FF000000"/>
        <sz val="10.0"/>
      </rPr>
      <t>idioms</t>
    </r>
    <r>
      <rPr>
        <rFont val="Arial"/>
        <color rgb="FF000000"/>
        <sz val="10.0"/>
      </rPr>
      <t xml:space="preserve">, which are Bayesian network fragments that represent the graphical part of generic types of uncertain reasoning. In this paper, </t>
    </r>
    <r>
      <rPr>
        <rFont val="Arial"/>
        <b/>
        <color rgb="FF000000"/>
        <sz val="10.0"/>
      </rPr>
      <t>we only present the idioms used in our method</t>
    </r>
    <r>
      <rPr>
        <rFont val="Arial"/>
        <color rgb="FF000000"/>
        <sz val="10.0"/>
      </rPr>
      <t xml:space="preserve">: </t>
    </r>
    <r>
      <rPr>
        <rFont val="Arial"/>
        <b/>
        <color rgb="FF000000"/>
        <sz val="10.0"/>
      </rPr>
      <t>cause-consequence, measurement, and synthesis</t>
    </r>
    <r>
      <rPr>
        <rFont val="Arial"/>
        <color rgb="FF000000"/>
        <sz val="10.0"/>
      </rPr>
      <t xml:space="preserve">."] ["1) </t>
    </r>
    <r>
      <rPr>
        <rFont val="Arial"/>
        <b/>
        <color rgb="FF000000"/>
        <sz val="10.0"/>
      </rPr>
      <t>STEP (i): GOALS, QUESTIONS, AND MEASURES IDENTIFICATION</t>
    </r>
    <r>
      <rPr>
        <rFont val="Arial"/>
        <color rgb="FF000000"/>
        <sz val="10.0"/>
      </rPr>
      <t xml:space="preserve"> In step (i), </t>
    </r>
    <r>
      <rPr>
        <rFont val="Arial"/>
        <b/>
        <color rgb="FF000000"/>
        <sz val="10.0"/>
      </rPr>
      <t>we apply GQM</t>
    </r>
    <r>
      <rPr>
        <rFont val="Arial"/>
        <color rgb="FF000000"/>
        <sz val="10.0"/>
      </rPr>
      <t xml:space="preserve">, and identify the goals, questions, and measures. (...) </t>
    </r>
    <r>
      <rPr>
        <rFont val="Arial"/>
        <b/>
        <color rgb="FF000000"/>
        <sz val="10.0"/>
      </rPr>
      <t>STEP (ii): DAG CONSTRUCTION</t>
    </r>
    <r>
      <rPr>
        <rFont val="Arial"/>
        <color rgb="FF000000"/>
        <sz val="10.0"/>
      </rPr>
      <t xml:space="preserve"> In step (ii), for each goal gi ∈ G, we define a DAG. Until each gi and the associated Si are empty, we perform a sequence of steps. The process of constructing the DAG identifies the reliability factors (might be associated with measures) and measure collection risks that influence the measure’s reliability. The reliability factors can be decomposed by applying the </t>
    </r>
    <r>
      <rPr>
        <rFont val="Arial"/>
        <b/>
        <color rgb="FF000000"/>
        <sz val="10.0"/>
      </rPr>
      <t>synthesis idiom</t>
    </r>
    <r>
      <rPr>
        <rFont val="Arial"/>
        <color rgb="FF000000"/>
        <sz val="10.0"/>
      </rPr>
      <t xml:space="preserve"> until the practitioner defines that the leaf nodes represent observable variables. (...). Step ii-d: create two nodes, IFi−M and IFi−E, which represents, respectively, the actual data collected for the measure and the measurement error. Add two relationships to P: p(IFi , IFi−M ) and p(IFi−E, IFi−M ). Up to this point, we have only applied the </t>
    </r>
    <r>
      <rPr>
        <rFont val="Arial"/>
        <b/>
        <color rgb="FF000000"/>
        <sz val="10.0"/>
      </rPr>
      <t>measurement idiom</t>
    </r>
    <r>
      <rPr>
        <rFont val="Arial"/>
        <color rgb="FF000000"/>
        <sz val="10.0"/>
      </rPr>
      <t xml:space="preserve"> [48]. For IFi−M and IFj and </t>
    </r>
    <r>
      <rPr>
        <rFont val="Arial"/>
        <b/>
        <color rgb="FF000000"/>
        <sz val="10.0"/>
      </rPr>
      <t>the measurement user can model it as Boolean or ordinal nodes (i.e., the same scale for both nodes). We recommend to model IFi−E as an ordinal node.</t>
    </r>
    <r>
      <rPr>
        <rFont val="Arial"/>
        <color rgb="FF000000"/>
        <sz val="10.0"/>
      </rPr>
      <t xml:space="preserve"> </t>
    </r>
    <r>
      <rPr>
        <rFont val="Arial"/>
        <b/>
        <color rgb="FF000000"/>
        <sz val="10.0"/>
      </rPr>
      <t xml:space="preserve">It is worth mentioning that the raw data collected for the measures are usually on different scales, such as numerical or proportional. Therefore, to operationalize the conversion of scales into a Boolean or ordinal one, the measurement user should use thresholds using any literature’s techniques. </t>
    </r>
    <r>
      <rPr>
        <rFont val="Arial"/>
        <color rgb="FF000000"/>
        <sz val="10.0"/>
      </rPr>
      <t>Therefore, this step relates to the stage Thresholds definition, as described in ISO/IEC 15939:2007.</t>
    </r>
    <r>
      <rPr>
        <rFont val="Arial"/>
        <b/>
        <color rgb="FF000000"/>
        <sz val="10.0"/>
      </rPr>
      <t xml:space="preserve"> For example, for the Code coverage measure, the measurement user might decide to use a 3-points Likert scale (i.e., Bad, Moderate, Good) and that it is bad if lower than 50%, moderate if greater than 50% and below 80%, and good if greater or equal than 80%. </t>
    </r>
    <r>
      <rPr>
        <rFont val="Arial"/>
        <color rgb="FF000000"/>
        <sz val="10.0"/>
      </rPr>
      <t xml:space="preserve">IFi−E represents the Error and represent the measurement’s uncertainty, which is further discussed in step ii-e. It is out of the scope of this paper to discuss details regarding how to define thresholds. (...) Step ii-i: </t>
    </r>
    <r>
      <rPr>
        <rFont val="Arial"/>
        <b/>
        <color rgb="FF000000"/>
        <sz val="10.0"/>
      </rPr>
      <t>Refactor the directed acyclic graph. First, make sure all the relationships r ∈ Q make sense (e.g., the risk nodes represent a risk to the measurement that they are related to)</t>
    </r>
    <r>
      <rPr>
        <rFont val="Arial"/>
        <color rgb="FF000000"/>
        <sz val="10.0"/>
      </rPr>
      <t xml:space="preserve">. For performance purposes, group common factors to avoid combinatorial explosion (i.e., children nodes with a high number of parents). As a rule of thumb, attempt to have nodes with at most four parents. For a grouping to be valid, some of its parent node state combinations must be equivalent in terms of their effect on the child node [42]. Furthermore, </t>
    </r>
    <r>
      <rPr>
        <rFont val="Arial"/>
        <b/>
        <color rgb="FF000000"/>
        <sz val="10.0"/>
      </rPr>
      <t>if a parent node has only one child, the practitioner can evaluate if it is valuable to discard it and connect its child node directly to its parent node</t>
    </r>
    <r>
      <rPr>
        <rFont val="Arial"/>
        <color rgb="FF000000"/>
        <sz val="10.0"/>
      </rPr>
      <t xml:space="preserve">. Finally, </t>
    </r>
    <r>
      <rPr>
        <rFont val="Arial"/>
        <b/>
        <color rgb="FF000000"/>
        <sz val="10.0"/>
      </rPr>
      <t>for understandability purposes, modify the names of the nodes whenever it is appropriate</t>
    </r>
    <r>
      <rPr>
        <rFont val="Arial"/>
        <color rgb="FF000000"/>
        <sz val="10.0"/>
      </rPr>
      <t xml:space="preserve">."] ["a: </t>
    </r>
    <r>
      <rPr>
        <rFont val="Arial"/>
        <b/>
        <color rgb="FF000000"/>
        <sz val="10.0"/>
      </rPr>
      <t xml:space="preserve">MODELS CONSTRUCTION PHASE </t>
    </r>
    <r>
      <rPr>
        <rFont val="Arial"/>
        <color rgb="FF000000"/>
        <sz val="10.0"/>
      </rPr>
      <t xml:space="preserve">During this phase, the subjects learned basic concepts regarding the method. Afterward, </t>
    </r>
    <r>
      <rPr>
        <rFont val="Arial"/>
        <b/>
        <color rgb="FF000000"/>
        <sz val="10.0"/>
      </rPr>
      <t>with one of the researchers’ assistance, they built GQM models and applied the proposed method to construct the Bayesian networks</t>
    </r>
    <r>
      <rPr>
        <rFont val="Arial"/>
        <color rgb="FF000000"/>
        <sz val="10.0"/>
      </rPr>
      <t xml:space="preserve">. The following activities were executed: </t>
    </r>
    <r>
      <rPr>
        <rFont val="Arial"/>
        <b/>
        <color rgb="FF000000"/>
        <sz val="10.0"/>
      </rPr>
      <t>Introductory course</t>
    </r>
    <r>
      <rPr>
        <rFont val="Arial"/>
        <color rgb="FF000000"/>
        <sz val="10.0"/>
      </rPr>
      <t xml:space="preserve"> - A researcher acted as a trainer, explaining the concepts necessary to apply the proposed method, e.g., GQM and Bayesian networks. Basic concepts and examples were presented. Some questions addressed were: ‘‘How to define goals?’’, ‘‘Given the goals, how to define questions and measures?’’, ‘‘What is a Bayesian network?’’, ‘‘How to apply the method?’’ and ‘‘When to stop decomposing the factors?’’. </t>
    </r>
    <r>
      <rPr>
        <rFont val="Arial"/>
        <b/>
        <color rgb="FF000000"/>
        <sz val="10.0"/>
      </rPr>
      <t>GQM identification</t>
    </r>
    <r>
      <rPr>
        <rFont val="Arial"/>
        <color rgb="FF000000"/>
        <sz val="10.0"/>
      </rPr>
      <t xml:space="preserve"> - </t>
    </r>
    <r>
      <rPr>
        <rFont val="Arial"/>
        <b/>
        <color rgb="FF000000"/>
        <sz val="10.0"/>
      </rPr>
      <t>A researcher assisted the subjects in executing the method’s step (i), which consisted of building the GQM model hierarchical structure. For all nodes, the subjects decided to use an ordinal scale.</t>
    </r>
    <r>
      <rPr>
        <rFont val="Arial"/>
        <color rgb="FF000000"/>
        <sz val="10.0"/>
      </rPr>
      <t xml:space="preserve"> </t>
    </r>
    <r>
      <rPr>
        <rFont val="Arial"/>
        <b/>
        <color rgb="FF000000"/>
        <sz val="10.0"/>
      </rPr>
      <t xml:space="preserve">DAG construction - A researcher assisted the subjects in executing the method’s step (ii), which consisted of building the Bayesian networks’ DAG. For all nodes, the subjects decided to use an ordinal scale. </t>
    </r>
    <r>
      <rPr>
        <rFont val="Arial"/>
        <color rgb="FF000000"/>
        <sz val="10.0"/>
      </rPr>
      <t xml:space="preserve">(...) Therefore, we used a mixed-methods approach to collect the data for the case study. For this purpose, we used methods such as </t>
    </r>
    <r>
      <rPr>
        <rFont val="Arial"/>
        <b/>
        <color rgb="FF000000"/>
        <sz val="10.0"/>
      </rPr>
      <t>interviews, questionnaires, and project data</t>
    </r>
    <r>
      <rPr>
        <rFont val="Arial"/>
        <color rgb="FF000000"/>
        <sz val="10.0"/>
      </rPr>
      <t xml:space="preserve">. We used an unstructured </t>
    </r>
    <r>
      <rPr>
        <rFont val="Arial"/>
        <b/>
        <color rgb="FF000000"/>
        <sz val="10.0"/>
      </rPr>
      <t>interview to collect information from the subjects for building the GQM model hierarchical structures</t>
    </r>
    <r>
      <rPr>
        <rFont val="Arial"/>
        <color rgb="FF000000"/>
        <sz val="10.0"/>
      </rPr>
      <t xml:space="preserve"> </t>
    </r>
    <r>
      <rPr>
        <rFont val="Arial"/>
        <b/>
        <color rgb="FF000000"/>
        <sz val="10.0"/>
      </rPr>
      <t>and the Bayesian networks’ DAG.</t>
    </r>
    <r>
      <rPr>
        <rFont val="Arial"/>
        <color rgb="FF000000"/>
        <sz val="10.0"/>
      </rPr>
      <t xml:space="preserve"> </t>
    </r>
    <r>
      <rPr>
        <rFont val="Arial"/>
        <b/>
        <color rgb="FF000000"/>
        <sz val="10.0"/>
      </rPr>
      <t>We used a questionnaire to collect data and define the probability functions.</t>
    </r>
    <r>
      <rPr>
        <rFont val="Arial"/>
        <color rgb="FF000000"/>
        <sz val="10.0"/>
      </rPr>
      <t xml:space="preserve"> The subjects collected data from the project to input as evidence on the models. Finally, we used a structured interview to collect data from the subjects for evaluating the proposed method."] ["Conversely, suppose the </t>
    </r>
    <r>
      <rPr>
        <rFont val="Arial"/>
        <b/>
        <color rgb="FF000000"/>
        <sz val="10.0"/>
      </rPr>
      <t>model’s calculations do not conform with the real observations</t>
    </r>
    <r>
      <rPr>
        <rFont val="Arial"/>
        <color rgb="FF000000"/>
        <sz val="10.0"/>
      </rPr>
      <t>. In that case,</t>
    </r>
    <r>
      <rPr>
        <rFont val="Arial"/>
        <b/>
        <color rgb="FF000000"/>
        <sz val="10.0"/>
      </rPr>
      <t xml:space="preserve"> the measurement user must analyze if such disagreement results from the model’s scope, an unexpected outcome, or a model error</t>
    </r>
    <r>
      <rPr>
        <rFont val="Arial"/>
        <color rgb="FF000000"/>
        <sz val="10.0"/>
      </rPr>
      <t xml:space="preserve"> [60]. </t>
    </r>
    <r>
      <rPr>
        <rFont val="Arial"/>
        <b/>
        <color rgb="FF000000"/>
        <sz val="10.0"/>
      </rPr>
      <t>Regarding the model scope, the model might purposefully not consider variables that might influence the goal assessment. In this case, the measurement user might decide to clarify the model’s scope, maybe including factors that were not initially considered."]</t>
    </r>
  </si>
  <si>
    <t>Partitioned expressions, the Ranked Nodes method, survey with practitioners</t>
  </si>
  <si>
    <r>
      <rPr>
        <rFont val="Arial"/>
        <color theme="1"/>
        <sz val="10.0"/>
      </rPr>
      <t xml:space="preserve">["The </t>
    </r>
    <r>
      <rPr>
        <rFont val="Arial"/>
        <b/>
        <color theme="1"/>
        <sz val="10.0"/>
      </rPr>
      <t>probability function for the node representing the collected measure</t>
    </r>
    <r>
      <rPr>
        <rFont val="Arial"/>
        <color theme="1"/>
        <sz val="10.0"/>
      </rPr>
      <t xml:space="preserve"> (represented by IF−M in Figure 7) is calculated differently than other nodes because it is an instance of the measurement idiom. Therefore, it is necessary to use a </t>
    </r>
    <r>
      <rPr>
        <rFont val="Arial"/>
        <b/>
        <color theme="1"/>
        <sz val="10.0"/>
      </rPr>
      <t>partitioned expression</t>
    </r>
    <r>
      <rPr>
        <rFont val="Arial"/>
        <color theme="1"/>
        <sz val="10.0"/>
      </rPr>
      <t xml:space="preserve"> [42] with a partition for each possible state of the node IF−E. For instance, assuming that a 3-point Likert scale represents IF−E, there would be three partitions, in which a probability function is defined for each partition"] ["</t>
    </r>
    <r>
      <rPr>
        <rFont val="Arial"/>
        <b/>
        <color theme="1"/>
        <sz val="10.0"/>
      </rPr>
      <t>Probability function definition</t>
    </r>
    <r>
      <rPr>
        <rFont val="Arial"/>
        <color theme="1"/>
        <sz val="10.0"/>
      </rPr>
      <t xml:space="preserve"> - In this activity, the method’s step (iii) was executed. For this purpose, since </t>
    </r>
    <r>
      <rPr>
        <rFont val="Arial"/>
        <b/>
        <color theme="1"/>
        <sz val="10.0"/>
      </rPr>
      <t>all the nodes were ordinal</t>
    </r>
    <r>
      <rPr>
        <rFont val="Arial"/>
        <color theme="1"/>
        <sz val="10.0"/>
      </rPr>
      <t>, we applied</t>
    </r>
    <r>
      <rPr>
        <rFont val="Arial"/>
        <b/>
        <color theme="1"/>
        <sz val="10.0"/>
      </rPr>
      <t xml:space="preserve"> the ranked nodes method (RNM)</t>
    </r>
    <r>
      <rPr>
        <rFont val="Arial"/>
        <color theme="1"/>
        <sz val="10.0"/>
      </rPr>
      <t xml:space="preserve"> [51]. In RNM, each node is represented as a doubly truncated normal distribution (TNormal distribution). The TNormal distribution is characterized by two parameters: mean (µ) and variance (σ2). µ is calculated by a weighted expression that reflects the parents’ influence on a given node. µ is calculated by a weighted expression that reflects the parents’ influence on a given node. There are four weighted expressions: weighted mean, weighted minimum, weighted maximum, and mixed min-max. σ2 represents the uncertainty about the results. </t>
    </r>
    <r>
      <rPr>
        <rFont val="Arial"/>
        <b/>
        <color theme="1"/>
        <sz val="10.0"/>
      </rPr>
      <t>For configuring the parameters µ and σ2 , we applied the procedure presented in Perkusich et al. [49]</t>
    </r>
    <r>
      <rPr>
        <rFont val="Arial"/>
        <color theme="1"/>
        <sz val="10.0"/>
      </rPr>
      <t>. The first step was to, for each child node, order the relationships between them and their parents their relative magnitude. For example, if a node B has a more significant influence on A than C, the order should be B−A and C −A, in which B−A is the relationship between B and A while C − A is the relationship between C and A. This is done by</t>
    </r>
    <r>
      <rPr>
        <rFont val="Arial"/>
        <b/>
        <color theme="1"/>
        <sz val="10.0"/>
      </rPr>
      <t xml:space="preserve"> collecting data through a survey </t>
    </r>
    <r>
      <rPr>
        <rFont val="Arial"/>
        <color theme="1"/>
        <sz val="10.0"/>
      </rPr>
      <t xml:space="preserve">with a question for each child node in the DAG. All the survey questions followed the same format, as shown in Figure 12, in which B and C are parents of A;."] ["Conversely, suppose the </t>
    </r>
    <r>
      <rPr>
        <rFont val="Arial"/>
        <b/>
        <color theme="1"/>
        <sz val="10.0"/>
      </rPr>
      <t>model’s calculations do not conform with the real observations</t>
    </r>
    <r>
      <rPr>
        <rFont val="Arial"/>
        <color theme="1"/>
        <sz val="10.0"/>
      </rPr>
      <t xml:space="preserve">. In that case, the </t>
    </r>
    <r>
      <rPr>
        <rFont val="Arial"/>
        <b/>
        <color theme="1"/>
        <sz val="10.0"/>
      </rPr>
      <t>measurement user must analyze</t>
    </r>
    <r>
      <rPr>
        <rFont val="Arial"/>
        <color theme="1"/>
        <sz val="10.0"/>
      </rPr>
      <t xml:space="preserve"> </t>
    </r>
    <r>
      <rPr>
        <rFont val="Arial"/>
        <b/>
        <color theme="1"/>
        <sz val="10.0"/>
      </rPr>
      <t>if such disagreement results from the model’s scope, an unexpected outcome, or a model error</t>
    </r>
    <r>
      <rPr>
        <rFont val="Arial"/>
        <color theme="1"/>
        <sz val="10.0"/>
      </rPr>
      <t xml:space="preserve"> [60]. (...) An unexpected outcome is a low-probability observed outcome (i.e., it was not expected to happen). In this case, it is concluded that the model’s assessment was correct, and no model changes are triggered. However, this case clarifies the importance of understanding the probabilities’ meaning represented with the random variables that compose the Bayesian network. For the third case (i.e., model error), it might be necessary to go back to step (ii) and modify the model."]</t>
    </r>
  </si>
  <si>
    <r>
      <rPr>
        <rFont val="Arial"/>
        <b/>
        <color rgb="FF000000"/>
        <sz val="10.0"/>
      </rPr>
      <t>Outcome adequacy</t>
    </r>
    <r>
      <rPr>
        <rFont val="Arial"/>
        <color rgb="FF000000"/>
        <sz val="10.0"/>
      </rPr>
      <t xml:space="preserve"> is also proposed but </t>
    </r>
    <r>
      <rPr>
        <rFont val="Arial"/>
        <b/>
        <color rgb="FF000000"/>
        <sz val="10.0"/>
      </rPr>
      <t>was not applied in the case study</t>
    </r>
    <r>
      <rPr>
        <rFont val="Arial"/>
        <color rgb="FF000000"/>
        <sz val="10.0"/>
      </rPr>
      <t>. ["4) STEP (iv): MODEL VALIDATION After having the first complete version of the Bayesian network constructed, which includes its structure (i.e., DAG) and parameters (i.e., probability functions), it is necessary to validate it. For this purpose, we followed the EKEBN method [56], and recommend to execute it with two steps: first, an expert-driven procedure (i.e., model walkthrough) and, if possible, a data-driven one (i.e., outcome adequacy)."] ["</t>
    </r>
    <r>
      <rPr>
        <rFont val="Arial"/>
        <b/>
        <color rgb="FF000000"/>
        <sz val="10.0"/>
      </rPr>
      <t>Model validation</t>
    </r>
    <r>
      <rPr>
        <rFont val="Arial"/>
        <color rgb="FF000000"/>
        <sz val="10.0"/>
      </rPr>
      <t xml:space="preserve"> - In this activity, the method’s step (iv) was executed. After having the Bayesian networks constructed, the subjects defined simulated scenarios, representing their experience with software projects, to perform the</t>
    </r>
    <r>
      <rPr>
        <rFont val="Arial"/>
        <b/>
        <color rgb="FF000000"/>
        <sz val="10.0"/>
      </rPr>
      <t xml:space="preserve"> model walkthrough </t>
    </r>
    <r>
      <rPr>
        <rFont val="Arial"/>
        <color rgb="FF000000"/>
        <sz val="10.0"/>
      </rPr>
      <t xml:space="preserve">(i.e., face validity). After this task, no modifications were performed in the models. In this study, </t>
    </r>
    <r>
      <rPr>
        <rFont val="Arial"/>
        <b/>
        <color rgb="FF000000"/>
        <sz val="10.0"/>
      </rPr>
      <t>we did not execute the outcome adequacy,</t>
    </r>
    <r>
      <rPr>
        <rFont val="Arial"/>
        <color rgb="FF000000"/>
        <sz val="10.0"/>
      </rPr>
      <t xml:space="preserve"> given that there was no historical data regarding the models’ variables. The Bayesian networks’ calculations were analyzed during the case study."]</t>
    </r>
  </si>
  <si>
    <t>["III. BN MODEL CONSTRUCTION This section presents the model constructed for the study. Our Bayesian network has 4 nodes. The Commenters-node is independent and is the root node. Following is the Commentsnode that depends on the frequency of Commenters. The CPT of Comment-node is build using the root node. The Commentnode is then used to construct CPTs of tail nodes i.e. DelayDetection-node and DelayCorrection-node (Fig. 1). For each node in the DAG, the conditional probability is iteratively determined using the values of its parent nodes. In the build BN model, we explored the probabilistic impact of comments’ frequency on bug detection and correction delay. Commenters-node represents three attributes – Few (1-3 commenters), Moderate (4-7 commenters) and High (8 or above). Comments-nodes also consists of three attributes, Low (1-3 comments), Medium (4-7 comments) and High (8 or above comments). The end nodes DelayDetection-node and DelayCorrectionnode contain Boolean output, yes or no depending on the probability that whether there is a delay due to causal effect from the influential node, that is, Comments(Fig. 1). The prior probability of root node is obtained using the Bayes law of probability For CPT of Comment-node, the probability is (...) In similar manner, CPT of and are computed. For CPT of DelayCorrection-node and DelayDetection-node, the probability is (...) The dataset is gathered from the Apache Software Foundation bug system. Our analysis is performed on the Apache project’s official release - 2.0.44. For each delayed bug, we extracted the frequency of commenters involved through their comments contribution during the debugging process. The dataset is shown in Table I."]</t>
  </si>
  <si>
    <t>["The dataset is gathered from the Apache Software Foundation bug system. Our analysis is performed on the Apache project’s official release -  .0.44. For each delayed bug, we extracted the frequency of commenters involved through their comments contribution during the debugging process. The dataset is shown in Table I. "]</t>
  </si>
  <si>
    <t>["IV. RESULTS AND DISCUSSION This section describes the results drawn from the developed BN model in Section IIIusing the dataset in Table Iand finally evaluate probabilistic inferences. For the analysis of data set, the comments and commenters frequency of the delayed bug data served as the input to Netica (www.norsys.com/netica.html) software. We found two basic results that doesthe occurrence of bug delaysincreases if comments density gets influenced by commenter’s frequency? And what is the possible way of reducing bug delay using comments criteria? The motivation behind these research questions is that the significant occurrence of bug survival is a matter of concern for the developers[1]. Finding the possible cause of the delayed bugs will help in reducing the bug fixing time. In addition, it will enable the community of OSS to know the behavior of their contribution in bug correction efficiency. This study provides a way to reduce bugs through the comments’ feature as it is the actual contribution of the community involved in OSS development [20]. RQ1: Does the occurrence of bug delay increases if comments density gets influenced by commenter’s frequency? Results:The obtainedresults in Fig. 1 shows the inference drawn from fully parameterized BN. Thefrequency of Commenters affects the delay process indirectly.77% of the contributors’frequency is among 1-3, 20.8% of commenters are 4-7 and only 2.1% chance exists that there will be more than 8 comment makers influencing the network parameters. With these probabilities of commenters, the likelihood of Comments is low at 54.2%, and there are 30% chances that the comments will be 4-7 and 12.5% chances that itwill be more than 8. This concludes with the result that 42% of the bugs get detected and 39.3% corrected after the next release date. The bug survival can be viewed with contributors in comparison to their comments in Fig. 2. In probabilistic inference, we observed that if there are few commenters, there is 70.3% of low comments frequency and bug delay occurrence is increased from 42% to 47.9% and 39.3% to 42.8% for detection and correction respectively. If the commenters are medium, then the comments frequency will be either medium or high with equal probability. However, 0% comments decrease the count of delay in detection and correction to 22.8%and 28.6% respectively.It should be noted that reducing the frequency of delayed bugs does not imply it decreases its impact as well. Many commenters influence the comments to reside in high profile. And if the comments are in high profile, there are 87% fewer chances for the delay in bug detection and 85.7% chances that the bugs get corrected before the next release date. Summary: The occurrence of bug delay increases if comments density is low by theinfluence of few commenters. RQ2: What is the possible way of reducing bug delay using comments criteria? Results:For finding the possible way of reducing the bug delay using comments criteria,we found that when the comments are low we have 54% chances of delay in bug detection, and 42.8% chances are there that bugs will be delayed for correction (Fig. 3a). (...)"] ["The study used Apache 2.0.44 dataset to analyze the problem reports based on delayed detection and correction. We have proposed the BN model for assessing the quality in OSS projects using delayed bug reports. The analysis highlights two major results i.e. 1) The occurrence of bug delay increases if comments density is low by the influence of few commenters, and 2) Active participation of the community can help in the reduction of bug delay. Our future work will include larger datasets to attest the results applicability. Furthermore, we intend to analyze information in comments and commenters from bug repositories for more practical insights and implications. "]</t>
  </si>
  <si>
    <t>["A. Selecting a common risk factors and cross-culture risk factors From the study research on basic of software risk assessment, that attempts to define risk factors for software development projects in the last two decades, found to be common risk factors [6] [7] [8] [9] several interesting factors which this document used such as Creeping user requirement, Staffing attrition and turnover/Low morale, Schedule Pressure, Inaccurate cost estimating and Lack of senior management commitment. For consideration in the risk factors associated with cross-culture also four factors are Non-native Language, Communication style, Attitude of time and Development method which studied by the survey with the questionnaire from 22 software development organizations in Thailand [3]. When the annexation together with common risk factors, five risk factors discussed above and the description in Table II, based on information obtained from the survey is to define a model for the risk prediction in the next step. "]</t>
  </si>
  <si>
    <t>Survey with practitioners, learning from data using an automated tool</t>
  </si>
  <si>
    <t>["Considering all the factors used in the first step based on information obtained from the survey, which focuses only the probability value to find, and linked together of each factor [3] [6] [8] by using WEKA tools version 3.6.6 for creating Bayesian belief networks which is the probability value of data can be calculated with the Bayes' rule (2)"]</t>
  </si>
  <si>
    <t>["An example for simulation event A for use the model to assessed the risk that problem from risk factors of Nonnative language, Communication style and Attitude to time, which is the cross-culture risk factor in software development projects .The prediction from this model, as shown in Fig. 2, by considering the probability value that impact may occur. The results of probability value are as follows: "]</t>
  </si>
  <si>
    <t>["In our solution, we analyze a domain, explore quality requirements and architectural design alternatives, and then construct a DAG (Directed Acyclic Graph) based graphical model to represent the design space. Nodes in the graphical model correspond to design decisions and quality attributes. Edges model the influences of design decisions on quality attributes, and the influences between different decisions. We use subjective probabilities to quantify a graphical model. We can perform both qualitative and quantitative analysis over the Bayesian Network to understand how the design decisions influence quality attributes, and to make rational design decisions. Both modeling and analysis are supported by the Bayesian Network tools. By constructing a Bayesian Network, we capture the design knowledge and experiences of domain experts. The graphical model intuitively records the relationships among design decisions and quality attributes. The use of subjective probability helps us make reasonable estimations at early design stage before the actual system is built. The constructed Bayesian Network can be stored in an organization’s knowledge repository, and can be later retrieved during software maintenance and reuse. In this paper, we use the KWIC (Key Word In Context) example, a wellknown example to the software engineering community, to illustrate the principles of our approach."] ["3.2. KWIC architectural design decisions All KWIC systems are similar: they are all developed to satisfy the basic requirements described above. However, KWIC systems can be designed in many ways. After analyzing the KWIC domain, we understand that we should make the following decisions during architectural design: • Processing algorithm (SHIFT PROCESSING). (...) • Circular shifts data representation (SHIFT DATA). (...) • Internal representation of lines (LINE REPRESENTATION). (...) • Architectural Style (ARCH STYLE). (...) After careful analysis, we find that: • One design decision may influence many quality attributes. (...) • One quality attribute may be influenced by many design decisions. (...) • Design decisions may be competing or synergistic. (...) • Some design decisions may be dependent on others. (...)"] ["3.3. KWIC Bayesian network The graphical model We use a DAG (Directed Acyclic Graph) to explicitly model quality attributes, design decisions and their inter-relationships. The DAG forms the graphical model of a Bayesian Network. Figure 2 shows the graphical model of the Bayesian Network for the KWIC domain. In Fig. 2, nodes in DAG represent design decisions and quality attributes, and directed edges represent the influential directions between nodes (one has influence on the other). From Fig. 2, we can see that four quality attributes, TIME PERFORMANCE, SPACE PERFORMANCE, REUSABILITY and MODIFIABILITY, are identified. These quality attributes are influenced by design decisions SHIFT PROCESSING, SHIFT DATA, LINE REPRESENTATION and ARCH STYLE. Each quality attribute has two possible values: High or Low. It should be noted that the definition of \High" or \Low" depends on a specific domain’s industrial norm and it varies from domain to domain. The graphical model of Fig. 2 captures domain experts’ knowledge and experiences. By studying the model, one can see the design alternatives and quality attributes that have been considered during architectural design. In this aspect, this model resembles the Softgoal Interdependency Graph (SIG) proposed by [5]. Figure 2 also reveals additional dependencies among design decisions. To identify these dependencies, we can perform qualitative reasoning over the graphical model as follows: (...)"]</t>
  </si>
  <si>
    <t>Boehm's method</t>
  </si>
  <si>
    <t>Group-consensus technique</t>
  </si>
  <si>
    <t>["Using Boehm’s method, we obtain the conditional probability table (CPT) for the SPACE PERFORMANCE node as shown in Table 2. In this experiment, the probabilities we obtained are subjective probabilities, which reflect our beliefs and analysis. The assessments can be refined by the group consensus technique [14, 7], which assess the probability from a group of experts."]</t>
  </si>
  <si>
    <t>A detailed validation is not provided, as the paper only describes reasoning through the network using two different scenarios. ["4. Rationalizing KWIC Architectural Design 4.1. Making rational design decisions During architectural design, we can examine the Bayesian Network to understand the design alternatives and their relationships with quality attributes, and to make decisions on adopting or rejecting a specific design. Not all decisions are \good" with respect to the quality requirements. Different decisions may lead to systems that satisfy the same set of functional requirements, but differ in certain quality attributes. Very often, we need to make tradeoffs among many \competing" decisions. Thus we should make careful decisions so that the resulting system could satisfy required functional requirements and exhibit desired quality attributes. To better understand the overall influence of design decisions on quality attributes, we can predict the quality of the system by performing quantitative analysis over the Bayesian Network. For example, if an architect designs a specific KWIC system as follows (marked as configuration 1):• ARCH STYLE = ADT • SHIFT PROCESSING = Incremental • SHIFT DATA = Implicit • LINE REPRESENTATION = Compressed We can predict the quality of the resulting KWIC system through the KWIC Bayesian Network. Assuming the above decisions have been made, we can update the Bayesian Network in Fig. 4 by propagating the decisions over the network and updating the probability of each node. There are many inference algorithms available [27, 20]. In our project, we use the junction tree method [20], one of the most efficient and scalable methods for making inferences over a Bayesian Network. We can perform the junction tree inference with the aid of the HuginTM tool. Figure 5 shows the updated Bayesian Network. In the left frame of Fig. 5, nodes that have a value of 100.00 indicate the decisions made. We can predict that the probabilities of system having high space performance, high reusability and high modifiability are all 80%. However, the probability of having a high time performance system is only 20%. For the same KWIC system, the architect may also have the following design (marked as configuration 2): • ARCH STYLE = Pipe &amp; Filter • SHIFT PROCESSING = Batch • SHIFT DATA = Explicit • LINE REPRESENTATION = Uncompressed We can predict from Fig. 6 that this time, the probability of having a high time performance system is 80%, the probability of having a high space performance system is 20%, the probability of having a highly reusable system is 60%, and the probability of having a highly modifiable system is 40%. Table 5 shows the comparison between configuration 1 and configuration 2. The numbers shown are the probabilities of having \High" quality. The \+" sign indicates the superior configuration with respect to the quality attribute. Configuration 1 is better than configuration 2 with respect to space performance, reusability, and modifiability. However, configuration 1 may lead to a system that is more likely to have low time performance. Configuration 2 is superior with respect to time performance. However, it may result in a system that is more likely to have low space performance and low modifiability. If the customer’s preference of quality attributes is reusability &gt;&gt; modifiability &gt;&gt; space performance &gt;&gt; time performance (where \&gt;&gt;" means \much more important than"), then the configuration 1 is preferable. If the customer’s preference is time performance &gt;&gt; space performance &gt;&gt; reusability &gt;&gt; modifiability, then configuration 2 is preferable. To evaluate more precisely a design with respect to customer’s preference on multiple quality attributes, we can also use more rigorous techniques such as the Analytical Hierarchy Process (AHP [31]), which assigns weights to each quality attribute and calculates an overall score for each configuration of design decisions. The better design is the one that has a higher overall score. Not all combinations of design decisions are valid. Design decisions could be mutually dependent or exclusive. By performing inference over the Bayesian Network, we can also check the consistency of our decisions. For example, if we select \ARCH STYLE = Pipe &amp; Filter" and \SHIFT DATA = Implicit" together, an inconsistency error will be reported during inference (due to the inter-dependency between SHIFT DATA and ARCH STYLE). Consistency checking helps us verify if a given set of design decisions is indeed valid. It is especially helpful when we deal with large and complex design spaces. 4.2. Automating the design decision making In the examples given in the last section, a software architect inputs different design decisions. Our Bayesian Network then estimates the resulting system’s quality and helps the architect select among design alternatives. It is a \top-down" approach and requires human intervention. In this section, we introduce a \bottom-up" approach, which automates the design decision-making process. Assuming a customer wants the system to have high time performance and high reusability and the customer \doesn’t care" about the other two quality attributes (space performance and modifiability). Using the constructed Bayesian Network, we can infer a set of \good" design choices that is most likely to satisfy the customer’s requirements. Figure 7 shows the updated Bayesian Network. We first assume that the resulting system has the quality of high time performance and high reusability, we then perform a max-propagation [20] and infer the most likely combination of design decisions that cause the system to have such quality. In Fig. 7, a state with the value 100.00 belongs to a most probable configuration of variables. We can see that in order for time performance and reusability to be High, we could choose the following design configuration: • ARCH STYLE = Pipe &amp; Filter • SHIFT PROCESSING = Batch • SHIFT DATA = Explicit • LINE REPRESENTATION = Uncompressed"]</t>
  </si>
  <si>
    <t>Literature review, GQM paradigm, idioms</t>
  </si>
  <si>
    <t>Literature review, GQM paradigm, idioms, divorcing</t>
  </si>
  <si>
    <r>
      <rPr>
        <rFont val="Arial"/>
        <color rgb="FF000000"/>
        <sz val="10.0"/>
      </rPr>
      <t xml:space="preserve">["3.2 </t>
    </r>
    <r>
      <rPr>
        <rFont val="Arial"/>
        <b/>
        <color rgb="FF000000"/>
        <sz val="10.0"/>
      </rPr>
      <t>Creating Models</t>
    </r>
    <r>
      <rPr>
        <rFont val="Arial"/>
        <color rgb="FF000000"/>
        <sz val="10.0"/>
      </rPr>
      <t xml:space="preserve"> Creating models is the general part of our evaluation methodology. It describes the steps for building the operational model for WA quality characteristics. It defines the quality criteria, the relationships between the criteria and how to measure the criteria. This phase is done in four steps, as illustrated in Figure 1. 3.2.1 </t>
    </r>
    <r>
      <rPr>
        <rFont val="Arial"/>
        <b/>
        <color rgb="FF000000"/>
        <sz val="10.0"/>
      </rPr>
      <t>Criteria Collection</t>
    </r>
    <r>
      <rPr>
        <rFont val="Arial"/>
        <color rgb="FF000000"/>
        <sz val="10.0"/>
      </rPr>
      <t xml:space="preserve">. </t>
    </r>
    <r>
      <rPr>
        <rFont val="Arial"/>
        <b/>
        <color rgb="FF000000"/>
        <sz val="10.0"/>
      </rPr>
      <t>This step focuses on gathering quality criteria specific to WA from existing work in the field</t>
    </r>
    <r>
      <rPr>
        <rFont val="Arial"/>
        <color rgb="FF000000"/>
        <sz val="10.0"/>
      </rPr>
      <t xml:space="preserve">. (...) For models to build in a research context, </t>
    </r>
    <r>
      <rPr>
        <rFont val="Arial"/>
        <b/>
        <color rgb="FF000000"/>
        <sz val="10.0"/>
      </rPr>
      <t>systematic review</t>
    </r>
    <r>
      <rPr>
        <rFont val="Arial"/>
        <color rgb="FF000000"/>
        <sz val="10.0"/>
      </rPr>
      <t xml:space="preserve"> techniques could be used. In an industrial context, a set of preselected models could form the basis of the collection process. 3.2.2 </t>
    </r>
    <r>
      <rPr>
        <rFont val="Arial"/>
        <b/>
        <color rgb="FF000000"/>
        <sz val="10.0"/>
      </rPr>
      <t>Refinement Using GQM.</t>
    </r>
    <r>
      <rPr>
        <rFont val="Arial"/>
        <color rgb="FF000000"/>
        <sz val="10.0"/>
      </rPr>
      <t xml:space="preserve"> </t>
    </r>
    <r>
      <rPr>
        <rFont val="Arial"/>
        <b/>
        <color rgb="FF000000"/>
        <sz val="10.0"/>
      </rPr>
      <t>The refinement of the grouped criteria is obtained by applying the GQM paradigm</t>
    </r>
    <r>
      <rPr>
        <rFont val="Arial"/>
        <color rgb="FF000000"/>
        <sz val="10.0"/>
      </rPr>
      <t xml:space="preserve"> as defined by Basili et al. [1994]. This step helps to review and verify the criteria classification, then to define and assign metrics to different criteria and subcriteria. By following a structured reasoning (Goal, Question, Metric) when allocating subcriteria to criteria, we limit subjectivity and improve rigor. Thus, this step is necessary to confirm the selection of subcriteria, enrich the model and find metrics.(...) GQM is used in our case in a slightly different way. Instead of starting from scratch, the already collected criteria guide the GQM process. 3.2.3 </t>
    </r>
    <r>
      <rPr>
        <rFont val="Arial"/>
        <b/>
        <color rgb="FF000000"/>
        <sz val="10.0"/>
      </rPr>
      <t>Structure Construction</t>
    </r>
    <r>
      <rPr>
        <rFont val="Arial"/>
        <color rgb="FF000000"/>
        <sz val="10.0"/>
      </rPr>
      <t xml:space="preserve">. The graphical structure of a BN is therefore built from the criteria already compiled and refined using GQM. The criteria are considered as random variables and represent the nodes of the BN. The nodes are connected in the network with respect to the formal syntax and semantics of BN. During this qualitative step, we consider the relationships between variables in terms of relevance of a variable to another variable. Thus, in order to link the nodes in the BN, we first examine the type of interdependences between the criteria. Then we verify that the criteria which influence the same super criterion are independent variables. </t>
    </r>
    <r>
      <rPr>
        <rFont val="Arial"/>
        <b/>
        <color rgb="FF000000"/>
        <sz val="10.0"/>
      </rPr>
      <t>The relationships between criteria are established according to the existing guidelines (see related work section). They are of two types: definitional or causal [Neil et al. 2000]</t>
    </r>
    <r>
      <rPr>
        <rFont val="Arial"/>
        <color rgb="FF000000"/>
        <sz val="10.0"/>
      </rPr>
      <t xml:space="preserve">. (...) As in Neil et al. [2000], we use also the possibility of creating </t>
    </r>
    <r>
      <rPr>
        <rFont val="Arial"/>
        <b/>
        <color rgb="FF000000"/>
        <sz val="10.0"/>
      </rPr>
      <t>synthetic nodes</t>
    </r>
    <r>
      <rPr>
        <rFont val="Arial"/>
        <color rgb="FF000000"/>
        <sz val="10.0"/>
      </rPr>
      <t xml:space="preserve"> to simplify the fragment or the </t>
    </r>
    <r>
      <rPr>
        <rFont val="Arial"/>
        <b/>
        <color rgb="FF000000"/>
        <sz val="10.0"/>
      </rPr>
      <t>divorce technique</t>
    </r>
    <r>
      <rPr>
        <rFont val="Arial"/>
        <color rgb="FF000000"/>
        <sz val="10.0"/>
      </rPr>
      <t xml:space="preserve"> to avoid combinatory explosion. Finally, we define quantifiable variables for entry nodes (see Section 4)."] ["4. NAVIGABILITY DESIGN (ND) QUALITY MODEL The approach proposed in Section 3 is generic and can be used to different quality characteristics. In order to show the feasibility of our approach, we illustrate it on a specific quality characteristic, namely navigability design (ND) at the page level. (...) 4.2 Application of the Assessment Methodology to ND 4.2.1 </t>
    </r>
    <r>
      <rPr>
        <rFont val="Arial"/>
        <b/>
        <color rgb="FF000000"/>
        <sz val="10.0"/>
      </rPr>
      <t>Criteria Collection.</t>
    </r>
    <r>
      <rPr>
        <rFont val="Arial"/>
        <color rgb="FF000000"/>
        <sz val="10.0"/>
      </rPr>
      <t xml:space="preserve"> In a first step, </t>
    </r>
    <r>
      <rPr>
        <rFont val="Arial"/>
        <b/>
        <color rgb="FF000000"/>
        <sz val="10.0"/>
      </rPr>
      <t>quality criteria for ND are gathered from a large number of studies on WA quality</t>
    </r>
    <r>
      <rPr>
        <rFont val="Arial"/>
        <color rgb="FF000000"/>
        <sz val="10.0"/>
      </rPr>
      <t>. We studied ten sources including models, guidelines, and best practices (first column of Table VI). We selected 14 criteria that may impact the ND at a page level. Table VI shows a first hierarchical regrouping of these criteria with four categories: (1) link aspects, (2) navigability elements, (3) feedback capabilities, and (4) other aspects. A ∗ indicates that the criterion (column) is considered in the source (line). 4.2.2</t>
    </r>
    <r>
      <rPr>
        <rFont val="Arial"/>
        <b/>
        <color rgb="FF000000"/>
        <sz val="10.0"/>
      </rPr>
      <t xml:space="preserve"> Criteria Refinement. The second step consists in refining the hierarchical regrouping of criteria using GQM. </t>
    </r>
    <r>
      <rPr>
        <rFont val="Arial"/>
        <color rgb="FF000000"/>
        <sz val="10.0"/>
      </rPr>
      <t xml:space="preserve">For that, we developed the GQM plan as shown in Table VII. Compared to the first classification of Table VI, the new criteria classification is derived from both the definition of ND and from the answers to GQM questions. 4.2.3 </t>
    </r>
    <r>
      <rPr>
        <rFont val="Arial"/>
        <b/>
        <color rgb="FF000000"/>
        <sz val="10.0"/>
      </rPr>
      <t>BN Structure Definition.</t>
    </r>
    <r>
      <rPr>
        <rFont val="Arial"/>
        <color rgb="FF000000"/>
        <sz val="10.0"/>
      </rPr>
      <t xml:space="preserve"> For the third step, quality criteria gathered for ND are considered as variables and represented by nodes in the BN. </t>
    </r>
    <r>
      <rPr>
        <rFont val="Arial"/>
        <b/>
        <color rgb="FF000000"/>
        <sz val="10.0"/>
      </rPr>
      <t>To build the BN corresponding to ND at a page level, we consider first the existing relationships between criteria according to the existing guidelines (in related work). Generally, they are definitional or causal relationships</t>
    </r>
    <r>
      <rPr>
        <rFont val="Arial"/>
        <color rgb="FF000000"/>
        <sz val="10.0"/>
      </rPr>
      <t xml:space="preserve">. The refinement of the BN is achieved in several steps. (1) The basic ND network is derived from the GQM plan of ND (Table VII). Thus, the variable Navigability design (NavigabilityDesignP) is defined by the variables Locate, Access and Download time (DlTime) corresponding to the three major criteria of the plan (see Figure 6). The corresponding nodes are then linked according to the principle of </t>
    </r>
    <r>
      <rPr>
        <rFont val="Arial"/>
        <b/>
        <color rgb="FF000000"/>
        <sz val="10.0"/>
      </rPr>
      <t>Definition/Synthesis idiom</t>
    </r>
    <r>
      <rPr>
        <rFont val="Arial"/>
        <color rgb="FF000000"/>
        <sz val="10.0"/>
      </rPr>
      <t xml:space="preserve"> described in Neil et al. [2000]. (2) The Locate node subnetwork describes the facility to locate information. Obviously, the presence of navigation elements (NavElem) such as menus, a search mechanism (SMech) or a site map (SiteMap) will help the user to locate the information required. Moreover, identifying “where I am,” by indicating the current position (CPosLab), by adding Breadcrumbs or a relative URL, or by changing the color of visited links (VLinkCol), will support the user in its information retrieval. In addition, a significant link (LinkText) or a link title (LinkTitle), indicating more precisely the destination, will help the user to find what he is looking for with less errors. Thus, the presence of each element, cited previously, will assist the user in locating the information required. Consequently, the relationship between the variable Locate and the aforementioned variables as shown in Figure 7 is causal. However, with 9 parents, a restructuring of this subnetwork is necessary to prevent combinatory explosion during the preparation of NPTs. This can be done by the introduction of </t>
    </r>
    <r>
      <rPr>
        <rFont val="Arial"/>
        <b/>
        <color rgb="FF000000"/>
        <sz val="10.0"/>
      </rPr>
      <t>synthetic nodes</t>
    </r>
    <r>
      <rPr>
        <rFont val="Arial"/>
        <color rgb="FF000000"/>
        <sz val="10.0"/>
      </rPr>
      <t xml:space="preserve">. Indeed, according to W3C, typical navigational mechanisms include: navigation bars, site maps, and search mechanism. Accordingly, SMech, SiteMap, and NavElem are by definition navigational mechanisms (NavMech). Thus, we introduce a synthetic node (NavMech) regrouping these three nodes (see Figure 8). As the presence of each of these mechanisms is independent from each other, this grouping is coherent with the BN construction rules. For the remaining nodes, relying to Nielsen [2000] and HHS [2006] and pursuing the same reasoning, we can group feedback elements into two groups: textual feedback (TFeedback) and visual feedback (VFeedback). The resulting Locate subnetwork can be seen in Figure 8. (3) The Access node subnetwork describes the facility to access the information at the destination page. A similar reasoning as the one of Locate subnetwork produces the Access subnetwork of Figure 9. All subnetworks obtained previously are linked to produce the complete BN for NavigabilityDesignP, as shown in Figure 10."] ["However, to assign probabilities to nodes, we consider two types of variables in the BN: input nodes and other nodes. Probabilities of input nodes are determined directly from measurements of these variables obtained for a given Web application. </t>
    </r>
    <r>
      <rPr>
        <rFont val="Arial"/>
        <b/>
        <color rgb="FF000000"/>
        <sz val="10.0"/>
      </rPr>
      <t>Fuzzy logic</t>
    </r>
    <r>
      <rPr>
        <rFont val="Arial"/>
        <color rgb="FF000000"/>
        <sz val="10.0"/>
      </rPr>
      <t xml:space="preserve"> is used at this level in order to derive probabilities from input criteria measured values. For the other nodes, probabilities are determined by experts. (...) Case 3. Criteria with Infinite Measurable Values. This is the case of many other quality criteria such as the number of links, the download time of a page, the number of images in a page, and so on. They are quantitative variables that have a numerical value for each Web page. The number of possible values may be infinite. For that, in order to facilitate the definition of probabilities, </t>
    </r>
    <r>
      <rPr>
        <rFont val="Arial"/>
        <b/>
        <color rgb="FF000000"/>
        <sz val="10.0"/>
      </rPr>
      <t>each variable is transformed into a discrete variable with a limited number of values, called labels. This transformation is accomplished through the application of fuzzy logic.</t>
    </r>
  </si>
  <si>
    <t>Frequency quantification from historical/empirical data, fuzzy logic (fuzzy clustering-derived functions), literature review, focus group, expert-derived functions</t>
  </si>
  <si>
    <r>
      <rPr>
        <rFont val="Arial"/>
        <color theme="1"/>
        <sz val="10.0"/>
      </rPr>
      <t>["</t>
    </r>
    <r>
      <rPr>
        <rFont val="Arial"/>
        <b/>
        <color theme="1"/>
        <sz val="10.0"/>
      </rPr>
      <t>3.2.4. Parameter definition.</t>
    </r>
    <r>
      <rPr>
        <rFont val="Arial"/>
        <color theme="1"/>
        <sz val="10.0"/>
      </rPr>
      <t xml:space="preserve"> Generally, NPTs are constructed using a combination of empirical data and expert judgment. The goal of this step is to transform numbers into probabilities. (...) Case 3. Criteria with Infinite Measurable Values. This is the case of many other quality criteria such as the number of links, the download time of a page, the number of images in a page, and so on. They are quantitative variables that have a numerical value for each Web page. The number of possible values may be infinite. For that, in order to facilitate the definition of probabilities, each variable is transformed into a discrete variable with a limited number of values, called labels. This transformation is accomplished through the application of fuzzy logic. (...)"] ["</t>
    </r>
    <r>
      <rPr>
        <rFont val="Arial"/>
        <b/>
        <color theme="1"/>
        <sz val="10.0"/>
      </rPr>
      <t>4.2.4 BN Parameter Definition</t>
    </r>
    <r>
      <rPr>
        <rFont val="Arial"/>
        <color theme="1"/>
        <sz val="10.0"/>
      </rPr>
      <t xml:space="preserve">. The fourth step consists in defining probability functions for the input nodes and probability tables for the other nodes. In the BN of NavigabilityDesignP, the majority of input nodes are binary criteria (URL, CPosLab, VLinkCol, Breadcrumbs, SMech, NavElem, LinkHome, and BackB). For any binary criteria c, the probability functions are as follows. P(c = Yes) =  0.99 if c exists 0.01 otherwise P(c = No) = 1 − P(c = Yes). Of the three remaining criteria, two are proportion ones (LinkTitle and LinkText). </t>
    </r>
    <r>
      <rPr>
        <rFont val="Arial"/>
        <b/>
        <color theme="1"/>
        <sz val="10.0"/>
      </rPr>
      <t>As described in Section 3.2.4, these criteria are measured by the proportion of elements satisfying a property.</t>
    </r>
    <r>
      <rPr>
        <rFont val="Arial"/>
        <color theme="1"/>
        <sz val="10.0"/>
      </rPr>
      <t xml:space="preserve"> For LinkTitle for example, </t>
    </r>
    <r>
      <rPr>
        <rFont val="Arial"/>
        <b/>
        <color theme="1"/>
        <sz val="10.0"/>
      </rPr>
      <t>we measure the proportion of links having a title</t>
    </r>
    <r>
      <rPr>
        <rFont val="Arial"/>
        <color theme="1"/>
        <sz val="10.0"/>
      </rPr>
      <t xml:space="preserve">. For the criteria c (LinkTilte, respectively LinkText) that measures the proportion of elements of a set E (the set of links in the Web page) satisfying a property pr (has a link title, respectively text), the probability functions are as follows.P(c = good) = #e ∈ E _x0004_ _x0004_pr(e) is true_x0005_ #E P(c = bad) = 1 − P(c = good). </t>
    </r>
    <r>
      <rPr>
        <rFont val="Arial"/>
        <b/>
        <color theme="1"/>
        <sz val="10.0"/>
      </rPr>
      <t>The last criterion is LinksNb. It measures the number of links. Its probability functions (for small, medium, and high) are given in Figure 5 in the form of fuzzy label membership functions. As mentioned in Section 3.2.4, these functions are derived by fuzzy clustering of a thousand of Web pages chosen randomly.</t>
    </r>
    <r>
      <rPr>
        <rFont val="Arial"/>
        <color theme="1"/>
        <sz val="10.0"/>
      </rPr>
      <t xml:space="preserve"> For the other nodes in the BN of NavigabilityDesignP, we defined the probability tables as follows. First, the parents are ranked by their impact on the considered node. For example, Figure 11 shows the three parents search mechanism (SMech), navigational elements (NavElem), and SiteMap that impact the level of navigation mechanisms (NavMech). </t>
    </r>
    <r>
      <rPr>
        <rFont val="Arial"/>
        <b/>
        <color theme="1"/>
        <sz val="10.0"/>
      </rPr>
      <t>From the literature and discussions with an expert panel, we rank NavElem as the most important parent followed by SMech, SiteMap being the less important parent.The conditional probabilities are then defined by the penalties resulting from the absent or the weakness of the parents.</t>
    </r>
    <r>
      <rPr>
        <rFont val="Arial"/>
        <color theme="1"/>
        <sz val="10.0"/>
      </rPr>
      <t xml:space="preserve"> For example, as it can be seen in Table VIII, when all the three parents are present, the probability that the NavMech is good is 0.99. This probability drops to 0.85, 0.70, or 0.45 if respectively SiteMap, SMech, or NavElem is absent. It decreases to 0.55, 0.3, or 0.15 if respectively the pairs (SiteMap, SMech), (NavElem, SiteMap), or (NavElem, SMech) are absent. Finally, the probability is 0.01 if the three parents are absent."]</t>
    </r>
  </si>
  <si>
    <t>Controlled experiment, statistical measures (Pearson's correlation coefficient)</t>
  </si>
  <si>
    <r>
      <rPr>
        <rFont val="Arial"/>
        <color rgb="FF000000"/>
        <sz val="10.0"/>
      </rPr>
      <t>["</t>
    </r>
    <r>
      <rPr>
        <rFont val="Arial"/>
        <b/>
        <color rgb="FF000000"/>
        <sz val="10.0"/>
      </rPr>
      <t>We validated the navigability model on real-world applications</t>
    </r>
    <r>
      <rPr>
        <rFont val="Arial"/>
        <color rgb="FF000000"/>
        <sz val="10.0"/>
      </rPr>
      <t>. Forty pages were randomly selected and evaluated by group of users. The results show that the model predictions are strongly correlated to manual assessments done by application users."] ["</t>
    </r>
    <r>
      <rPr>
        <rFont val="Arial"/>
        <b/>
        <color rgb="FF000000"/>
        <sz val="10.0"/>
      </rPr>
      <t>5.2 Experimental Validation Design</t>
    </r>
    <r>
      <rPr>
        <rFont val="Arial"/>
        <color rgb="FF000000"/>
        <sz val="10.0"/>
      </rPr>
      <t xml:space="preserve"> To assess the feasibility of our approach and to validate our ND model, </t>
    </r>
    <r>
      <rPr>
        <rFont val="Arial"/>
        <b/>
        <color rgb="FF000000"/>
        <sz val="10.0"/>
      </rPr>
      <t>we conducted a controlled experiment using a within-subject design</t>
    </r>
    <r>
      <rPr>
        <rFont val="Arial"/>
        <color rgb="FF000000"/>
        <sz val="10.0"/>
      </rPr>
      <t xml:space="preserve">. In this section, we describe and motivate this design. The results are discussed in Section 5.3.(...) 5.2.2 </t>
    </r>
    <r>
      <rPr>
        <rFont val="Arial"/>
        <b/>
        <color rgb="FF000000"/>
        <sz val="10.0"/>
      </rPr>
      <t>Hypothesis Formulation</t>
    </r>
    <r>
      <rPr>
        <rFont val="Arial"/>
        <color rgb="FF000000"/>
        <sz val="10.0"/>
      </rPr>
      <t xml:space="preserve">. According to the study objective, we formulate two hypotheses that respectively cover two different user behaviors: free exploration of a Web page or a task-oriented use of a Web page. H1. The ND model is a good approximation of the navigability judgment of a user exploring freely a Web page. H2. The ND model is a good approximation of the navigability judgment of a user performing a task on a Web page. (...) 5.2.6 </t>
    </r>
    <r>
      <rPr>
        <rFont val="Arial"/>
        <b/>
        <color rgb="FF000000"/>
        <sz val="10.0"/>
      </rPr>
      <t>Analysis Techniques</t>
    </r>
    <r>
      <rPr>
        <rFont val="Arial"/>
        <color rgb="FF000000"/>
        <sz val="10.0"/>
      </rPr>
      <t xml:space="preserve">. To test our hypothesis, we used the following techniques. (1) Descriptive statistics. We use the mean to measure NavPer and NavExp for the pages. The use of the mean is possible, because in both 1-to10 and 1-to-5 scale cases, we consider that the measured variables have an interval scale. This is possible because we assigned a meaning to the limit values (1 and respectively 5 or 10), but not to the intermediate values. This prevents from considering the variables as having a likert (ordinal) scale. (2) Normality tests. We use the One-Sample Kolmogorov-Smirnov (KS) Test to verify the NavMod, NavPer, and NavExp are normally distributed. If the significance of the test is greater to 0.05, we consider that the normal distribution can be assumed. (3) </t>
    </r>
    <r>
      <rPr>
        <rFont val="Arial"/>
        <b/>
        <color rgb="FF000000"/>
        <sz val="10.0"/>
      </rPr>
      <t>Correlation tests</t>
    </r>
    <r>
      <rPr>
        <rFont val="Arial"/>
        <color rgb="FF000000"/>
        <sz val="10.0"/>
      </rPr>
      <t xml:space="preserve">. If variables are normally distributed, we use the Pearson’s correlation coefficient (r) to estimate the strength of the relation between the variables. Otherwise, the correlation will be assessed using Spearman’s coefficient (ρ). Pearson coefficient (Spearman respectively) measures the linear correlation of values (ranks respectively). Values of r (respectively ρ) close to -1 mean a strong negative correlation and close to 1 mean a strong positive correlation. When these values are close to 0, this means that there is no correlation. The more the degree of freedom (number of correlated pairs minus 2) is large, the more values far from 1 (respectively -1) are considered as acceptable. Our hypothesis is accepted if the correlations are high enough so that the significance of the correlation test is p &lt;0.05, that is, a confidence interval of 95%. (...) 5.3 </t>
    </r>
    <r>
      <rPr>
        <rFont val="Arial"/>
        <b/>
        <color rgb="FF000000"/>
        <sz val="10.0"/>
      </rPr>
      <t xml:space="preserve">Validation Results and Interpretations 5.3.1 Global Results. </t>
    </r>
    <r>
      <rPr>
        <rFont val="Arial"/>
        <color rgb="FF000000"/>
        <sz val="10.0"/>
      </rPr>
      <t xml:space="preserve">The normality test for NavEva, NavPer, and NavExp (Table XII) shows that all variables are normally distributed (significance by far greater than 0.05). </t>
    </r>
    <r>
      <rPr>
        <rFont val="Arial"/>
        <b/>
        <color rgb="FF000000"/>
        <sz val="10.0"/>
      </rPr>
      <t>Pearson’s correlation coefficient is then used to verify the hypotheses. When observing data collected for the forty pages, it appears that the curves (Figure 15) associates with NavExp and NavPer have the same trends as the one of NavMod. These results are confirmed by the correlation results shown in Table XIII. Indeed for hypothesis H1, the correlation between NavMod and NavPer is 0.75, which is high. Considering, the degree of freedom (40 pairs – 2), this correlation is significant (sig &lt; = 0.01). We can then conclude that our ND model is a good estimator of human subject judgment. We obtained better results for hypothesis H2. The correlation between NavMod and NavExp is very high (0.87) and significant (sig &lt; =0.01). Here again, out ND model gives evaluations very close to those given by human subjects."</t>
    </r>
    <r>
      <rPr>
        <rFont val="Arial"/>
        <color rgb="FF000000"/>
        <sz val="10.0"/>
      </rPr>
      <t>]</t>
    </r>
  </si>
  <si>
    <t>["Starting from the existing work, we attempt to collect the criteria and guidelines proposed by different authors [11, 17, 21]. The presence of some design elements (e.g. menus, site map) and the respect of the suggested directives (e.g. color change of visited links) are considered as navigability design criteria. "] ["3.2 Refinement using the GQM paradigm The GQM (Goals, Questions, Metrics) paradigm is based on the idea that measurement should be goal-oriented [2]. It allows us to reorganize, extend, improve and validate our quality model and to determine metrics for the retained criteria. Results from applying the GQM paradigm are summarized in Table 2. By comparing Tables 1 and 2, we notice that, after the refinement by GQM, the selected criteria characterize better the criterion "Navigability Design". This new regrouping rises directly from the definition of the navigability design. "] ["3.3 BN construction applied to the navigability design criterion To build the BN fragment [15] for the navigability design criterion, we construct initially the appropriate graph. According to our proposed definition of Navigability Design, this criterion at the level of a Web page can be determined by the presence of some design elements and mechanisms that allows the user to: - locate himself and recognize easily the page where he is, - find within the page required information, - have the possibility to access this information directly via hyper links, - have the possibility to return easily to this page, with a suitable time.(...) Thus, NavigabilityDesignP, Locate, Access and Revisit (Figure 1) can be considered as four variables and represented by four nodes. As there is a definition relation between these variables, we can apply the idiom ‘definitional / synthesis’ [15]. The node NavigabilityDesignP is defined in terms of the three other nodes. The direction of the edges indicates the direction in which a sub criterion defines a criterion, in combination with the other sub criteria. Furthermore, the NavigabilityDesignP node can not be specified as deterministic function. The definition used is one of different possibilities of defining the navigability design. There is inevitably uncertainty in the relation between the concepts. Thus, we would need to use probabilistic functions to state the degree to which some combination of parent nodes combine to define some child node [15].  The same process is followed to construct the sub networks for “Locate”, “Access” and “Revisit” nodes. Then, all fragments are put it together to obtain the BN of the Navigability design at a page level (Fig. 2). As we can see, the graphical representation is obvious and illustrates causality and interdependencies. The relationships between criteria, even at different levels, are represented clearly. In the following, we exploit probability notions to deal with the uncertainty of the structuration and the subjectivity of certain measures. "]</t>
  </si>
  <si>
    <t>["In our previous works [8], we attempted to collect Web applications quality criteria proposed by several authors. We extended the obtained list, refined it by applying GQM paradigm [2] and classified hierarchically retained criteria on the basis of the characteristics and sub-characteristics definitions in ISO 9126 standard [5]. Then, to apply the probabilistic approach, we represented the criteria gathered hierarchically in the form of a Bayesian Network. Considering the great number of criteria and sub criteria gathered, the resulting BN model is large and complex. However, as explained in [11], a BN can be built starting from semantically meaningful units called network “fragments”. A fragment is a set of related random variables that could be constructed and reasoned about separately from other fragments. They should formally respect the syntax and semantics of BNs. However, their use decreases the complexity when dealing with large models. Although our ultimate objective is to propose a comprehensive BN model for Web applications quality, we concentrate in this paper on the definition of navigability design fragment (at the page level). This will illustrate our approach."] ["3.1 Network Structure Construction For the rest of this section, let’s consider the NavigabilityDesignP as the variable representing the quality of the navigability design criterion at a Web page level, Locate as the variable representing the facility, for a given user, to know exactly in which page of the application he is and localize required information within the page, Access as the variable representing the facility, for a given user, to access to the required information in the destination page from the selected page, and Revisit as the variable representing the possibility, for a given user, to return to the selected page within a suitable time. NavigabilityDesignP, Locate, Access, and Revisit are represented by four nodes (Fig. 1). The node NavigabilityDesignP is defined in terms of the three others. The direction of the edges indicates the direction of the definition/influence between criteria [11]. As the definitional relation is by nature uncertain, this structure will be completed later by probabilistic functions to state the degree to which parent nodes define the child node [11]. The obtained first structure is recursively refined. The same process is followed to construct the sub networks for Locate, Access, and Revisit nodes. Let’s now discuss the Locate fragment. To ensure a good identification of “where I am”, the presence of many design elements (as shown in fig. 2) can help user to recognize his position [7, 12]. Also, a good indication about the destination will help the user to determine his goal with less error [7]. Moreover, the presence of many navigational mechanisms supports the user in his information retrieval [7, 15]. Subsequently, the relationship that exists between Locate and its parents is causal and not definitional as we have seen in figure 1. However, with 9 parents, a reorganization of this network is essential to avoid the combinatory explosion during the preparation of the probability tables. For that, we propose to group some nodes together when it is possible. The introduction of new nodes (meaningful or synthetic) gathering some parents’ nodes and decreasing their number helps in the definition of probability tables. According to many definitions [7, 15] we can add the synthetic nodes by grouping some other nodes when the presence of each one of these nodes is independent from the other (fig. 3). After constructing the sub networks for “Access” and “Revisit” nodes, all the fragments are put it together to obtain the BN of the Navigability design at a page level (Fig. 4). "]</t>
  </si>
  <si>
    <t>["3. Data collection Next, we will briefly explain each of the processes used to obtain the RIAP model that include identification of risk factors, classify risk factors, and validation of risk factors. 3.1. Identification of risk factors in web project development In this phase, we used a questionnaire to collect data on the relevant risks. The questionnaire encompasses different phases of project development and different groups of staff associated with project development. In order to do so, it was necessary to focus on the company’s web application development background. We sent the questionnaire to one hundred fifty eight specialists involved in web application development located in thirty two different organizations within Jordan, Malaysia and the USA as well as to twenty two consulting engineers and contractors within Jordan and Malaysia. (...) Therefore we decided to consolidate this list into a shorter one. The steps involved in the consolidation process were: First, the analysis of the list of 184 risk factors for web application development to identify and remove possible duplicates. Through this analysis, 137 risk factors were obtained. Second, these risk factors were compared with risk factors from the literature [10], [19], [20], [21]. [22], [23], [24]. From this comparison, a final set of 58 risk factors for web project applications were obtained. Some of these risk factors are particular for our survey. For our research we coded each factor from F1 to F58 as in Figure 1. 3.2. Classifying risk factors We analyzed 58 risk factors and ranked them based on the characteristics of the web projects. From the analysis, we obtained a matrix to classify the Web risk factors. Table 2 describes the classification matrix, the total risk factors for each characteristic and the number of times each risk factor was encountered. 3.3. Validation of risk factors The third phase comprised the validation of risk factor obtained in the first phase. To carry out this validation, we compared our risk factors with risk factors from different domains from the literature [10], [19], [20], [21]. [22], [23], [24]. In addition, we sent draft transcripts of the results of classifying table to 12 specialists from Jordan and from Malaysia in order to obtain their views on the risk factors identified and to assess their agreement with the results. "] ["The first phase involved in the construction of a Bayesian network for web project risk identification architectural pattern model was to arrange the web project characteristics into three dimensions: “product”, “usage”, and “development” [26]. The utilization of these three dimensions is based on the ISO/IEC 9126-1 standard for the evaluation of software quality characteristics [26]."] ["4.2. Graphical structure for Bayesian network In this phase we obtained the graphical structure for a Bayesian network that represents the relationship of direct influence among characteristics of web application in each dimensions and the attendant risk factors. Our aim was to establish which risk factors in one sub-network had a direct influence on other risk factors in the same sub-network, and eventually on risk factors in other sub-networks. Each relationship is supported by principles that represent the direct influence or dependence between risk factors and its parent risk factors. Figure 3 depicts the graphical structure of the network. "]</t>
  </si>
  <si>
    <t>Literature review, interviews, risk-centric modeling</t>
  </si>
  <si>
    <r>
      <rPr>
        <rFont val="Arial"/>
        <color theme="1"/>
        <sz val="10.0"/>
      </rPr>
      <t xml:space="preserve">["3.1.1 </t>
    </r>
    <r>
      <rPr>
        <rFont val="Arial"/>
        <b/>
        <color theme="1"/>
        <sz val="10.0"/>
      </rPr>
      <t>Risk Factors Identification</t>
    </r>
    <r>
      <rPr>
        <rFont val="Arial"/>
        <color theme="1"/>
        <sz val="10.0"/>
      </rPr>
      <t xml:space="preserve"> The first step in the development of any model is to collect required information on threats to the project. This is derived by </t>
    </r>
    <r>
      <rPr>
        <rFont val="Arial"/>
        <b/>
        <color theme="1"/>
        <sz val="10.0"/>
      </rPr>
      <t>interviewing various experts</t>
    </r>
    <r>
      <rPr>
        <rFont val="Arial"/>
        <color theme="1"/>
        <sz val="10.0"/>
      </rPr>
      <t xml:space="preserve"> from different Web application development companies, which develop Web applications for sale as well as in-house software development groups within organizations. It focuses on discovering possible risks of Web project developments and probable risk mitigation actions to prevent the risks. Then we identify the relationships among the possible risks and the success in Web project development processes. </t>
    </r>
    <r>
      <rPr>
        <rFont val="Arial"/>
        <b/>
        <color theme="1"/>
        <sz val="10.0"/>
      </rPr>
      <t>Eight interviews were conducted with experts</t>
    </r>
    <r>
      <rPr>
        <rFont val="Arial"/>
        <color theme="1"/>
        <sz val="10.0"/>
      </rPr>
      <t xml:space="preserve"> from diverse countries who develop Web applications for sale as well as in-house software development groups within organizations. </t>
    </r>
    <r>
      <rPr>
        <rFont val="Arial"/>
        <b/>
        <color theme="1"/>
        <sz val="10.0"/>
      </rPr>
      <t>These interviews resulted in twenty-one risk factors</t>
    </r>
    <r>
      <rPr>
        <rFont val="Arial"/>
        <color theme="1"/>
        <sz val="10.0"/>
      </rPr>
      <t>. A risk factor is identified as either a “not a success development risk” or a “not a success mode”. (...) The second step in the first phase involved conducted</t>
    </r>
    <r>
      <rPr>
        <rFont val="Arial"/>
        <b/>
        <color theme="1"/>
        <sz val="10.0"/>
      </rPr>
      <t xml:space="preserve"> survey</t>
    </r>
    <r>
      <rPr>
        <rFont val="Arial"/>
        <color theme="1"/>
        <sz val="10.0"/>
      </rPr>
      <t xml:space="preserve"> in which ninety-one participants from different Malaysian, American and Jordanian companies that develop Web applications for sale as well as in-house software development groups within organizations. The business that they serviced include government, financial institutions, Web portals, medical agencies, legal, banking, manufacturing, e-commerce retail, travel and tourism, software consultancy and consumer advisory services. </t>
    </r>
    <r>
      <rPr>
        <rFont val="Arial"/>
        <b/>
        <color theme="1"/>
        <sz val="10.0"/>
      </rPr>
      <t>The main objective of the study is to verify our results from first step and to understand the extent of Web project development practices currently in use by learning from the experiences of organizations who are already out there managing Web projects. In addition it investigates uncertainties that will affect the project and the level of threat they pose to the Web project’s success.</t>
    </r>
    <r>
      <rPr>
        <rFont val="Arial"/>
        <color theme="1"/>
        <sz val="10.0"/>
      </rPr>
      <t xml:space="preserve"> 3.1.2 Risk Factors Classification After reviewing all risk items captured during the interview process, the second stage was to assess the relevancy of each risk factor to the characteristics of the web project that were obtained particularly for the web project. These characteristics constitute the reasons why many concepts, methods, techniques, and tools of traditional software projects are either insufficient to meet the needs of Web projects or have to be modified in order to do so. These characteristics include Content, Navigation, Presentation, Social Context, Technical Context, Natural Context, The Development Team, Technical Infrastructure, Process, and Integration. The result of classifying risk to Web application characteristics is shown in Table 1. "] ["3.2.1.1 </t>
    </r>
    <r>
      <rPr>
        <rFont val="Arial"/>
        <b/>
        <color theme="1"/>
        <sz val="10.0"/>
      </rPr>
      <t>Dimensions for Web Project Characteristics</t>
    </r>
    <r>
      <rPr>
        <rFont val="Arial"/>
        <color theme="1"/>
        <sz val="10.0"/>
      </rPr>
      <t xml:space="preserve">  The first phase is the construction of graphical structure of BN for RIAP model by arranging the characteristics into </t>
    </r>
    <r>
      <rPr>
        <rFont val="Arial"/>
        <b/>
        <color theme="1"/>
        <sz val="10.0"/>
      </rPr>
      <t>three dimensions: “product”, “usage”, and “development”</t>
    </r>
    <r>
      <rPr>
        <rFont val="Arial"/>
        <color theme="1"/>
        <sz val="10.0"/>
      </rPr>
      <t xml:space="preserve">. These dimensions represent the BN network segments. </t>
    </r>
    <r>
      <rPr>
        <rFont val="Arial"/>
        <b/>
        <color theme="1"/>
        <sz val="10.0"/>
      </rPr>
      <t>The utilization of these three dimensions is based on the ISO/IEC 9126-1 standard for the evaluation of software quality characteristics</t>
    </r>
    <r>
      <rPr>
        <rFont val="Arial"/>
        <color theme="1"/>
        <sz val="10.0"/>
      </rPr>
      <t xml:space="preserve"> [17]. Fig. 2 shows the dimensions for the categorization of Web project characteristics. This phase also obtains the graphical structure for BN that represents the relationship of direct influence among characteristics of web application in each dimension and its risk factors. Our aim was to establish which risk factors in one sub-network had a direct influence on other risk factors in the same sub-network, and eventually on risk factors in other sub-networks. </t>
    </r>
    <r>
      <rPr>
        <rFont val="Arial"/>
        <b/>
        <color theme="1"/>
        <sz val="10.0"/>
      </rPr>
      <t>Each relationship is supported by principles that represent the direct influence or dependence between variables and its parent’s risk factors</t>
    </r>
    <r>
      <rPr>
        <rFont val="Arial"/>
        <color theme="1"/>
        <sz val="10.0"/>
      </rPr>
      <t>. Fig. 3 depicts the graphical structure of the three-level BN. "]</t>
    </r>
  </si>
  <si>
    <r>
      <rPr>
        <rFont val="Arial"/>
        <color theme="1"/>
        <sz val="10.0"/>
      </rPr>
      <t xml:space="preserve">["3.2.1.2 </t>
    </r>
    <r>
      <rPr>
        <rFont val="Arial"/>
        <b/>
        <color theme="1"/>
        <sz val="10.0"/>
      </rPr>
      <t>Definition of Node Probability</t>
    </r>
    <r>
      <rPr>
        <rFont val="Arial"/>
        <color theme="1"/>
        <sz val="10.0"/>
      </rPr>
      <t xml:space="preserve">  Quantifying BN means assessing the probability distributions that is node probability tables (NPTs) for each of the nodes represented in BN. A parent node’s NPT represents the relation probability of each state (value); a child node’s NPT represents the relation probability of each value conditional on every combination of values of its parents. The knowledge for assessing the probability distributions could be obtained either from empirical data, if it exists or elicitation of probabilities from experts domain. Both kinds of knowledge could be used independently or in arrangement with each other [16].  </t>
    </r>
    <r>
      <rPr>
        <rFont val="Arial"/>
        <b/>
        <color theme="1"/>
        <sz val="10.0"/>
      </rPr>
      <t>We used the questionnaire responses [8] as objective data for assessing the probability distributions for the nodes in Bayesian networks.</t>
    </r>
    <r>
      <rPr>
        <rFont val="Arial"/>
        <color theme="1"/>
        <sz val="10.0"/>
      </rPr>
      <t xml:space="preserve"> As soon as the nodes in BN specified, we used the Bayes’ theorem [16] to calculate relationship between nodes. The Bayes’ theorem for two nodes is:  P (E | C) = where: • P (E | C)  is called the posterior distribution and represents the probability of E given evidence C; • P (E) is called the prior distribution and represents the probability of E prior to evidence C is given; • P (C | E) is called the likelihood function and represents the probability of C assuming E is true. Fig. 4 shows the specification of the node probability tables for the product dimension. "]</t>
    </r>
  </si>
  <si>
    <t>Proof of concept, case study (evaluation of model usefulness/usability)</t>
  </si>
  <si>
    <r>
      <rPr>
        <rFont val="Arial"/>
        <color theme="1"/>
        <sz val="10.0"/>
      </rPr>
      <t>["</t>
    </r>
    <r>
      <rPr>
        <rFont val="Arial"/>
        <b/>
        <color theme="1"/>
        <sz val="10.0"/>
      </rPr>
      <t>Risk identification architecture pattern is presented by using set of risk scenarios</t>
    </r>
    <r>
      <rPr>
        <rFont val="Arial"/>
        <color theme="1"/>
        <sz val="10.0"/>
      </rPr>
      <t>, where a risk scenario is a causal chain of risk factors that ends with the occurrence of a risk loss. The causal chain includes identifying the important resource that contain effected risk factors, the Web project characteristic that have that resource and the dimension including that characteristic. "] ["</t>
    </r>
    <r>
      <rPr>
        <rFont val="Arial"/>
        <b/>
        <color theme="1"/>
        <sz val="10.0"/>
      </rPr>
      <t>6 Evaluation of RIAP</t>
    </r>
    <r>
      <rPr>
        <rFont val="Arial"/>
        <color theme="1"/>
        <sz val="10.0"/>
      </rPr>
      <t xml:space="preserve">  We conducted a </t>
    </r>
    <r>
      <rPr>
        <rFont val="Arial"/>
        <b/>
        <color theme="1"/>
        <sz val="10.0"/>
      </rPr>
      <t>case study</t>
    </r>
    <r>
      <rPr>
        <rFont val="Arial"/>
        <color theme="1"/>
        <sz val="10.0"/>
      </rPr>
      <t xml:space="preserve"> that attempted to identify risks in an actual web project using RIAP model. </t>
    </r>
    <r>
      <rPr>
        <rFont val="Arial"/>
        <b/>
        <color theme="1"/>
        <sz val="10.0"/>
      </rPr>
      <t>Seventeen final year students</t>
    </r>
    <r>
      <rPr>
        <rFont val="Arial"/>
        <color theme="1"/>
        <sz val="10.0"/>
      </rPr>
      <t xml:space="preserve"> from the School of Computer Sciences, Universiti Sains Malaysia, </t>
    </r>
    <r>
      <rPr>
        <rFont val="Arial"/>
        <b/>
        <color theme="1"/>
        <sz val="10.0"/>
      </rPr>
      <t>were the subjects of the evaluation</t>
    </r>
    <r>
      <rPr>
        <rFont val="Arial"/>
        <color theme="1"/>
        <sz val="10.0"/>
      </rPr>
      <t xml:space="preserve">. The concerned project was an e-learning portal for the school.  Each student had to identify risk factors associated with the project development. </t>
    </r>
    <r>
      <rPr>
        <rFont val="Arial"/>
        <b/>
        <color theme="1"/>
        <sz val="10.0"/>
      </rPr>
      <t>An analysis of the data revealed that the students identified a diverse set of risks</t>
    </r>
    <r>
      <rPr>
        <rFont val="Arial"/>
        <color theme="1"/>
        <sz val="10.0"/>
      </rPr>
      <t xml:space="preserve"> such as vague project requirements or the lack of a detailed plan for the project. The latter type of risks included team members lacking project specific skills, the lack of a standard and explicit definition of project quality as well as the absence of top management support for the project. </t>
    </r>
    <r>
      <rPr>
        <rFont val="Arial"/>
        <b/>
        <color theme="1"/>
        <sz val="10.0"/>
      </rPr>
      <t>Then we requested project managers to evaluate the students responses based on their perceptions and personal experiences.</t>
    </r>
    <r>
      <rPr>
        <rFont val="Arial"/>
        <color theme="1"/>
        <sz val="10.0"/>
      </rPr>
      <t xml:space="preserve"> The case study involved the steps below:  i. Analyze all identified risk factors and categorize them under web project dimensions: “product”, “usage”, and “development”.  ii. iii. 619 Rank factors in (i) based on the characteristics of the web projects. Feed (ii) into BN to study sources of risk factors and represent all existing relationships between the risk factors and the web project’s characteristics. iv. v. Represent risk factors using RIAP to verify whether the risk identification architecture patterns could rephrase the identified risk factors.  Organize RIAP to locate unidentified risks not detected by the subjects. This step could determine whether RIAP could add meaningful risks to those risk factors already identified by the subjects. </t>
    </r>
    <r>
      <rPr>
        <rFont val="Arial"/>
        <b/>
        <color theme="1"/>
        <sz val="10.0"/>
      </rPr>
      <t>From the case study, we were able to interpret all the risk factors identified in step (ii) according to the risk patterns. Then we were able to identify a number of risks that were not identified by the subjects based on project managers’ or experts’ evaluation. Lastly, the identification of risk factors using RIAP can widen the scope of risk identification using a comprehensive and extremely detailed risk identification architectural pattern. Hence it can support the architectural design decision of the concerned project.</t>
    </r>
    <r>
      <rPr>
        <rFont val="Arial"/>
        <color theme="1"/>
        <sz val="10.0"/>
      </rPr>
      <t xml:space="preserve"> "]</t>
    </r>
  </si>
  <si>
    <t>["The first step conducted in the development of RIAP model was to collect required information on the threats to Web projects. We achieved the input for RIAP via interviews with various experts from different Web application development companies, and from different countries. We focus on investigating the risk factors and risk-mitigation actions that address common issues in Web project development. From these interviews, the most common twenty one risk factors and the most common ten risk management actions were identified [7]. Table I summarizes the ten risk mitigation actions derived. After reviewing all risk factors captured during the interview process, the second step was to assess the relevancy of each risk factor to the selected characteristics of Web projects that would be used by RIAP model to mitigate the risks. By assigning the risk factors to these characteristics of the Web project, we can observe their impact on the development of Web applications. These characteristics are listed in Table II. The last step was to conduct the survey with ninety-one participants from different Malaysian, American and Jordanian companies, which had developed Web applications for software market, as well as in-house software development groups within organizations. The main objective of the study is to validate the findings in the pre-study as well as to examine uncertainties that will affect the Web project and the level of threat they pose to the Web projects success [7]. In the data analysis survey stage, we examine the correlation between the level of risk presence and the degree to which risk-mitigation activities were adopted. The results of this step are shown in Table III."] ["1) Constructing Bayesian Network (BN): Building BN comprises three phases. The first phase was to arrange the Web project characteristics into three dimensions: “Product”, “Usage”, and “Development” [5]. By assigning the different characteristics of Web applications to these dimensions, we can observe their impact on the quality of Web applications. In other words, these characteristics can serve as a referral point for the definition of risk in a Web project. The second phase, we generated a new level in the BN based on the separation of the Web application characteristics into important resources [6]. Our aim is to establish which characteristic in a category had a direct influence on characteristics in the same category, and eventually on characteristics in different categories. Each relationship is supported by a premise that represents the direct influence or dependence between a characteristic and its parent characteristic. The concept of separation of the Web application characteristics into important resources would be of greater value in order to gain a better insight into complex systems. This is attained through narrowing down the scope of system interpretation based on the existence of different entities within the overall framework. Besides, the separation of the Web application characteristics assists can decrease the dependencies among risk factors in order to assess risk factors in Web projects. The third phase of building BN involves graphical structure and definition of node probability. 2) Constructing a RIAP: Preferably, the identification of risks associated with a Web project and the process of constructing a BN should give us a risk statement that we can apply in the next stage of constructing RIAP. A risk statement is a real description of the event or set of situation that is not needed. Risk statements in RIAP are generated based on the relationship of direct influences between the sub-networks in BN and the identification of risk factors. Upon an evaluation of all risk statements, we can build RIAP by assigning identified risk factors to architectural sub-networks based on their relationship, responsibilities and interplay. Each relation between each risk factor and the causal sub-networks chain represent one risk pattern. Each pattern contains information about the best risk mitigation actions, risk solutions, risk reasoning, the NPTs for the risk factors and the related sub-network nodes, its impact on the qualities attributes, and the last report contains information about the pattern improvement or redefined. "]</t>
  </si>
  <si>
    <t>["In this article, we integrate existing models that reflect different viewpoints and abstraction levels of task allocation decisions. Based on the integrated approach, we sketch a process for systematic evaluation and selection of task assignments that defines the model interfaces and the sequential order of their use. In detail, the approach presented here integrates a risk model that is able to identify the possible risks for each assignment individually, an optimization model that uses Bayesian networks to suggest assignment alternatives with respect to multiple criteria, and an effort overhead model that is able to estimate the project effort for each assignment alternative. "] ["3   Process Overview In this section, the approach for task allocation decision support will be introduced. It consists of three different models, each regarding a specific perspective. Figure 1 gives an overview of the models together with the input needed for model development and the interfaces between them. In the following, we will present all three models individually, followed by a definition of the overall process for using the three models in task allocation decisions. (...) 3.2   Assignment Suggestion Model The assignment suggestion model is able to identify assignment alternatives from the pool of all possibilities. This is done based on an internal Bayesian network model and the project characterization and goal weights done by the responsible project manager. It is described in detail in several other publications [14] [10] [11] [12].(...) The underlying Bayesian network model can be easily modified and adapted to individual organizational contexts. For this, the results of the risk identification model can be used as input: In the risk identification model, influencing factors and causal relationships have already been defined. Thus, it remains for the Bayesian network to define how the identified risks affect project goals and to weigh the causal relationships against each other. This should again be done based on the estimations of experienced practitioners. We developed a first prototype of the assignment suggestion. The underlying Bayesian network was developed based on an intensive literature study [12] and refined in interviews with nine highly experienced practitioners [10]. As a result, we implemented it as a Java tool, which has been presented in different publications [10] [11]. "]</t>
  </si>
  <si>
    <t>Literature review, divorcing</t>
  </si>
  <si>
    <r>
      <rPr>
        <rFont val="Arial"/>
        <color rgb="FF000000"/>
        <sz val="10.0"/>
      </rPr>
      <t xml:space="preserve">["In order to demonstrate the use of the model, </t>
    </r>
    <r>
      <rPr>
        <rFont val="Arial"/>
        <b/>
        <color rgb="FF000000"/>
        <sz val="10.0"/>
      </rPr>
      <t>we developed a first instance by identifying goals, influencing factors, and their relationships in an empirical study</t>
    </r>
    <r>
      <rPr>
        <rFont val="Arial"/>
        <color rgb="FF000000"/>
        <sz val="10.0"/>
      </rPr>
      <t xml:space="preserve">. The resulting model has to be further adapted to specific environments. However, it describes typical characteristics of distributed development and will be used in this article for several feasibility studies. The main research questions of the empirical study were: Question 1: What are the goals of distributed development projects? Question 2: What characteristics of distributed development should be regarded during task assignment? Question 3: What are the relationships between the characteristics of distributed development and project goals? The study consisted of a literature review and an interview study, which will be explained in the following. 5.1 </t>
    </r>
    <r>
      <rPr>
        <rFont val="Arial"/>
        <b/>
        <color rgb="FF000000"/>
        <sz val="10.0"/>
      </rPr>
      <t>Literature study</t>
    </r>
    <r>
      <rPr>
        <rFont val="Arial"/>
        <color rgb="FF000000"/>
        <sz val="10.0"/>
      </rPr>
      <t xml:space="preserve"> A </t>
    </r>
    <r>
      <rPr>
        <rFont val="Arial"/>
        <b/>
        <color rgb="FF000000"/>
        <sz val="10.0"/>
      </rPr>
      <t>literature review</t>
    </r>
    <r>
      <rPr>
        <rFont val="Arial"/>
        <color rgb="FF000000"/>
        <sz val="10.0"/>
      </rPr>
      <t xml:space="preserve"> was conducted in order to gather practical experiences and extract information on</t>
    </r>
    <r>
      <rPr>
        <rFont val="Arial"/>
        <b/>
        <color rgb="FF000000"/>
        <sz val="10.0"/>
      </rPr>
      <t xml:space="preserve"> goals, influencing factors, and their relationships</t>
    </r>
    <r>
      <rPr>
        <rFont val="Arial"/>
        <color rgb="FF000000"/>
        <sz val="10.0"/>
      </rPr>
      <t xml:space="preserve">. For this, the databases ProQuest and Web of Science were searched using the keywords “Global Software Development” and “Distributed Software Development”, as were special issues of IEEE Software and the proceedings of the “International Conference on Global Software Engineering” and the “International Workshop on Global Software Development for the Practitioner”.(...) </t>
    </r>
    <r>
      <rPr>
        <rFont val="Arial"/>
        <b/>
        <color rgb="FF000000"/>
        <sz val="10.0"/>
      </rPr>
      <t>As a result, six goals of GSD projects were identified. These were influenced by 15 influencing factors.</t>
    </r>
    <r>
      <rPr>
        <rFont val="Arial"/>
        <color rgb="FF000000"/>
        <sz val="10.0"/>
      </rPr>
      <t xml:space="preserve"> However, most of the influences were not direct but via some intermediate factors (e.g., cultural differences causing communication overhead, which impacts productivity and thus development time). We thus included “intermediate factors” as an additional layer between influencing factors and goals. Table 4 shows the results in the three different categories. 5.2 </t>
    </r>
    <r>
      <rPr>
        <rFont val="Arial"/>
        <b/>
        <color rgb="FF000000"/>
        <sz val="10.0"/>
      </rPr>
      <t>Interview study</t>
    </r>
    <r>
      <rPr>
        <rFont val="Arial"/>
        <color rgb="FF000000"/>
        <sz val="10.0"/>
      </rPr>
      <t xml:space="preserve"> In order to not only get a theoretical but also a practical view on the causal relationships and to identify relative weights for the identified factors, </t>
    </r>
    <r>
      <rPr>
        <rFont val="Arial"/>
        <b/>
        <color rgb="FF000000"/>
        <sz val="10.0"/>
      </rPr>
      <t>the literature findings were validated in an interview study. Thus, interviews with experienced practitioners were conducted and the literature findings were presented to them. The interviewees were given the overall model as well as each causal relationship individually and were asked to comment on them.</t>
    </r>
    <r>
      <rPr>
        <rFont val="Arial"/>
        <color rgb="FF000000"/>
        <sz val="10.0"/>
      </rPr>
      <t xml:space="preserve"> In addition, they were asked to weight the existing influencing factors and—if necessary—add or remove factors or relationships. Ten of the participants of the interview study presented in Sect. 2 were interviewed. The interviews were recorded and the transcriptions were analyzed. Based on the analysis results, several modifications were made to the findings of the literature study. The main changes were:(...) From the results of the study, the initial Bayesian networks for execution and transmission costs shown in Figs. 3 and 4 were derived as follows: First, the causal model was split into two parts, with one containing the characteristics of tasks and sites and the other one containing the relationships between tasks and sites. Afterward, a Bayesian network was constructed for each model. </t>
    </r>
    <r>
      <rPr>
        <rFont val="Arial"/>
        <b/>
        <color rgb="FF000000"/>
        <sz val="10.0"/>
      </rPr>
      <t xml:space="preserve">As the probabilistic tables for a node in a BN grow exponentially with the number of input nodes, new intermediate nodes were created in order to reduce the number of inputs per node. </t>
    </r>
    <r>
      <rPr>
        <rFont val="Arial"/>
        <color rgb="FF000000"/>
        <sz val="10.0"/>
      </rPr>
      <t>For the node “communication problems”, the causal relationship to its input nodes was reversed, with the influencing factors being indicators for the problems in communication. This was done because in BNs, both deductive and inductive reasoning is possible [35] and because complexity is reduced largely. Many of the resulting model’s influencing factors are in accordance with the criteria for task allocation we identified in practice (see Table 1). However, there are also several differences that are mainly due to two reasons: First, many of the criteria that were named as being applied in practice were very fuzzy and could not be included in a systematic model (e.g., “political reasons” or “personal reasons”). Second, there were some factors that were not named as criteria for work allocation but were included as influencing factors (e.g., “language differences”). These factors were named by both literature and practitioners as having an influence on project outcomes (e.g., by impacting productivity) and we therefore believe that it is important to include them in a systematic task allocation decision process."]</t>
    </r>
  </si>
  <si>
    <r>
      <rPr>
        <rFont val="Arial"/>
        <color theme="1"/>
        <sz val="10.0"/>
      </rPr>
      <t>["5.2</t>
    </r>
    <r>
      <rPr>
        <rFont val="Arial"/>
        <b/>
        <color theme="1"/>
        <sz val="10.0"/>
      </rPr>
      <t xml:space="preserve"> Interview study </t>
    </r>
    <r>
      <rPr>
        <rFont val="Arial"/>
        <color theme="1"/>
        <sz val="10.0"/>
      </rPr>
      <t xml:space="preserve">In order to not only get a theoretical but also a practical view on the causal relationships and </t>
    </r>
    <r>
      <rPr>
        <rFont val="Arial"/>
        <b/>
        <color theme="1"/>
        <sz val="10.0"/>
      </rPr>
      <t>to identify relative weights for the identified factors</t>
    </r>
    <r>
      <rPr>
        <rFont val="Arial"/>
        <color theme="1"/>
        <sz val="10.0"/>
      </rPr>
      <t xml:space="preserve">, the literature findings were validated in an interview study. Thus, interviews with experienced practitioners were conducted and the literature findings were presented to them. </t>
    </r>
    <r>
      <rPr>
        <rFont val="Arial"/>
        <b/>
        <color theme="1"/>
        <sz val="10.0"/>
      </rPr>
      <t xml:space="preserve">The interviewees were given the overall model as well as each causal relationship individually and were asked to comment on them. In addition, they were asked to weight the existing influencing factors </t>
    </r>
    <r>
      <rPr>
        <rFont val="Arial"/>
        <color theme="1"/>
        <sz val="10.0"/>
      </rPr>
      <t xml:space="preserve">and—if necessary—add or remove factors or relationships. (...) Figure 6 shows the final causal model with goals, influencing factors, and causal relationships. </t>
    </r>
    <r>
      <rPr>
        <rFont val="Arial"/>
        <b/>
        <color theme="1"/>
        <sz val="10.0"/>
      </rPr>
      <t>These relationships describe how certain factors increase (+) or decrease (−) others based on the findings in the literature and the interviews</t>
    </r>
    <r>
      <rPr>
        <rFont val="Arial"/>
        <color theme="1"/>
        <sz val="10.0"/>
      </rPr>
      <t xml:space="preserve"> (e.g., “high process maturity increases the benefit of follow-the-sun”, “the benefit of follow-the-sun decreases development time”). </t>
    </r>
    <r>
      <rPr>
        <rFont val="Arial"/>
        <b/>
        <color theme="1"/>
        <sz val="10.0"/>
      </rPr>
      <t>The figure also contains weights for the causal relationships according to the answers of the interviewees. However, the weighs were hard to gather</t>
    </r>
    <r>
      <rPr>
        <rFont val="Arial"/>
        <color theme="1"/>
        <sz val="10.0"/>
      </rPr>
      <t xml:space="preserve">: Only for few influences (marked with “+++”or“−−−”)didmost practitioners agree on their importance. Others were only seen important by some of the interviewees (“++”, “−−”) or were subject to very different views (“+”, “−”). This shows again that many influencing factors and their weights depend on the environment and emphasizes the need for a distribution model to be adaptable."] ["(4) Develop BNs from causal model: The causal model is split up into models describing the characteristics of the tasks and sites (i.e., the BN for execution costs, see Fig. 3) and the dependencies between tasks and sites (i.e., the BN for transmission cost, see Fig. 4). For every sub-model, the number of inputs for every node is reduced by adding new nodes and basic functions, and </t>
    </r>
    <r>
      <rPr>
        <rFont val="Arial"/>
        <b/>
        <color theme="1"/>
        <sz val="10.0"/>
      </rPr>
      <t>weights are selected for defining the probabilistic tables, resulting in two Bayesian networks</t>
    </r>
    <r>
      <rPr>
        <rFont val="Arial"/>
        <color theme="1"/>
        <sz val="10.0"/>
      </rPr>
      <t>. These networks are implemented in the custom part of the TAMRI tool."]</t>
    </r>
  </si>
  <si>
    <r>
      <rPr>
        <rFont val="Arial"/>
        <color rgb="FF000000"/>
        <sz val="10.0"/>
      </rPr>
      <t xml:space="preserve">The article presents an application of the model through different scenarios and evaluates the model against a set of requirements. ["This article presents a customizable multi-criteria model for task allocation in global software development projects. Based on an analysis of the state of the practice, </t>
    </r>
    <r>
      <rPr>
        <rFont val="Arial"/>
        <b/>
        <color rgb="FF000000"/>
        <sz val="10.0"/>
      </rPr>
      <t>a set of requirements was derived and used for evaluating existing task allocation models from different domains</t>
    </r>
    <r>
      <rPr>
        <rFont val="Arial"/>
        <color rgb="FF000000"/>
        <sz val="10.0"/>
      </rPr>
      <t xml:space="preserve">. The Bokhari algorithm was identified as a suitable starting point and modified with respect to the fulfillment of the requirements. The modification includes the development of mechanisms for customization, the incorporation of cause-effect relationships, and the use of probabilistic modeling of uncertainty with Bayesian networks. </t>
    </r>
    <r>
      <rPr>
        <rFont val="Arial"/>
        <b/>
        <color rgb="FF000000"/>
        <sz val="10.0"/>
      </rPr>
      <t>The application of the model is demonstrated in different scenarios that represent typical hypothetical and real distribution decision problems in industrial contexts</t>
    </r>
    <r>
      <rPr>
        <rFont val="Arial"/>
        <color rgb="FF000000"/>
        <sz val="10.0"/>
      </rPr>
      <t xml:space="preserve">."] ["7.1 </t>
    </r>
    <r>
      <rPr>
        <rFont val="Arial"/>
        <b/>
        <color rgb="FF000000"/>
        <sz val="10.0"/>
      </rPr>
      <t>Evaluation of the Model</t>
    </r>
    <r>
      <rPr>
        <rFont val="Arial"/>
        <color rgb="FF000000"/>
        <sz val="10.0"/>
      </rPr>
      <t xml:space="preserve"> In Sect. 2.2, a set of requirements for a task distribution model was formulated. The TAMRI model addresses them in the following manner:REQ 1. Evaluation of assignments: The Bayesian networks are able to evaluate task assignments with respect to individual goals and influencing factors. The assignment suggestions made by TAMRI are based on this evaluation. However, the evaluation is not very transparent to the user, since it is based on abstract aggregated numbers. The TAMRI tool also does not present the evaluation to the user, working as a black box that presents only the final assignment suggestions to the user. The model can therefore not be used to transparently evaluate different assignment alternatives. REQ 1.1. Use of multiple criteria and factors: The Bayesian networks allow for using multiple nodes as influencing factors or assignment criteria. REQ 1.2. Empirical basis: The basic model consists only of abstract concepts and algorithms. However, </t>
    </r>
    <r>
      <rPr>
        <rFont val="Arial"/>
        <b/>
        <color rgb="FF000000"/>
        <sz val="10.0"/>
      </rPr>
      <t>the instantiation of the model presented in this article is based on an empirical literature and interview study.(...) The evaluation of the model shows that all requirements are completely fulfilled with the exception of the ability to evaluate task assignment alternatives.</t>
    </r>
    <r>
      <rPr>
        <rFont val="Arial"/>
        <color rgb="FF000000"/>
        <sz val="10.0"/>
      </rPr>
      <t xml:space="preserve"> Further limitations of the model are:(...)"]</t>
    </r>
  </si>
  <si>
    <t>["3.2. Empirical Identification of Criteria and Causal Relations The empirical foundations of the model were laid using a combined literature review and interview study on distributed software development. These resulted in a set of criteria and causal relationships. The results were then used for the development of the task allocation model. The study is summarized in the following. (It is explained in more detail in [29]) The goal of the literature and interview study can be described as follows: From the perspective of a project manager in a global software development project, the criteria for task assignment and the underlying causal relationships should be identified. Three research questions were derived from that: • Question 1: What are the goals of distributed development projects? • Question 2: What characteristics of distributed development should be regarded during task assignment? • Question 3: What are the relationships between the characteristics of distributed development and project goals? The following steps were performed in the study: 1. Literature study: A literature study was conducted first. 26 publications from different journals, conferences, and workshops were analyzed. They can be classified into case studies, empirical studies (reporting the experiences of several distributed development projects), and other types of publications. Table 1 lists the analyzed literature. As a result, a first set of criteria and causal relationships was identified. 2. Questionnaire design: Based on the literature results, a questionnaire was designed for use in interviews with practitioners. In the questionnaire, the findings from the literature study were presented and the practitioners were asked to comment on these results. 3. Interview study: An interview study was conducted with managers of distributed software development. Interviews were conducted either in person or over the telephone. They usually lasted for approximately one hour. The interviews were part of a larger study on distributed development (see [29]), with ten of them being used for the work presented here. All interviews were recorded and transcribed literally. 4. Analysis: The transcribed interviews were analyzed question by question, comparing the answers with the literature study results. According to the practitioners’ answers, the previous findings were weighted, new criteria and causal relationships were added, and irrelevant factors were removed. The study resulted in a set of 13 influencing factors. These factors have an influence on four intermediate factors (problems in communication, coordination, and control; possible benefit of round-the-clock-development; productivity; fit between the knowledge needed for a task and that available at a site) and on three goals (cost, time, quality). Figure 1 shows the relationships identified between influencing factors and goals. It also gives a relative weight for the (positive or negative) influences. "] ["We used Bayesian networks in our model to represent the cost functions of the distributed systems algorithm of Bokhari: Both the cost of executing a task at a site and the cost of transmitting data between sites is represented by a BN. Figures 3 and 4 show the resulting networks. (...) Input variables, cost variables, causal relationships, and their weights (e.g., the weights of “staff capability” and “process maturity” on “development quality”) were taken from the results of the literature and interview studies. "]</t>
  </si>
  <si>
    <t>["In this implementation, the goals, influencing variables, and their causal relationships are stored solely in the Bayesian networks. In the prototypical version presented in this article, they stem from a combined literature and interview study [11]. However, in specific organizations, the underlying relationships may be different. For example, other goals and variables might be relevant, or the impact of a certain variable on project goals might be different. This would result in individual BNs covering specific organizational environments."]</t>
  </si>
  <si>
    <r>
      <rPr>
        <rFont val="Arial"/>
        <color rgb="FF000000"/>
        <sz val="10.0"/>
      </rPr>
      <t xml:space="preserve">["3 Proposed Approach Our approach addresses the prioritization problem by: i) extracting different sets of evidence from the source code, ii) integrating all information to a single Bayesian network model, and iii) using probabilistic inference to compute P(Tj|E) values. Fig. 1 illustrates a high-level schema of this approach. The first step in performing prioritization is to gather all useful information that is to be included in the model. Our current solution exploits three sources of information: software quality metrics, test coverage measures, and change analysis data. Extracting evidences is undertaken in order to provide the necessary data for the next phase, Building Bayesian Network, in which an inclusive probabilistic model to relate these data is built. The details and rational behind using these evidences will be covered in the next section, where we give an in-depth description of the second phase. The last phase is to employ the probabilistic inference algorithms to associate to each test case its probability of success given the collected evidences. Note that the first and last phases are well-established research works and here we just make use of the existing contributions to implement them. (...) There are two facets to modeling a BN, designing the structure and computing the parameters. Regarding the first issue, the notions of conditional independence and causal relation [16] can be of great help. Intuitively, two events (variables) are conditionally independent if knowing the value of some other variables makes the outcomes of those events independent. It is important to make sure that conditionally independent variables are not connected to each other. Designing based on causal relationships is one way to achieve that. For computing the parameters, expert knowledge, statistical learning, and probabilistic estimations can be used. (...) 4.2 Proposed BN Model Empirical studies conducted in the literature indicate that an important factor in performance of a technique is the evidences it utilizes [9]. The rational behind using Bayesian networks for prioritization is to unify various types of evidences in one single model. As mentioned in Section 4.1, modeling is the main focus in solving the problems using BN. A description of how three basic elements of a BN is designed in our approach follows: Nodes. There are three categories of nodes in these models: • ce: </t>
    </r>
    <r>
      <rPr>
        <rFont val="Arial"/>
        <b/>
        <color rgb="FF000000"/>
        <sz val="10.0"/>
      </rPr>
      <t>These variables represent change in the elements of the program.</t>
    </r>
    <r>
      <rPr>
        <rFont val="Arial"/>
        <color rgb="FF000000"/>
        <sz val="10.0"/>
      </rPr>
      <t xml:space="preserve"> </t>
    </r>
    <r>
      <rPr>
        <rFont val="Arial"/>
        <b/>
        <color rgb="FF000000"/>
        <sz val="10.0"/>
      </rPr>
      <t>Each software element in the considered level of granularity (i.e. a class) has a node of this type. These variables can take a value of “Changed” or “Unchanged”.</t>
    </r>
    <r>
      <rPr>
        <rFont val="Arial"/>
        <color rgb="FF000000"/>
        <sz val="10.0"/>
      </rPr>
      <t xml:space="preserve"> • fe: </t>
    </r>
    <r>
      <rPr>
        <rFont val="Arial"/>
        <b/>
        <color rgb="FF000000"/>
        <sz val="10.0"/>
      </rPr>
      <t>This category reflects our belief whether each element is faulty. Similar to the previous family, each element of the program has one node and each node can have the values of “Faulty”, or “Non-Faulty”.</t>
    </r>
    <r>
      <rPr>
        <rFont val="Arial"/>
        <color rgb="FF000000"/>
        <sz val="10.0"/>
      </rPr>
      <t xml:space="preserve"> • t: These variables represent the outcome of a test case which can be “Success” or “Failure”. Each test case has one node of this type and the probability distributions of these nodes are what we are looking for P(Ti|E). Arcs. Each arc in a BN indicates a causal relation between variables of two connected nodes. There are two set of arcs in our network: • ce − fe: Each fe node is the child of the corresponding (i.e. of the same code element) ce node. The existence of these arcs reflect the causal relation that changes to elements of software can introduce faults in the same element. • fe − t: Each t node is the child of some fe nodes. These arcs imply the causal relation between presence of fault in a software element and success of test cases that examine that element. In Fig. 2 the overall structure of the designed model is illustrated. Each ce node is connected to one fe node and the fe nodes are connected to an arbitrary number of t nodes. CPT. Each category of nodes has its own Conditional Probability Table:(...)"]</t>
    </r>
  </si>
  <si>
    <t>Direct function (e.g., sum, formula), noisy-OR assumption</t>
  </si>
  <si>
    <t>["P(ti|fe1 ...fen): Unlike the other node types, t nodes can have more than one parent. That is due to the fact that a test case may be able to find faults from different elements of the software. These values can be determined according to the coverage information of a test case. Normally, the information of test coverage is available only when test cases are executed and prioritization does not have any justification. The solution is to use the coverage information from previous versions for the current program. To further enhance the reliability of this solution, one may use heuristics of [12] (however, we believe even without these heuristics, the estimation is reasonable). Having test coverages, we estimate: P(ti = Success|fej = Faulty) = Cov(ti, ej ) Where Cov(ti, ej) is a function returning the percentage of the code element j covered by test case i. This formula estimates the relation between a test case and one single element. However, to build the CPT we need the probability of success for a test given all combinations of values of fe variables. In this situation, the table would become enormous and its size would grow exponentially with the number of covered elements by a test. In order to cope with this problem, we make the noisy-OR assumption, explained in Section 4.1. The assumption is that the relation of a test case to an element is independent from its relation to any other element. It can be argued that the ability of a test case to reveal a fault in one element is not related to its fault revealing ability in other elements, hence the assumption. Having the noisy-OR assumption we can say: P(ti|fe1 ...fen)=1 − (1 − P0) j (1 − P(Ti|fej = Faulty)) 1 − P0 (1) In this formula, P0 is P(Ti|fe1 = Non-Faulty, . . .,fen = Non-Faulty). This value (also called “leak”) is the probability of a test case succeeding even though all of its related elements are non-faulty. This value should be zero unless the information of coverage is incomplete or there exists an integration fault. For consideration of these causes, a very small constant can be assigned to leak parameter. Formula 1 is a straight-forward usage of noisy-or formula (justification of this formula can be found in BN references such as [16])."]</t>
  </si>
  <si>
    <r>
      <rPr>
        <rFont val="Arial"/>
        <color rgb="FF000000"/>
        <sz val="10.0"/>
      </rPr>
      <t xml:space="preserve">["5 Experiment To evaluate the proposed approach, we have built a semi-automated environment for test case prioritization. As a </t>
    </r>
    <r>
      <rPr>
        <rFont val="Arial"/>
        <b/>
        <color rgb="FF000000"/>
        <sz val="10.0"/>
      </rPr>
      <t>proof of concept</t>
    </r>
    <r>
      <rPr>
        <rFont val="Arial"/>
        <color rgb="FF000000"/>
        <sz val="10.0"/>
      </rPr>
      <t xml:space="preserve">, eight consecutive versions of Apache Ant [23] with a catalogue of 10 prioritization techniques are examined."] In conclusion, BN technique seems to perform better than any other technique inspected here, when there are more number of faults. In three out of four versions with more than one fault, the BN produced the best results. </t>
    </r>
    <r>
      <rPr>
        <rFont val="Arial"/>
        <b/>
        <color rgb="FF000000"/>
        <sz val="10.0"/>
      </rPr>
      <t>Therefore,  authors believe that the BN technique will perform very well when applied in practice to software systems that typically contain much more faults</t>
    </r>
    <r>
      <rPr>
        <rFont val="Arial"/>
        <color rgb="FF000000"/>
        <sz val="10.0"/>
      </rPr>
      <t>.</t>
    </r>
  </si>
  <si>
    <t>["3 BN Approach to Test Case Prioritization Figure 1 illustrates the high-level process of our BNbased approach for test case prioritization. The first step, Extracting Evidences, gathers all the useful information that is to be included in the model. Our current solution exploits three sources of information: quality metrics, code change, test case coverage (this could be expanded based on the problem domain). The next step is Building Bayesian Network, in which we build an inclusive probabilistic model to relate all the gathered information. The third step, Ordering Test Cases, consists of three tasks. First, Probabilistic Inference algorithms are used to associate to each test case its probability of success according to the constructed model. Then, Test Case Selection chooses some test cases and adds them to the ordered list. Those test cases will be then used in Updating BN to modify the model such that the probability of sucess of other test cases which cover similar parts of the code decreases. This new model will be fed back to the Probabilistic Inference step and the loop continues until all the test cases are ordered. This loop is where the feedback mechanism comes to the picture. The first step (Extracting Evidences) is extensively studied by others, and we will make use of the existing contributions to implement it. In the rest of this section, we first elaborate on the second step (Building the Bayesian), including a brief introduction to Bayesian Networks, and then explain the third step (Ordering Test Cases) where the feedback mechanism is further clarified. 3.1 Building Bayesian Network (...) There are two facets to building a BN: designing the structure and computing the parameters. Regarding the first issue, the notions of conditional independence and causal relation can be of great help. Intuitively, two events (variables) are conditionally independent if knowing the value of some other variables makes the outcomes of those two events independent. For computing the parameters, expert knowledge, statistical learning, and probabilistic estimations can be used. (...) Modeling is the main focus in solving the problems using BN. In Figure 2, the overall structure of the model is illustrated. Three elements of a BN (nodes, arcs, and CPTs) are designed in our approach as follows. 3.1.1 Nodes As shown in Figure 2, our model has three types of nodes: • ce : These set of variables represent changes in elements of the program. Each software element in the considered level of granularity (i.e. a class) has a node of this type. These variables can take a value of “Changed” (denoted by cei) or “Unchanged” (denoted by ¬cei). • fe : This category reflects our belief whether each element is faulty. Each element of the program has one node of this type and each node can have the values of “Faulty” (fei), or “Non-Faulty”(¬fei). • t : These variables represent the outcome of a test case which can be “Success”(ti) or “Failure”(¬ti). Each test case has one node of this type. 3.1.2 Arcs Each arc in a BN indicates a causal relation between connected nodes. There are two sets of arcs in our network: • ce − fe : Each fe node is the child of the corresponding (i.e. of the same code element) ce node. The existence of these arcs reflect the causal relation that changes to elements of software can introduce faults in the same element. Note that changing one element can potentially result in a defect in other places. In this work, we have simplified the model by ignoring such interactions. Future works can easily capture that aspect by allowing arcs from a ce to any fe node, depending on the results of change impact analysis. • fe − t : Each t node can be the child of some fe nodes. These arcs imply the causal relation between presence of faults in a given software element and success of the test cases that examines that element. 3.1.3 Conditional Probability Table (...) "]</t>
  </si>
  <si>
    <t>["4.1.2 Define BN structure  Building a BN involves two general tasks: the development of the network structure i.e., the variables and their relationships and the estimation of the parameters i.e., the CPD and NPT. For this study, we have defined the BN structure based on expert knowledge and literature. We designed a BN bi-graph with a d-connection topology. In other words, we did not apply any algorithm for learning the BN structure. This approach is widely applied in literature to calculate software measures [10], [9], [36]. 1. Khan et al., define a bi-graph as, “if a node B is conditionally dependent on nodes A and C then, entering hard evidence at node A will update node B but will have no effect on node C” [37]. It means that all measures have to be evaluated independently. Therefore, only the quality subcharacteristics have conditional dependences. 2. In a converging d-connection topology, the network forms a directed causal graph, where edges go from causes (i.e., measures) to observable variables (i.e., QuESo quality subcharacteristics) [35]. "]</t>
  </si>
  <si>
    <t>Frequency quantification from historical/empirical data, expert elicitation</t>
  </si>
  <si>
    <t>["1. Background information: these can be derived from the historical data of the variable. First, dividing the continuous range of historical data into a set of discrete and finite intervals (one interval for each state or parameter), this process is called discretization. Second, assigning probability values to each interval, according to the frequency distribution of the data in the interval [9]"] ["4.1.2 Obtain BN Prior-probabilities and Absolute Measures. In order to get the NPT prior-probabilities to the BNs, we classify the QuESo-model measures into two categories: 3. Historical: Those that have evolution data over a time interval (e.g., Number of Passive Users, Number of Commits). The prior probabilities of this measures are assigned using the background information technique defined in Section 3.4 4. Absolute: Those that only have a single value (e.g., Days After Last Commit, Cluster Coefficient). The prior probabilities of these measures are provided by a group of domain experts."]</t>
  </si>
  <si>
    <t>["4.2 Evaluation process The goal to this process is to define a set of assessment scenarios in order to configure the QuESo-model for analyzing the data obtained from the measurement process. First, a set of experts configure the QuESo-model by providing the scenarios of the quality evaluation and selecting the QuESo-model subcharacteristics and measures that are relevant to reach those goals. Experts are also asked to provide the prior probabilities of the absolute measures. Furthermore, experts provide judgement about the validity of the input BN-nodes regarding to the assessment goals1. Figure6 shows the phases of the process. 4.2.1 Configure model The goal of this activity is twofold: first, to define a scenario for the evaluation and second, to assess the set of QuESo-model measures according to the defined scenario. This assessment should be based on the NPT prior probabilities obtained in the assessment process.4.2.2 Assign prior probabilities. In this activity, experts provide the prior probabilities of the Absolute Measures that were calculated in the assessment process. 4.2.3 Judge BN input-nodes. The BN input-nodes calculated in the measurement process are judged by the experts in the context of the assessment goals. This evaluation will be the evidence to be used to compute the QuESo-model subcharacteristics. 4.2.4. Calculate subcharacteristics. In this activity, the outcome of each QuESo-model quality subcharacteristic is calculated based on the Bayesian inference algorithm [28]. Figure 6 shows the QuESo-tool web form with the Size subcharacteristic calculated. The figure shows the historical graph data of the measures, the Bayesian input nodes for each measure and the result of the assessment (i.e., BN output node calculated)."]</t>
  </si>
  <si>
    <r>
      <rPr>
        <rFont val="Arial"/>
        <color rgb="FF000000"/>
        <sz val="10.0"/>
      </rPr>
      <t xml:space="preserve">["This paper takes a simple example to illustrate how an extension of Bayesian nets, known as influence diagrams, might be used to tackle a typical software engineering decision problem that arises in practice during software development."] ["3.2. Constructing Influence Diagrams There are three different types of node in an influence diagram – to view them, see Fig. 2. These three types are: 1. uncertain events which are represented by circles or ellipses, and are called chance nodes; 2. decisions which are represented by squares or rectangles, and are called decision nodes; 3. results or Utility Value, which is represented by a diamond, and is called a utility node. An influence diagram is drawn by connecting the labelled nodes by directed arcs. A directed arc from node A to node B implies that A affects or influences B. The following is a simple procedure to produce an influence diagram. This is based on the procedure that appears in pp. 136–137 of Marshall and Oliver, which should be consulted for more details [9]. 1. Construct a preliminary list of all the decisions and a list of the random events or random quantities of interest whose outcomes you believe to be important in the problem formulation. 2. Name each random quantity or decision, and also number them and rank them in time order. 3. Represent random quantities by round nodes and decisions by square nodes and draw them in time order from left to right. 4. Identify any influences or dependencies between random quantities and decisions that you believe important. Insert directed arcs between nodes that influence one another with the direction corresponding to the natural influence. 5. If a random event or decision A is conditionally independent of, i.e. is not influenced by, another decision or event B, given a third event or decision C, then you do not need an arc from B to A, even though C and B, and C and A, are connected by directed arcs. Thus it is permissible to have part of an influence diagram that looks like Fig. 1, despite the fact that intuitively we might expect an arc between B and A since they are both affected by C. 6. Check to see that there are no directed cycles in the diagram. (A directed cycle is said to occur where, following arcs in the direction indicated by their arrows, it is possible to return to a node visited previously.) 7. Ensure that any decision that occurs before a later decision has a directed arc from the former to the latter. Also any chance node known to a given decision node must be known to a later decision node, and thus must also be connected by a directed arc from the former to the latter."] ["5.2. </t>
    </r>
    <r>
      <rPr>
        <rFont val="Arial"/>
        <b/>
        <color rgb="FF000000"/>
        <sz val="10.0"/>
      </rPr>
      <t>Measurement Scales for Influences</t>
    </r>
    <r>
      <rPr>
        <rFont val="Arial"/>
        <color rgb="FF000000"/>
        <sz val="10.0"/>
      </rPr>
      <t xml:space="preserve"> For each node, a categorisation of the possible outcomes associated with that node is needed. </t>
    </r>
    <r>
      <rPr>
        <rFont val="Arial"/>
        <b/>
        <color rgb="FF000000"/>
        <sz val="10.0"/>
      </rPr>
      <t>This should be made so that it is as close as possible to the way the management do the assessment at present,</t>
    </r>
    <r>
      <rPr>
        <rFont val="Arial"/>
        <color rgb="FF000000"/>
        <sz val="10.0"/>
      </rPr>
      <t xml:space="preserve"> hopefully ensuring that the model fits well into the management organisation. </t>
    </r>
    <r>
      <rPr>
        <rFont val="Arial"/>
        <b/>
        <color rgb="FF000000"/>
        <sz val="10.0"/>
      </rPr>
      <t>Although continuously variable outcomes can be catered for, probability distributions based on a set of discrete values are easier to handle.</t>
    </r>
    <r>
      <rPr>
        <rFont val="Arial"/>
        <color rgb="FF000000"/>
        <sz val="10.0"/>
      </rPr>
      <t xml:space="preserve"> Some of the possible scales for these discrete values are: 1. </t>
    </r>
    <r>
      <rPr>
        <rFont val="Arial"/>
        <b/>
        <color rgb="FF000000"/>
        <sz val="10.0"/>
      </rPr>
      <t>Red, Amber and Green; 2. Small, Medium and Large; 3. Yes and No</t>
    </r>
    <r>
      <rPr>
        <rFont val="Arial"/>
        <color rgb="FF000000"/>
        <sz val="10.0"/>
      </rPr>
      <t>. The number and names of the discrete values used should be chosen to try and match existing methods of measurement, e.g. {Yes, No} where a clear decision is required, and {Small, Medium, Large} to reflect the size of the software required to implement a given change."]</t>
    </r>
  </si>
  <si>
    <t>["This paper has outlined how the use of an influence diagram can be used to model the risk management process of choosing which software changes to implement in a given software release. It has shown how the model can be implemented using proprietary software and thus automate the calculation of all the conditional probabilities to produce an overall Expected Utility for each possible software change. This Expected Utility reflects both the likelihood of it being successfully implemented in time for the next software release, and the value of that change to the organisation"]</t>
  </si>
  <si>
    <t>It only provides an example of usage. ["6. A Realistic Worked Example 6.1. Explanation of Diagrams and Tables The diagram shown in Fig. 4 will be used as a realistic worked example. When there are a large number of influences, it is convenient if these can be naturally grouped into particular areas by introducing a two-level hierarchy into the diagram, e.g. Finance. This has two main effects. Firstly, the structure of the diagram is improved, and secondly, the size and complexity of the tables required to implement the influence diagram are reduced as a direct consequence of reducing the total number of inputs into anyone node. Table9 gives the meaning for the influences used (it also contains influences in Fig.5 which are not in Fig.4). The measurement scales used for each of the influences and the outputs from the nodes is shown in Table 3. Tables 5–8 show the relationship between the input values for the influences and the corresponding output from that node. These figures would have to be developed by experience to suit the particular organisation involved. The Implementation Node is represented by Tables 5 and 6, corresponding to the value of the Understand influencenode being Yes or No respectively. Table 7 corresponds to the Financenode and Table 8 to the Feasibilitynode. The tables for the Utilitynode and the IncludeRequirementnode are the same as for Fig. 3. 6.2. Application of Example Data Suppose for a particular application that the value of the influences were as shown in Table4 and the Utility value was £10000. Then, from Table 5, the value for the Implementation is the pair {(0.60,Yes);(0.40,No)}, which represents a 60% chance at this stage of the prerequisites related to the implementation being ready intime. Then using Table 7, the value for the Finance is the pair {(0.55,Yes);(0.45,No)}, which represents a 55% chance of the Finance being ready in time. These can be combined using Table 8 to give a Feasibility of 0.60*0.55*1.0+0.60*0.45*0.70+0.40*0.55 *0.30+0.40*0.45*0.1 =0.603 i.e. the marginal distribution of the Feasibility node is {(0.603,Yes),(0.397,No)}. This represents a 60.3% likelihood that the criteria for this Requirement will have been satisfied in time for inclusion."]</t>
  </si>
  <si>
    <t>Literature review (information model), analysis of a dataset, lifecycle model, experts</t>
  </si>
  <si>
    <t>Discretization approach (clustering)</t>
  </si>
  <si>
    <t>analysis of a dataset, lifecycle model, experts</t>
  </si>
  <si>
    <r>
      <rPr>
        <rFont val="Arial"/>
        <color rgb="FF000000"/>
        <sz val="10.0"/>
      </rPr>
      <t xml:space="preserve">["B. Aggregation and Clustering of Project Data As mentioned earlier in this section, the summarization of project data into variables is performed by the Data Aggregator component. Even though the conceptual solution does not aim at establishing a unique set of variables, some of them are intuitively important for the estimates proposed hereafter. Among the most prominent examples, we cite DevProjectSize and Dev!FestlSupStajJSize. The aggregation process consists of navigating through each project available in the IT Projects Database repository and assigning, from the observation of several objects from the model, values to these variables. In the case of variable SupStaffSize, for example, it is necessary (i) to navigate through all activities (instances of Activity) of the work plans (WorkPlan) associated with trouble tickets (TroubleTicket), and (ii) to count the number of human operators involved (Person). The other variables are valued analogously. </t>
    </r>
    <r>
      <rPr>
        <rFont val="Arial"/>
        <b/>
        <color rgb="FF000000"/>
        <sz val="10.0"/>
      </rPr>
      <t>In complement to the aggregation process, the Real Time Model Calibrator component runs (for each variable found) a clustering process of these values. As a result, each variable is now represented by a set of states (which model distinct natures or magnitudes for that variable)</t>
    </r>
    <r>
      <rPr>
        <rFont val="Arial"/>
        <color rgb="FF000000"/>
        <sz val="10.0"/>
      </rPr>
      <t xml:space="preserve">. Considering again the example of the variable SupStaffSize, this procedure could generate as result the following states: small, medium, and large. </t>
    </r>
    <r>
      <rPr>
        <rFont val="Arial"/>
        <b/>
        <color rgb="FF000000"/>
        <sz val="10.0"/>
      </rPr>
      <t>Note that the clustering may be carried out using an algorithm to this end, such as k-means, fuzzy c-means, and naive Bayes classification [13], or even taking advantage of the knowledge owned/acquired by an expert.</t>
    </r>
    <r>
      <rPr>
        <rFont val="Arial"/>
        <color rgb="FF000000"/>
        <sz val="10.0"/>
      </rPr>
      <t xml:space="preserve"> As a result of the clustering, we have the unconditional variables of the estimate model properly fed (which represent the knowledge available a priori). </t>
    </r>
    <r>
      <rPr>
        <rFont val="Arial"/>
        <b/>
        <color rgb="FF000000"/>
        <sz val="10.0"/>
      </rPr>
      <t>Still as part of the calibration process, the relationships existing between these variables are analyzed, and an influence graph is established. Such a graph may be seen as the skeleton of the Bayesian estimate model</t>
    </r>
    <r>
      <rPr>
        <rFont val="Arial"/>
        <color rgb="FF000000"/>
        <sz val="10.0"/>
      </rPr>
      <t xml:space="preserve">. This model is further described in the following subsection. C. </t>
    </r>
    <r>
      <rPr>
        <rFont val="Arial"/>
        <b/>
        <color rgb="FF000000"/>
        <sz val="10.0"/>
      </rPr>
      <t xml:space="preserve">Bayesian Model </t>
    </r>
    <r>
      <rPr>
        <rFont val="Arial"/>
        <color rgb="FF000000"/>
        <sz val="10.0"/>
      </rPr>
      <t xml:space="preserve">The Bayesian model for estimating support (or, conversely, development and/or tests) costs is composed of sixteen (16) variables, which are organized in three groups: Development/Deployment, Test, and Support. Figure 3(a) illustrates the model, highlighting these groups in light gray, dark gray, and white, respectively. Variables such as StaffProductivity, StaffSize, ProjectSize, and Time appear in every group, whereas the others appear in one group or another, given their specificity (for example, TestCoverage). </t>
    </r>
    <r>
      <rPr>
        <rFont val="Arial"/>
        <b/>
        <color rgb="FF000000"/>
        <sz val="10.0"/>
      </rPr>
      <t>The linkage between these variables, represented in the figure by means of directed edges, expresses causality relationships between them. Please observe that such linkage is established during the calibration process.</t>
    </r>
    <r>
      <rPr>
        <rFont val="Arial"/>
        <color rgb="FF000000"/>
        <sz val="10.0"/>
      </rPr>
      <t xml:space="preserve"> The configuration of the aforementioned model was outlined based on </t>
    </r>
    <r>
      <rPr>
        <rFont val="Arial"/>
        <b/>
        <color rgb="FF000000"/>
        <sz val="10.0"/>
      </rPr>
      <t xml:space="preserve">(i) the opinion of experts, (ii) an analysis of the dataset published by the International Software Benchmarking Standards Group (lSBSG) [14], which contains information from over than 5,000 IT projects, and (iii) the observation of variables employed in similar investigations [5]. </t>
    </r>
    <r>
      <rPr>
        <rFont val="Arial"/>
        <color rgb="FF000000"/>
        <sz val="10.0"/>
      </rPr>
      <t>Note that the proposed model may be either simplified - in order to prioritize processing time - or extended - in order to capture other aspects (variables and relationships) not initially envisaged."] ["</t>
    </r>
    <r>
      <rPr>
        <rFont val="Arial"/>
        <b/>
        <color rgb="FF000000"/>
        <sz val="10.0"/>
      </rPr>
      <t>EVALUATION</t>
    </r>
    <r>
      <rPr>
        <rFont val="Arial"/>
        <color rgb="FF000000"/>
        <sz val="10.0"/>
      </rPr>
      <t xml:space="preserve"> (...) The project database setup was an important task of the evaluation. We have resorted to the ISBSG dataset, from which we have selected 450 projects of our interest, </t>
    </r>
    <r>
      <rPr>
        <rFont val="Arial"/>
        <b/>
        <color rgb="FF000000"/>
        <sz val="10.0"/>
      </rPr>
      <t>to extract key parameters such as real value ranges for most of the model variables (e.g., DevTime, TestTime and SupportTime)</t>
    </r>
    <r>
      <rPr>
        <rFont val="Arial"/>
        <color rgb="FF000000"/>
        <sz val="10.0"/>
      </rPr>
      <t xml:space="preserve">. </t>
    </r>
    <r>
      <rPr>
        <rFont val="Arial"/>
        <b/>
        <color rgb="FF000000"/>
        <sz val="10.0"/>
      </rPr>
      <t>In addition, looking at these values (for each project) we were able to clusterize them and consolidate variable states.</t>
    </r>
    <r>
      <rPr>
        <rFont val="Arial"/>
        <color rgb="FF000000"/>
        <sz val="10.0"/>
      </rPr>
      <t xml:space="preserve"> Table I summarizes the outcome of this step. Take DevTime (development time) as an example. This variable has been organized in three states: low [0 - 1,056 hours], medium [1,057 - 3,168 h], and high [3,169 - 5,000 h]."]</t>
    </r>
  </si>
  <si>
    <r>
      <rPr>
        <rFont val="Arial"/>
        <color theme="1"/>
        <sz val="10.0"/>
      </rPr>
      <t xml:space="preserve">["B. Aggregation and Clustering of Project Data As mentioned earlier in this section, the summarization of project data into variables is performed by the Data Aggregator component. Even though the conceptual solution does not aim at establishing a unique set of variables, some of them are intuitively important for the estimates proposed hereafter. Among the most prominent examples, we cite DevProjectSize and Dev!FestlSupStajJSize. The aggregation process consists of navigating through each project available in the IT Projects Database repository and assigning, from the observation of several objects from the model, values to these variables. In the case of variable SupStaffSize, for example, it is necessary (i) to navigate through all activities (instances of Activity) of the work plans (WorkPlan) associated with trouble tickets (TroubleTicket), and (ii) to count the number of human operators involved (Person). The other variables are valued analogously. In complement to the aggregation process, the Real Time Model Calibrator component runs (for each variable found) a clustering process of these values. As a result, each variable is now represented by a set of states (which model distinct natures or magnitudes for that variable). Considering again the example of the variable SupStaffSize, this procedure could generate as result the following states: small, medium, and large. Note that the clustering may be carried out using an algorithm to this end, such as k-means, fuzzy c-means, and naive Bayes classification [13], or even taking advantage of the knowledge owned/acquired by an expert. As a result of the clustering, we have the unconditional variables of the estimate model properly fed (which represent the knowledge available a priori). Still as part of the calibration process, the relationships existing between these variables are analyzed, and an influence graph is established. Such a graph may be seen as the skeleton of the Bayesian estimate model. This model is further described in the following subsection."] ["EVALUATION (...) The project database setup was an important task of the evaluation. </t>
    </r>
    <r>
      <rPr>
        <rFont val="Arial"/>
        <b/>
        <color theme="1"/>
        <sz val="10.0"/>
      </rPr>
      <t>We have resorted to the ISBSG dataset, from which we have selected 450 projects of our interest</t>
    </r>
    <r>
      <rPr>
        <rFont val="Arial"/>
        <color theme="1"/>
        <sz val="10.0"/>
      </rPr>
      <t xml:space="preserve">, to extract key parameters such as real value ranges for most of the model variables (e.g., DevTime, TestTime and SupportTime). In addition, looking at these values (for each project) we were able to clusterize them and consolidate variable states. Table I summarizes the outcome of this step. Take DevTime (development time) as an example. This variable has been organized in three states: low [0 - 1,056 hours], medium [1,057 - 3,168 h], and high [3,169 - 5,000 h]. </t>
    </r>
    <r>
      <rPr>
        <rFont val="Arial"/>
        <b/>
        <color theme="1"/>
        <sz val="10.0"/>
      </rPr>
      <t xml:space="preserve">Ideally, one would use the projects available in the ISBSG dataset as input to the Bayesian model. However, this was not possible because each project had an incomplete set of data available (variable values) and because IT projects were not linked to their corresponding support counterparts. To overcome this limitation, we have generated a synthetical project database merging known real data with information provided by a group of experienced IT project managers, as explained next. </t>
    </r>
    <r>
      <rPr>
        <rFont val="Arial"/>
        <color theme="1"/>
        <sz val="10.0"/>
      </rPr>
      <t xml:space="preserve">First, we have selected five variables (DevTime, TestTime, SupStaJfSize, SupStajjProd, and SupportTime) and produced a list of their possible state combinations ranging from {low, low, small, low, low} to {high, high, large, high, high}. Each combination represents an IT project scenario. </t>
    </r>
    <r>
      <rPr>
        <rFont val="Arial"/>
        <b/>
        <color theme="1"/>
        <sz val="10.0"/>
      </rPr>
      <t>Second, we have asked the aforementioned IT project managers to, based on their experience, classify each project scenario as probable, possible, or improbable.</t>
    </r>
    <r>
      <rPr>
        <rFont val="Arial"/>
        <color theme="1"/>
        <sz val="10.0"/>
      </rPr>
      <t xml:space="preserve"> Third, we have created three project scenario "bags", containing, respectively, the probable, the possible, and the improbable scenarios. </t>
    </r>
    <r>
      <rPr>
        <rFont val="Arial"/>
        <b/>
        <color theme="1"/>
        <sz val="10.0"/>
      </rPr>
      <t>Finally, we have picked a varied proportion of scenarios from these "bags", depending on the desired project database profile, and populated both the unconditional and the conditional variables of the Bayesian model.</t>
    </r>
    <r>
      <rPr>
        <rFont val="Arial"/>
        <color theme="1"/>
        <sz val="10.0"/>
      </rPr>
      <t xml:space="preserve"> In order to analyze the accuracy of the predictions (our first evaluation objective), </t>
    </r>
    <r>
      <rPr>
        <rFont val="Arial"/>
        <b/>
        <color theme="1"/>
        <sz val="10.0"/>
      </rPr>
      <t xml:space="preserve">we have populated the Bayesian model with information gathered from 710 project scenarios (control project database) in the proportion of 70% (probable), 20% (possible), and 10% (improbable). </t>
    </r>
    <r>
      <rPr>
        <rFont val="Arial"/>
        <color theme="1"/>
        <sz val="10.0"/>
      </rPr>
      <t>This profile represents the case in which 70% of the projects conducted by an organization exhibits an "expected" behavior, while 30% performs badly, sometimes in an abnormal way. These proportions have been proposed by the consulted IT project managers and confirmed by the analysis of the ISBSG dataset. As for the model sensibility evaluation (our second evaluation objective), we have employed several proportions but, for the sake of space constraints, focus on the 33%-33%-33%, 50%-30%- 20%, and 70%-20%-10% ones. In regard to the number of test project scenarios, we have employed a same set of thirty (randomly-chosen) in both evaluations. "]</t>
    </r>
  </si>
  <si>
    <r>
      <rPr>
        <rFont val="Arial"/>
        <color rgb="FF000000"/>
        <sz val="10.0"/>
      </rPr>
      <t xml:space="preserve">["IV. </t>
    </r>
    <r>
      <rPr>
        <rFont val="Arial"/>
        <b/>
        <color rgb="FF000000"/>
        <sz val="10.0"/>
      </rPr>
      <t>EVALUATION</t>
    </r>
    <r>
      <rPr>
        <rFont val="Arial"/>
        <color rgb="FF000000"/>
        <sz val="10.0"/>
      </rPr>
      <t xml:space="preserve"> To prove the concept and technical feasibility of our solution, we have developed $UPPORT, a development/test/support cost prediction system, and used it for qualitatively and quantitatively evaluating our solution. In this section we describe the $UPPORT system, the methodology employed, and the obtained results. For the purpose of the evaluation of our solution, we consider as a case study the prediction of costs (either development/test/support) associated with projects for the deployment of wireless network infrastructures (also referred to as WNet throughout this section). This case study was chosen since this kind of project is a representative instance of IT projects closely related to the topic of network and service operations &amp; management. Other projects, omitted in this paper for the sake of space constraints, were also analyzed and will be discussed in future submissions. B. Methodology The evaluation was performed from three different perspectives. In the first perspective, a set of what-if questions regarding the instantiation of a WNet project was elaborated and submitted to the $UPPORT system, in order to obtain as result the estimate for a variable left undefined. In the second perspective, </t>
    </r>
    <r>
      <rPr>
        <rFont val="Arial"/>
        <b/>
        <color rgb="FF000000"/>
        <sz val="10.0"/>
      </rPr>
      <t>various hypothetical scenarios</t>
    </r>
    <r>
      <rPr>
        <rFont val="Arial"/>
        <color rgb="FF000000"/>
        <sz val="10.0"/>
      </rPr>
      <t xml:space="preserve"> of instantiation of a WNet project were assessed. </t>
    </r>
    <r>
      <rPr>
        <rFont val="Arial"/>
        <b/>
        <color rgb="FF000000"/>
        <sz val="10.0"/>
      </rPr>
      <t>The goal in this case was investigating whether these scenarios would be feasible in actual instantiations. In both the first and second perspectives, the results obtained were compared with the opinion of specialists, in order to assess their accuracy.</t>
    </r>
    <r>
      <rPr>
        <rFont val="Arial"/>
        <color rgb="FF000000"/>
        <sz val="10.0"/>
      </rPr>
      <t xml:space="preserve"> Finally, the third perspective considered the submission of a set of what-if questions in order to evaluate the sensibility of the proposed solution considering varying database profiles. Next we describe the main steps of our evaluation effort, whereas in the following subsection we present and discuss the results achieved. The project database setup was an important task of the evaluation. We have resorted to the ISBSG dataset, from which we have selected 450 projects of our interest, to extract key parameters such as real value ranges for most of the model variables (e.g., DevTime, TestTime and SupportTime). In addition, looking at these values (for each project) we were able to c1usterize them and consolidate variable states. Table I summarizes the outcome of this step. Take DevTime (development time) as an example. This variable has been organized in three states: low [0 - 1,056 hours], medium [1,057 - 3,168 h], and high [3,169 - 5,000 h]. Ideally, one would use the projects available in the ISBSG dataset as input to the Bayesian model. However, this was not possible because each project had an incomplete set of data available (variable values) and because IT projects were not linked to their corresponding support counterparts. To overcome this limitation, we have generated a synthetical project database merging known real data with information provided by a group of experienced IT project managers, as explained next. First, we have selected five variables (DevTime, TestTime, SupStaJfSize, SupStajjProd, and SupportTime) and produced a list of their possible state combinations ranging from {low, low, small, low, low} to {high, high, large, high, high}. Each combination represents an IT project scenario. Second, we have asked the aforementioned IT project managers to, based on their experience, classify each project scenario as probable, possible, or improbable. Third, we have created three project scenario "bags", containing, respectively, the probable, the possible, and the improbable scenarios. Finally, we have picked a varied proportion of scenarios from these "bags", depending on the desired project database profile, and populated both the unconditional and the conditional variables of the Bayesian model. In order to analyze the accuracy of the predictions (our first evaluation objective), we have populated the Bayesian model with information gathered from 710 project scenarios (control project database) in the proportion of 70% (probable), 20% (possible), and 10% (improbable). This profile represents the case in which 70% of the projects conducted by an organization exhibits an "expected" behavior, while 30% performs badly, sometimes in an abnormal way. These proportions have been proposed by the consulted IT project managers and confirmed by the analysis of the ISBSG dataset. As for the model sensibility evaluation (our second evaluation objective), we have employed several proportions but, for the sake of space constraints, focus on the 33%-33%-33%, 50%-30%- 20%, and 70%-20%-10% ones. In regard to the number of test project scenarios, we have employed a same set of thirty (randomly-chosen) in both evaluations. "] [" A comparative analysis of the obtained estimates with the opinion of specialists evidenced that our solution is able to predict expected costs with a high degree of confidence. "]</t>
    </r>
  </si>
  <si>
    <r>
      <rPr>
        <rFont val="Arial"/>
        <color theme="1"/>
        <sz val="10.0"/>
      </rPr>
      <t xml:space="preserve">["During extensive </t>
    </r>
    <r>
      <rPr>
        <rFont val="Arial"/>
        <b/>
        <color theme="1"/>
        <sz val="10.0"/>
      </rPr>
      <t>literature survey through scholar.google. com and navigation of many other reputable journals websites,</t>
    </r>
    <r>
      <rPr>
        <rFont val="Arial"/>
        <color theme="1"/>
        <sz val="10.0"/>
      </rPr>
      <t xml:space="preserve"> it has been observed that a lot of studies were presented on software testing using Bayesian Networks but most of them were limited to fault detection or software quality and very little experimentation was conducted on TCP using BN (Mirarab and Tahvildari, 2007; Mirarab and Tahvildari, 2008). Moreover, no study is published especially for testing web application in this perspective.  "] ["3 Proposed model 3.1 Basic introduction to proposed model In this proposed model of Bayesian network, Binary Logistic Regression technique is applied (Hosmer and Lemeshow, 2005) which was also referred by other authors (Pai and Dugan, 2007) in their experimental study. To calculate parameters of regression (β0, β1, β2 … so on depending upon the number of independent variables), Logistic Regression Calculator page was used (Pezzullo, 2015). The proposed approach addresses the problem of prioritisation by:  Gathering different evidences information from the website.  Integrating all parameters to a single Bayesian Network.  Using probabilistic inference to compute success and importance probability of test case. The initial step to prioritisation is to gather all the parameters that are to be incorporated in the model.  Five kinds of information which are crucial for finding the success probability and importance of a test case were gathered. These include:  Dependency of the system on a module.  User behaviour.  Efficiency of a test case.  Code change information.  Coupling information of pages. Acronym and terminology: A list of the terminology and acronyms used in the paper is as below:  DSF: Functional dependency of system  UB: User Behaviour  ET: Efficiency of test Cases  CC: Code Change  CP: Coupling among Pages  IMPF: Importance of function  IMPT: Importance of test cases  FP: Fault Proneness  ST: Success of test cases 3.2 Bayesian network with conditional probability 3.2.1 Dependency of system on module The structure of the website resembles directed graph in which pages (or forms) represent the nodes of the graph and the data or link connectivity represents edges between the nodes. (...) 3.2.2 User behaviour Web applications are heavy user intrinsic software. These applications are accessed from anywhere across the world by any category of user right from novice to expert. The experience of surfing clearly indicates the navigation behaviour of the user. Moreover, </t>
    </r>
    <r>
      <rPr>
        <rFont val="Arial"/>
        <b/>
        <color theme="1"/>
        <sz val="10.0"/>
      </rPr>
      <t>during literature survey it has been noticed that researchers specially working on testing web applications have proposed many studies during last decade considering user session and user behaviour as one of the building blocks of their research. The above discussion gives the inspiration for considering ‘user behaviour’ as parameter in the proposed model</t>
    </r>
    <r>
      <rPr>
        <rFont val="Arial"/>
        <color theme="1"/>
        <sz val="10.0"/>
      </rPr>
      <t>. Here in this empirical study we try to capture and incorporate parameters related to user sessions and user behaviour, belonging to any category, into the proposed model. User’s behaviour is used as one of the evidences because user behaviour has been defined through a branch ‘analytics’.(...) 3.2.5 Coupling among pages Software engineering emphasises the concepts of cohesion and coupling which play a vital role among the modules of the software. Ideally, modules of the software should be neither loosely coupled nor highly coupled. Offutt and Wu (2010) in their study on presentation layers of web applications for testing stated that there exist three types of coupling among modules which are ‘tight coupling’, ‘loose coupling’ and ‘extremely loose coupling’. Authors strongly emphasise on extremely loose coupling for the software like web applications. In case of extremely loose coupled systems (like web applications) if there are two pages of the website, X and Y suppose, where X sends data to Y, and both are extremely loosely coupled then a change in X may change the contents of the data that Y uses, but the structure of the data will not be changed. Hence, there will be minimal effect of changes in X on Y. This study and the presented scenario give rise to the motivation for incorporating this parameter (extremely loose coupling) in the proposed model. In the proposed work coupling is defined as interdependency among web pages of website. (...)"]</t>
    </r>
  </si>
  <si>
    <t>Direct function (e.g. sum, formula), generalized linear model - GLM (binary logistic regression technique)</t>
  </si>
  <si>
    <r>
      <rPr>
        <rFont val="Arial"/>
        <color theme="1"/>
        <sz val="10.0"/>
      </rPr>
      <t xml:space="preserve">["3.2 </t>
    </r>
    <r>
      <rPr>
        <rFont val="Arial"/>
        <b/>
        <color theme="1"/>
        <sz val="10.0"/>
      </rPr>
      <t xml:space="preserve">Bayesian network with conditional probability </t>
    </r>
    <r>
      <rPr>
        <rFont val="Arial"/>
        <color theme="1"/>
        <sz val="10.0"/>
      </rPr>
      <t xml:space="preserve">3.2.1 </t>
    </r>
    <r>
      <rPr>
        <rFont val="Arial"/>
        <b/>
        <color theme="1"/>
        <sz val="10.0"/>
      </rPr>
      <t xml:space="preserve">Dependency of system on module </t>
    </r>
    <r>
      <rPr>
        <rFont val="Arial"/>
        <color theme="1"/>
        <sz val="10.0"/>
      </rPr>
      <t>The structure of the website resembles directed graph in which pages (or forms) represent the nodes of the graph and the data or link connectivity represents edges between the nodes. Every path which has to be tested starts from root node (home page) and ends at destination node. Any fault on a particular page, which is the part of the path, can interrupt the subsequent remaining path and ultimately one or more functionalities of the website. Hence, if one or more modules (or functionality) are dependent on any module then this module is very important for testing because in case of any fault in this module the other modules which are dependent on this module would be effected. Modules which are nearest to root node are more significant, in terms of dependency, and modules which are far from root node are less significant like leaf node which has no dependency.Thus, severity of the fault is considered to be inversely proportional to its distance from the root (home page) and directly proportional to out degree of the node. This parameter can also be named as ‘dependency of the website on the page’. Out degree of each page and the distance of the page from the root are measured from the functional dependency graph of the website, which represents the functional dependency (structure) among modules of the website. Its probability is given as:  *10iiOut degree of F P DSF Distance from root  (1) DSF = Dependency of the system on a ith functional module. 3.2.2.</t>
    </r>
    <r>
      <rPr>
        <rFont val="Arial"/>
        <b/>
        <color theme="1"/>
        <sz val="10.0"/>
      </rPr>
      <t>User behaviour</t>
    </r>
    <r>
      <rPr>
        <rFont val="Arial"/>
        <color theme="1"/>
        <sz val="10.0"/>
      </rPr>
      <t xml:space="preserve"> (...) To the best of authors’ knowledge none of the work has been done while considering these three parameters during website testing. There was no standard previously derived </t>
    </r>
    <r>
      <rPr>
        <rFont val="Arial"/>
        <b/>
        <color theme="1"/>
        <sz val="10.0"/>
      </rPr>
      <t>formula</t>
    </r>
    <r>
      <rPr>
        <rFont val="Arial"/>
        <color theme="1"/>
        <sz val="10.0"/>
      </rPr>
      <t xml:space="preserve"> incorporating these three parameters. In the proposed model these parameters are considered by taking inputs from the professionals who are building web applications and having vast experience and converting it into a simple equation (2). (...) 3.2.5.</t>
    </r>
    <r>
      <rPr>
        <rFont val="Arial"/>
        <b/>
        <color theme="1"/>
        <sz val="10.0"/>
      </rPr>
      <t>Coupling among pages</t>
    </r>
    <r>
      <rPr>
        <rFont val="Arial"/>
        <color theme="1"/>
        <sz val="10.0"/>
      </rPr>
      <t xml:space="preserve"> (...) It is determined using the following </t>
    </r>
    <r>
      <rPr>
        <rFont val="Arial"/>
        <b/>
        <color theme="1"/>
        <sz val="10.0"/>
      </rPr>
      <t>formula</t>
    </r>
    <r>
      <rPr>
        <rFont val="Arial"/>
        <color theme="1"/>
        <sz val="10.0"/>
      </rPr>
      <t xml:space="preserve">:  . .ii No of pages to which FP linked P CP Total no of pages  (5) Here the coupling is determined using link dependency graph as shown in Figures 2 and 3. After calculating the probabilities of each evidence/parameter, relative probability is calculated according to given Bayesian belief network. 3.2.6 </t>
    </r>
    <r>
      <rPr>
        <rFont val="Arial"/>
        <b/>
        <color theme="1"/>
        <sz val="10.0"/>
      </rPr>
      <t xml:space="preserve">Importance of function given dependency of the system on the function </t>
    </r>
    <r>
      <rPr>
        <rFont val="Arial"/>
        <color theme="1"/>
        <sz val="10.0"/>
      </rPr>
      <t xml:space="preserve">It represents the conditional probability of the importance of a module given the dependency of the system on the module. It is determined using </t>
    </r>
    <r>
      <rPr>
        <rFont val="Arial"/>
        <b/>
        <color theme="1"/>
        <sz val="10.0"/>
      </rPr>
      <t>binary logistic regression technique</t>
    </r>
    <r>
      <rPr>
        <rFont val="Arial"/>
        <color theme="1"/>
        <sz val="10.0"/>
      </rPr>
      <t xml:space="preserve">, discussed later. Finally, the probability is determined using the </t>
    </r>
    <r>
      <rPr>
        <rFont val="Arial"/>
        <b/>
        <color theme="1"/>
        <sz val="10.0"/>
      </rPr>
      <t>formula</t>
    </r>
    <r>
      <rPr>
        <rFont val="Arial"/>
        <color theme="1"/>
        <sz val="10.0"/>
      </rPr>
      <t>:     0 1   1 1 i i i out degree of F P IMPF DSF e       (6) where dependency value = Out degree of fi/distance from the root*10 (here 10 is the normalisation factor). "]</t>
    </r>
  </si>
  <si>
    <t>Comparison with existing models, statistical measures (APFD)</t>
  </si>
  <si>
    <r>
      <rPr>
        <rFont val="Arial"/>
        <color rgb="FF000000"/>
        <sz val="10.0"/>
      </rPr>
      <t xml:space="preserve">["4 Experimental set-up To implement the proposed BN approach, a model is generated which consists of three sections as shown in Figure 4. In the first section of the model, different evidences and their corresponding values are generated which are used in implementing BN. Information related to test cases and website under test is required for gathering evidences or parameters. Website is used to collect information about functional dependency of modules (as shown in Figure 3), multi-value (link and data) dependency between pages (as shown in Figure 2), user session and line of codes. Test cases are used to gather information about code coverage of test case and execution time of test cases. In second section of the model, all the generated information is integrated to make Bayesian Network model (as shown in Figure 1). Finally in third section, probabilistic inference is used to calculate the probability of each test case. The calculated probability of the test case plays the role of its priority, while executing all test cases of the test suite, that is higher the probability higher would be its priority. </t>
    </r>
    <r>
      <rPr>
        <rFont val="Arial"/>
        <b/>
        <color rgb="FF000000"/>
        <sz val="10.0"/>
      </rPr>
      <t>The information required to calculate the value of evidences is shown in Table 1 (which represents sample data values)</t>
    </r>
    <r>
      <rPr>
        <rFont val="Arial"/>
        <color rgb="FF000000"/>
        <sz val="10.0"/>
      </rPr>
      <t xml:space="preserve">. </t>
    </r>
    <r>
      <rPr>
        <rFont val="Arial"/>
        <b/>
        <color rgb="FF000000"/>
        <sz val="10.0"/>
      </rPr>
      <t xml:space="preserve">The proposed BN has been implemented on five versions of the same website. </t>
    </r>
    <r>
      <rPr>
        <rFont val="Arial"/>
        <color rgb="FF000000"/>
        <sz val="10.0"/>
      </rPr>
      <t xml:space="preserve">The website under test ‘company information tracking system’ is based on java servlet pages (jsp) and has been made by the local IT professionals and presently implemented in small size company for its internal usage. During every version, certain modules and pages are added/modified/removed with respect to previous version which reasons introduction of some new test cases and some test cases to become obsolete. The introduction of new test cases and removal of obsolete test cases has been done on the basis of mapping between requirements versus test cases matrix. For testing purpose several types of fault are manually seeded into the website including arithmetic calculation error, 404 error, cosmetic error, cascading style sheet error, missing information, authentication, etc. Detailed information regarding website, fault and test cases used is shown using Table 2. This project (dynamic website under test) has been hosted on Apache server; hence, the analysis has been done on Apache server logs. For the tracking of user behaviour on the website, log files are traditionally taken into consideration. These server logs are in NCSA format. Several log analysis tools (like Google analytics tool, weblog expert lite, weblog expert, deep log analyser, log parser studio, etc.) are available which can perform diverse analysis on various parameters. In the proposed work, Weblog expert (Pezzullo, 2015) has been used for parsing the server log file of Apache Tomcat server. The input to the tool will be log file of Apache tomcat server and the output from the tool will be the hits, visitors and bandwidth used. To calculate ( ) i PET , i.e. the efficiency of a test case, execution time of the test case is required along with the percentage code coverage. This information is determined by using EMMA tool with eclipse (EMMA, 2016). For calculating () i PCC , changes in the code are determined using fc (file compare) utility of Windows followed by a statement to count the number of lines. To calculate binary logistic regression the parameter of logistic regression β0, β1, β2 are calculated using online tool (Pezzullo, 2015). As discussed earlier, various faults of different types are manually injected into the different versions of the website. Test cases related to corresponding manually seeded faults are created using Selenium IDE, which also plays the role of replay tool (Software Testing Class, 2016). 5 </t>
    </r>
    <r>
      <rPr>
        <rFont val="Arial"/>
        <b/>
        <color rgb="FF000000"/>
        <sz val="10.0"/>
      </rPr>
      <t>Results and analysis</t>
    </r>
    <r>
      <rPr>
        <rFont val="Arial"/>
        <color rgb="FF000000"/>
        <sz val="10.0"/>
      </rPr>
      <t xml:space="preserve"> The main objective of this study is to propose an effective technique for TCP while considering parameters which can effect or play important role while testing the web application. </t>
    </r>
    <r>
      <rPr>
        <rFont val="Arial"/>
        <b/>
        <color rgb="FF000000"/>
        <sz val="10.0"/>
      </rPr>
      <t>To validate the performance of the proposed approach, the proposed model is used on five versions of the same website and then comparison is done with seven other prioritisation techniques. The effectiveness of the prioritised test sequence is measured in terms of Average Percentage of Fault Detection (APFD) percentage</t>
    </r>
    <r>
      <rPr>
        <rFont val="Arial"/>
        <color rgb="FF000000"/>
        <sz val="10.0"/>
      </rPr>
      <t>. The result summary of proposed work is shown in Table 3. Result comparison table (Table 3) depicts the performance of eight techniques where techniques numbered from one to six could be applied on any software including web application while seventh technique which uses BN is applied on software application only (till now) (Mirarab and Tahvildari, 2007) and not on any sort of web applications. All the parameters considered in the seventh technique are applied in eighth technique also (proposed technique) during web application testing so as to compare the performances. (...)"]</t>
    </r>
  </si>
  <si>
    <t>Literature review, idioms, risk-centric modeling</t>
  </si>
  <si>
    <r>
      <rPr>
        <rFont val="Arial"/>
        <color rgb="FF000000"/>
        <sz val="10.0"/>
      </rPr>
      <t>["A. Modeling C&amp;A Requirements and Risk Components</t>
    </r>
    <r>
      <rPr>
        <rFont val="Arial"/>
        <b/>
        <color rgb="FF000000"/>
        <sz val="10.0"/>
      </rPr>
      <t xml:space="preserve"> To systematically identify and reason about the risk components </t>
    </r>
    <r>
      <rPr>
        <rFont val="Arial"/>
        <color rgb="FF000000"/>
        <sz val="10.0"/>
      </rPr>
      <t xml:space="preserve">expressed in natural language C&amp;A security requirements descriptions, </t>
    </r>
    <r>
      <rPr>
        <rFont val="Arial"/>
        <b/>
        <color rgb="FF000000"/>
        <sz val="10.0"/>
      </rPr>
      <t>we extend the Common Criteria security model [1].</t>
    </r>
    <r>
      <rPr>
        <rFont val="Arial"/>
        <color rgb="FF000000"/>
        <sz val="10.0"/>
      </rPr>
      <t xml:space="preserve"> </t>
    </r>
    <r>
      <rPr>
        <rFont val="Arial"/>
        <b/>
        <color rgb="FF000000"/>
        <sz val="10.0"/>
      </rPr>
      <t>The resulting model in Figure 1, explains the relationships between security requirements and risk components</t>
    </r>
    <r>
      <rPr>
        <rFont val="Arial"/>
        <color rgb="FF000000"/>
        <sz val="10.0"/>
      </rPr>
      <t xml:space="preserve">. The risk components and their correlations in the Requirements and Risk Model (hereinafter called the Risk Model) can be simply described as: the assets have mission criticalities and risks, threats can exploit the vulnerabilities to damage the assets thus increase their risks. The security requirements driven by threats suggest countermeasures to mitigate the vulnerabilities thus prevent the vulnerabilities and reduce the risks, whilst countermeasures may also introduce vulnerabilities which can lead to risks. The final goal is to evaluate the risk of assets in a given situation. Based on the model in Figure 1, domain experts identify the relevant risk components and map them into the concepts in the domain-specific taxonomies of threats, assets, vulnerabilities, and countermeasures modeled in the Problem Domain Ontology (PDO) [25]. For example, Figure 2 shows the explication of multi-dimensional domain concepts for the DITSCAP “Boundary Defense” requirement [3]. "] ["IV. PROBABILISTIC RISK ASSESSMENT FOR SECURITY REQUIREMENTS In the Requirements and Risk Model shown in Figure 1, we can identify two types of links, the Information Discovery Link, and the Causal Relationship Link. The former has been used to discover and understand multi-dimensional correlations among C&amp;A requirements [16] as shown in Figure 2. The latter, we believe, is helpful to extract the causal relationships and reason about their impacts within the process of risk assessment.(...) B. Bayesian Network for Risk Assessment In risk assessment, BBN can provide stakeholders a causal relationship graph and inference capabilities among different risk components. </t>
    </r>
    <r>
      <rPr>
        <rFont val="Arial"/>
        <b/>
        <color rgb="FF000000"/>
        <sz val="10.0"/>
      </rPr>
      <t>Before building the BBN for risk assessment, it is worth giving a brief definition for the risk components discussed in our domain (adapted from [4])</t>
    </r>
    <r>
      <rPr>
        <rFont val="Arial"/>
        <color rgb="FF000000"/>
        <sz val="10.0"/>
      </rPr>
      <t xml:space="preserve">. C&amp;A requirement is the specification that describes the security conditions and constraints under which the system must be operated. Mission criticality is related to asset, representing relative importance of the asset to the mission success. Asset is the resource of the system that needs to be protected to achieve its goal Threat is a potential danger to the system such as a person, system component or event that might result in a compromise of the secure operation of the system. Vulnerability is a weakness in the system or a point where a system is susceptible to attack. This weakness could be exploited to violate the system security. Countermeasure is an action, device, procedure or technique for protecting the system against threats to its secure operation. Risk is the asset-based risk, it presents the risk extent of an asset can impact on the whole system. </t>
    </r>
    <r>
      <rPr>
        <rFont val="Arial"/>
        <b/>
        <color rgb="FF000000"/>
        <sz val="10.0"/>
      </rPr>
      <t>We extract the causal relationship and construct the BBN based on the Risk Model in Figure 1</t>
    </r>
    <r>
      <rPr>
        <rFont val="Arial"/>
        <color rgb="FF000000"/>
        <sz val="10.0"/>
      </rPr>
      <t>. Building a BBN to model the risk assessment process requires a thorough enumeration of all the relevant risk factors and knowing correctly which risk factor causally influences other factors. For a complex sociotechnical system, it is very difficult to produce precise network structure and Node Probability Tables (NPTs) for hundreds of or even thousands of risk factors. In addition, different people have different experiences and understanding; the building process may be very subjective. In order to make our BBN reliable and justifiable, we adopt an objective and formal way to capture the process knowledge of experts’ risk assessment. Normally, there are two methods to build a BBN: 1) learning the network structure based on the given data set; and 2)</t>
    </r>
    <r>
      <rPr>
        <rFont val="Arial"/>
        <b/>
        <color rgb="FF000000"/>
        <sz val="10.0"/>
      </rPr>
      <t xml:space="preserve"> constructing a network structure according to expert’s experience</t>
    </r>
    <r>
      <rPr>
        <rFont val="Arial"/>
        <color rgb="FF000000"/>
        <sz val="10.0"/>
      </rPr>
      <t xml:space="preserve"> [21]. I</t>
    </r>
    <r>
      <rPr>
        <rFont val="Arial"/>
        <b/>
        <color rgb="FF000000"/>
        <sz val="10.0"/>
      </rPr>
      <t>n this paper, we adopt the second approach</t>
    </r>
    <r>
      <rPr>
        <rFont val="Arial"/>
        <color rgb="FF000000"/>
        <sz val="10.0"/>
      </rPr>
      <t xml:space="preserve"> due to two reasons: 1) Constructing network structure by learning requires a lot of sample data and such data is hard to be collected effectively and comprehensively; and 2) We believe that the experts of many years’ experience can judge the dependent/independent and direct/indirect relationships between risk factors more effectively. In addition, a formal way of building the BBN makes the process more explicit and arguable, and improve the communication and understanding among different experts while helping to reach to an agreement. </t>
    </r>
    <r>
      <rPr>
        <rFont val="Arial"/>
        <b/>
        <color rgb="FF000000"/>
        <sz val="10.0"/>
      </rPr>
      <t>For the causal relationships extraction, we use the method suggested by Neil [29], proposed “building blocks” concepts, using “idioms” to build causal dependency diagrams.</t>
    </r>
    <r>
      <rPr>
        <rFont val="Arial"/>
        <color rgb="FF000000"/>
        <sz val="10.0"/>
      </rPr>
      <t xml:space="preserve"> Five idioms are summarized as follows: Definitional/synthesis idiom: This idiom can be used to represent definitional relationships such as X=Y/Z. Synthetic nodes can ease calculation or understanding, and create hierarchies of sub-attributes to define complex super attributes. Cause-effect idiom: This cause connection can be determined based on the following facts: Chronology of events in time; Events occur in sequence; Productive, physical or intentional relationship between cause and consequence; Rules for determining causality couched in common sense. Measurement idiom: This idiom is used to model the uncertainty of our own ability to observe accurately. For example, the uncertainty of the testing accuracy is impacted by actual defects and detected defects. Induction idiom: This idiom models the uncertainty related to inductive reasoning (including historical experiences) based on populations of similar or exchangeable members. Reconciliation idiom: This idiom reconciles independent sources of evidence about a single attribute of a single entity, where these sources of evidence have been produced by different methods. Also, it combines uncertain definition model with causal inference model and combines information from different causal models. For the NPTs definition, we use the historic statistical data and the estimation of experts. For example, analysts can identify the possible types of threats and calculate or estimate their frequencies under the given environment. We firstly identify all the concerned risk factors and add them into a candidate pool, then identify their causal relationships according to the five idioms along with the Risk Model, and finally combine these causal fragments and build their NPTs to finish the construction of the BBN. Figure 3 depicts the process and the brief descriptions about each step are as follows: (...) Step 7. </t>
    </r>
    <r>
      <rPr>
        <rFont val="Arial"/>
        <b/>
        <color rgb="FF000000"/>
        <sz val="10.0"/>
      </rPr>
      <t>Evaluate obtained fragments. Once we get the initial causal fragments, we should evaluate them based on the needs and constraints within our domain. If the building block (idiom) is not suitable, it should be revised</t>
    </r>
    <r>
      <rPr>
        <rFont val="Arial"/>
        <color rgb="FF000000"/>
        <sz val="10.0"/>
      </rPr>
      <t xml:space="preserve">. In our example, though the “personal skills” and “training plan” have impacts on correctness of countermeasures, but our current discussion does not take much of practical operational details into account, so we will discard these two entities at this moment. (...) Step 9. </t>
    </r>
    <r>
      <rPr>
        <rFont val="Arial"/>
        <b/>
        <color rgb="FF000000"/>
        <sz val="10.0"/>
      </rPr>
      <t>For each entity, it must have a finite number of mutually exclusive, collectively exhaustive states</t>
    </r>
    <r>
      <rPr>
        <rFont val="Arial"/>
        <color rgb="FF000000"/>
        <sz val="10.0"/>
      </rPr>
      <t xml:space="preserve">. Different entities may have different states or measurement scales. For example, “threat potential” may have three states (High, Medium, Low), while “countermeasure maintenance” may have four states based on the cost (under $1000, $1000-$2000, $2000-$3000, more than $3000). </t>
    </r>
    <r>
      <rPr>
        <rFont val="Arial"/>
        <b/>
        <color rgb="FF000000"/>
        <sz val="10.0"/>
      </rPr>
      <t>For simplicity, we assume that all the entities (except the nodes ThreatType, VulnerabilityType and CM_Type, their states are based on their possible types in the given scenario) have three possible states: High, Medium and Low.</t>
    </r>
    <r>
      <rPr>
        <rFont val="Arial"/>
        <color rgb="FF000000"/>
        <sz val="10.0"/>
      </rPr>
      <t xml:space="preserve"> In real-world, we can use other available practical measurement scale to improve the accuracy and understanding of our assessment. "]</t>
    </r>
  </si>
  <si>
    <r>
      <rPr>
        <rFont val="Arial"/>
        <color theme="1"/>
        <sz val="10.0"/>
      </rPr>
      <t xml:space="preserve">["For the </t>
    </r>
    <r>
      <rPr>
        <rFont val="Arial"/>
        <b/>
        <color theme="1"/>
        <sz val="10.0"/>
      </rPr>
      <t>NPTs definition, we use the historic statistical data and the estimation of experts</t>
    </r>
    <r>
      <rPr>
        <rFont val="Arial"/>
        <color theme="1"/>
        <sz val="10.0"/>
      </rPr>
      <t xml:space="preserve">. For example, </t>
    </r>
    <r>
      <rPr>
        <rFont val="Arial"/>
        <b/>
        <color theme="1"/>
        <sz val="10.0"/>
      </rPr>
      <t>analysts can</t>
    </r>
    <r>
      <rPr>
        <rFont val="Arial"/>
        <color theme="1"/>
        <sz val="10.0"/>
      </rPr>
      <t xml:space="preserve"> identify the possible types of threats and </t>
    </r>
    <r>
      <rPr>
        <rFont val="Arial"/>
        <b/>
        <color theme="1"/>
        <sz val="10.0"/>
      </rPr>
      <t>calculate or estimate their frequencies</t>
    </r>
    <r>
      <rPr>
        <rFont val="Arial"/>
        <color theme="1"/>
        <sz val="10.0"/>
      </rPr>
      <t xml:space="preserve"> under the given environment. We firstly identify all the concerned risk factors and add them into a candidate pool, then identify their causal relationships according to the five idioms along with the Risk Model, and finally combine these causal fragments and build their NPTs to finish the construction of the BBN. Figure 3 depicts the process and the brief descriptions about each step are as follows: (...) Step 4. Continue to elicit risk factors based on the new risk factors elicited in step 3. This step continues </t>
    </r>
    <r>
      <rPr>
        <rFont val="Arial"/>
        <b/>
        <color theme="1"/>
        <sz val="10.0"/>
      </rPr>
      <t>until we reach the “leaf” risk factors where the probabilities are available (i.e., directly from the statistical data or experts’ direct estimation)</t>
    </r>
    <r>
      <rPr>
        <rFont val="Arial"/>
        <color theme="1"/>
        <sz val="10.0"/>
      </rPr>
      <t xml:space="preserve">. In our example, the complexity of countermeasure, usability of countermeasure, maintenance of countermeasure, countermeasure type, personal skills, and training plan can be elicited in this step. (...) Step 10. </t>
    </r>
    <r>
      <rPr>
        <rFont val="Arial"/>
        <b/>
        <color theme="1"/>
        <sz val="10.0"/>
      </rPr>
      <t>Based on the historic statistical data and estimations from the experts, build the NPT for each entity.</t>
    </r>
    <r>
      <rPr>
        <rFont val="Arial"/>
        <color theme="1"/>
        <sz val="10.0"/>
      </rPr>
      <t xml:space="preserve"> </t>
    </r>
    <r>
      <rPr>
        <rFont val="Arial"/>
        <b/>
        <color theme="1"/>
        <sz val="10.0"/>
      </rPr>
      <t>For the leaf node, directly assign the probability to each state; for non-leaf node, assign the probabilities to its states under all the possible combinations of its parents’ states.</t>
    </r>
    <r>
      <rPr>
        <rFont val="Arial"/>
        <color theme="1"/>
        <sz val="10.0"/>
      </rPr>
      <t xml:space="preserve"> Table I shows the NPT of leaf node “CM_Complexity”. Table II shows the NPT of non-leaf node “CM_Effectiveness”. When the whole process is finished, the final BBN is constructed. The nodes in the BBN are causally linked and the NPTs indicate the strength of these links. Our final BBN is shown in Figure 5. Due to the limited space, the entire NPTs are not shown in the paper. "]</t>
    </r>
  </si>
  <si>
    <r>
      <rPr>
        <rFont val="Arial"/>
        <color rgb="FF000000"/>
        <sz val="10.0"/>
      </rPr>
      <t xml:space="preserve">The authors apply the BBN in an operational scenario. ["C. </t>
    </r>
    <r>
      <rPr>
        <rFont val="Arial"/>
        <b/>
        <color rgb="FF000000"/>
        <sz val="10.0"/>
      </rPr>
      <t>Applying BBN into Operational Scenarios</t>
    </r>
    <r>
      <rPr>
        <rFont val="Arial"/>
        <color rgb="FF000000"/>
        <sz val="10.0"/>
      </rPr>
      <t xml:space="preserve"> In order to assess the risk of real software systems in a socio-technical environment [33], </t>
    </r>
    <r>
      <rPr>
        <rFont val="Arial"/>
        <b/>
        <color rgb="FF000000"/>
        <sz val="10.0"/>
      </rPr>
      <t>we have used the operational scenarios of the target system as “triggers” for the discovery of applicable C&amp;A requirements</t>
    </r>
    <r>
      <rPr>
        <rFont val="Arial"/>
        <color rgb="FF000000"/>
        <sz val="10.0"/>
      </rPr>
      <t xml:space="preserve">. After the relevant C&amp;A requirements are discovered, the risk components associated with them can also be obtained. The BBN we built in section IV.B, then can be used into this scenario to assess the risk for the target assets. </t>
    </r>
    <r>
      <rPr>
        <rFont val="Arial"/>
        <b/>
        <color rgb="FF000000"/>
        <sz val="10.0"/>
      </rPr>
      <t>Risk assessment based on operational scenarios has two main advantages: 1) operational scenarios of the target system can be easily obtained from domain experts and other artifacts (e.g. use cases); and 2) assumptions about the coverage of the assessment are already addressed in the development of the scenario building process</t>
    </r>
    <r>
      <rPr>
        <rFont val="Arial"/>
        <color rgb="FF000000"/>
        <sz val="10.0"/>
      </rPr>
      <t>. In our previous research [16], we have learned that each operational scenario is related to multiple requirements. In this situation, we can assess the risk for the asset in each related requirement, and then calculate its risk as a whole by using appropriate aggregation methods (i.e. weight average method)."] ["We will also develop a well-designed case study to experiment and validate our Probabilistic Risk Assessment Model. "]</t>
    </r>
  </si>
  <si>
    <t>Literature review, lifecycle model, d-separation</t>
  </si>
  <si>
    <r>
      <rPr>
        <rFont val="Arial"/>
        <color rgb="FF000000"/>
        <sz val="10.0"/>
      </rPr>
      <t>["</t>
    </r>
    <r>
      <rPr>
        <rFont val="Arial"/>
        <b/>
        <color rgb="FF000000"/>
        <sz val="10.0"/>
      </rPr>
      <t>The BN proposed in this paper is a SDLC BN that implements the contents shown in Fig. 1, and consists of several development phase BNs.</t>
    </r>
    <r>
      <rPr>
        <rFont val="Arial"/>
        <color rgb="FF000000"/>
        <sz val="10.0"/>
      </rPr>
      <t xml:space="preserve"> A development phase BN also consists of several subnets (sub BNs) such as a ‘fault estimation’ sub-net, ‘functional characteristics’ sub-net, ‘process characteristics’ sub-net, and ‘inspection characteristics’ sub-net. Fig. 2 shows the structure of the SDLC BN described in this paper. There are many ways for describing the quality of the development process of a software program. In this paper, </t>
    </r>
    <r>
      <rPr>
        <rFont val="Arial"/>
        <b/>
        <color rgb="FF000000"/>
        <sz val="10.0"/>
      </rPr>
      <t>we used the regulatory frame (BTP-7-14, 2007), such as the ‘functional characteristics’ and the ‘process characteristics’, because the frame is generally accepted in the nuclear field and can always provide necessary data (evidence) for a BN model in spite of the deployed development methodology used for safety critical software.</t>
    </r>
    <r>
      <rPr>
        <rFont val="Arial"/>
        <color rgb="FF000000"/>
        <sz val="10.0"/>
      </rPr>
      <t xml:space="preserve"> The top level of the structure in Fig. 2 is the SDLC BN. This means that the number of faults remaining in the final software is estimated through the all software development phases such as the requirement and design phases. Each development phase BN estimates the number of remaining faults in the software at each development phase. </t>
    </r>
    <r>
      <rPr>
        <rFont val="Arial"/>
        <b/>
        <color rgb="FF000000"/>
        <sz val="10.0"/>
      </rPr>
      <t>The three ‘characteristics’ sub-nets are measures of the quality of the software development, which were modeled according to the V&amp;V frame (BTP-7-14, 2007).</t>
    </r>
    <r>
      <rPr>
        <rFont val="Arial"/>
        <color rgb="FF000000"/>
        <sz val="10.0"/>
      </rPr>
      <t xml:space="preserve"> </t>
    </r>
    <r>
      <rPr>
        <rFont val="Arial"/>
        <b/>
        <color rgb="FF000000"/>
        <sz val="10.0"/>
      </rPr>
      <t xml:space="preserve">There are two sets of software characteristics that are important to safety system software. The first set is the functional characteristics and the second is the process characteristics. Functional characteristics include those characteristics that are directly related to the actions that the safety system must take. Those characteristics are the accuracy, functionality, reliability, robustness, safety, security, and timing. The process characteristics include those characteristics of the software development process that contribute to the assurance that the software will perform the required actions. These characteristics are completeness, consistency, correctness, style, traceability, unambiguity, and verifiability (BTP-7-14, 2007). These two sets of software characteristics are modeled by the BN as the ‘functional characteristics’ sub-net and ‘process characteristics’ sub-net. </t>
    </r>
    <r>
      <rPr>
        <rFont val="Arial"/>
        <color rgb="FF000000"/>
        <sz val="10.0"/>
      </rPr>
      <t xml:space="preserve">The purpose of these two sub-nets is to integrate the value of their subset characteristics. The ‘inspection characteristics’ sub-net represents the degree of fault elimination, and its value is derived from quality of the V&amp;V activities and the V&amp;V checklists, which are oriented to the detection of faults in the software. 2.2. </t>
    </r>
    <r>
      <rPr>
        <rFont val="Arial"/>
        <b/>
        <color rgb="FF000000"/>
        <sz val="10.0"/>
      </rPr>
      <t>Qualitative part of the model: BN graph</t>
    </r>
    <r>
      <rPr>
        <rFont val="Arial"/>
        <color rgb="FF000000"/>
        <sz val="10.0"/>
      </rPr>
      <t xml:space="preserve"> 2.2.1. Phase BN The phase BN is a model of a single development phase and consists of the following four sub-nets (BNs): (1) the ‘functional characteristics’ sub-net, (2) ‘process characteristics’ sub-net, (3) ‘inspection characteristics’ sub-net, and (4) the ‘fault estimation’ sub-net. 2.2.1.1. Functional characteristics sub-net. The ‘functional characteristics’ sub-net models functional characteristics in BTP-7-14 (2007) and includes the above seven subset characteristics as child nodes. This sub-set provides a measure about the degree of fault insertion in view of the functional characteristics during the development phase. Seven characteristics nodes (accuracy, functionality, reliability, and so on) in this sub-net are treated as subsets or evidence regarding the state of the parent node ‘functional characteristics’. Fig. 3 shows the ‘functional characteristics’ sub-net. Since each subset characteristic was treated as a subset or evidence of the parent node ‘functional characteristics’, the direction of the arrows in this sub-net starts from the node ‘functional characteristics’ and ends at each characteristic node, such as ‘accuracy’, ‘functionality’, and ‘reliability’. This says that the ‘functional characteristics’ node is the parent node, and each characteristic node is a child node. </t>
    </r>
    <r>
      <rPr>
        <rFont val="Arial"/>
        <b/>
        <color rgb="FF000000"/>
        <sz val="10.0"/>
      </rPr>
      <t>In such a BN structure, child nodes are dependent on each other by the ‘‘d-separation’’, unless the state of the parent node is known (Jensen, 1996).</t>
    </r>
    <r>
      <rPr>
        <rFont val="Arial"/>
        <color rgb="FF000000"/>
        <sz val="10.0"/>
      </rPr>
      <t xml:space="preserve"> This statement seems reasonable because all characteristics belonging to the functional characteristics are dependent on each other. For example, the ‘accuracy’ is dependent on the ‘reliability’, ‘robustness’, and other characteristics. 2.2.1.2. Process characteristics sub-net. The ‘process characteristics’ sub-net models the process characteristics in BTP-7-14 (2007) and includes the above seven subset characteristics as child nodes.(...) 2.2.1.4. Fault estimation sub-net. The ‘fault estimation’ sub-net models the fault insertion and elimination process during the development phase, and calculates the number of remaining faults in the software. Fig. 6 shows the ‘fault estimation’ sub-net representing the fault insertion and estimation process in one development phase. The node ‘functional characteristics of the current phase’ and the node ‘process characteristics of the current phase’ determine the number of faults inserted during the current development phase, and the number is represented in the node ‘faults inserted in current phase’. The node ‘inspection characteristics of the current phase’ determines the number of faults eliminated by the V&amp;V and this number is represented in the node ‘faults eliminated by V&amp;V in current phase’. The ‘faults after V&amp;V in current phase’ is the calculation results from the ‘faults inserted in current phase’ minus the ‘faults eliminated by V&amp;V in current phase’.(...) 2.2.2. Sdlc bn The SDLC BN can be modeled by linking a series of phase BNs. For example, Fig. 8 shows a V-shaped SDLC model, which is a variant of the waterfall model. This model emphasizes the verification and validation of the product, and thus the testing of the product is planned in parallel with the corresponding phase of development. The V-shaped SDLC consists of several developmental phases, such as a requirement analysis and specification, high-level design, detailed design, implementation (coding), and testing phases corresponding to the development phases. Fig. 9 shows the SDLC BN corresponding to the V-shaped SDLC model in Fig. 8. The SDLC BN in Fig. 9 is slightly modified for simplicity: the ‘high level design’ and ‘detailed design’ phases in Fig. 8 are integrated into the ‘Design Phase’ BN in Fig. 9, and the ‘implementation’ and ‘unit testing’ phases in Fig. 8 are integrated into the ‘Implementation Phase’ BN in Fig. 9. Fig. 10 shows the detailed structure of the SDLC BN estimating the number of remaining faults in the software program."] ["</t>
    </r>
    <r>
      <rPr>
        <rFont val="Arial"/>
        <b/>
        <color rgb="FF000000"/>
        <sz val="10.0"/>
      </rPr>
      <t>The number of states of all nodes in three characteristics subnets is five, which was decided by V&amp;V experts. Their opinions were that three states of a node are too small to express their judgment, and more than five states are too detailed to distinguish the difference between two near states. The five states of a ranked node are ‘very high’, ‘high’, ‘medium’, ‘low’, and ‘very low’.</t>
    </r>
    <r>
      <rPr>
        <rFont val="Arial"/>
        <color rgb="FF000000"/>
        <sz val="10.0"/>
      </rPr>
      <t>"]</t>
    </r>
  </si>
  <si>
    <t>The Ranked Nodes method, direct function (e.g. sum, formula)</t>
  </si>
  <si>
    <r>
      <rPr>
        <rFont val="Arial"/>
        <color theme="1"/>
        <sz val="10.0"/>
      </rPr>
      <t xml:space="preserve">["2.3. Quantitative part of the model: node probability table (NPT) </t>
    </r>
    <r>
      <rPr>
        <rFont val="Arial"/>
        <b/>
        <color theme="1"/>
        <sz val="10.0"/>
      </rPr>
      <t>2.3.1. NPT of characteristics sub-nets</t>
    </r>
    <r>
      <rPr>
        <rFont val="Arial"/>
        <color theme="1"/>
        <sz val="10.0"/>
      </rPr>
      <t xml:space="preserve"> </t>
    </r>
    <r>
      <rPr>
        <rFont val="Arial"/>
        <b/>
        <color theme="1"/>
        <sz val="10.0"/>
      </rPr>
      <t xml:space="preserve">The NPTs of all nodes in three characteristics sub-nets are ranked nodes. The ranked nodes represent discrete variables whose states are expressed at an ordinal scale that can be mapped onto a bounded numerical scale that is continuous and monotonically ordered. Ranked nodes are useful when representing a ranked relationship in NPTs involving nodes that are near continuous (Fenton et al., 2007a,b). </t>
    </r>
    <r>
      <rPr>
        <rFont val="Arial"/>
        <color theme="1"/>
        <sz val="10.0"/>
      </rPr>
      <t xml:space="preserve">The number of states of all nodes in three characteristics subnets is five, which was decided by V&amp;V experts. Their opinions were that three states of a node are too small to express their judgment, and more than five states are too detailed to distinguish the difference between two near states. The five states of a ranked node are ‘very high’, ‘high’, ‘medium’, ‘low’, and ‘very low’. A ‘High’ state is assumed to be a minimum satisfactory (acceptable) condition of the characteristic in the view of licensing safety–critical software. A ‘very-high’ state is assumed to be a perfect acceptable condition of the characteristic. The ‘medium’, ‘low’, and ‘very low’ states are assumed to be unsatisfactory conditions of the characteristic in the view of licensing safety–critical software in descending order.‘Functional/process/inspection characteristics’ nodes are root nodes that have no parent node(s). They have five states and are assumed to have a prior uniform distribution as shown in Table 1, unless historical data or an expert’s judgment exists for the distribution. All characteristic nodes (child nodes) in the ‘functional’, ‘process’, and ‘inspection’ characteristics sub-nets also have five states, and were modeled using a doubly truncated Normal distribution. The doubly truncated Normal distribution (denoted as TNormal hereafter) is defined in (Fenton et al., 2007a,b). This is simply a normal distribution that has been truncated at both ends, and the result is renormalized to give the total probability of unity. Unlike a regular Normal distribution (which must be in the range of –infinity to +infinity), TNormal has finite end points. TNormal was denoted by TNormal (l, r2, t-low, t-upper) where l is the mean, r2 is the variance, t-low is the lower truncation point, and t-upper is the upper truncation point. The variance parameter in TNormal of the characteristic node in our model was used as an expert’s uncertainty degree about the input value of the node. </t>
    </r>
    <r>
      <rPr>
        <rFont val="Arial"/>
        <b/>
        <color theme="1"/>
        <sz val="10.0"/>
      </rPr>
      <t>2.3.2. NPT of fault estimation sub-net</t>
    </r>
    <r>
      <rPr>
        <rFont val="Arial"/>
        <color theme="1"/>
        <sz val="10.0"/>
      </rPr>
      <t xml:space="preserve"> The ‘functional characteristics’, ‘process characteristics’, and ‘inspection characteristics’ nodes in ‘fault estimation’ sub-net are same as those in ‘functional/process/inspection characteristics’ sub-net. The ‘number of faults from previous phase’ node is the same as ‘remaining faults in current phase’ node in the previous phase BN. </t>
    </r>
    <r>
      <rPr>
        <rFont val="Arial"/>
        <b/>
        <color theme="1"/>
        <sz val="10.0"/>
      </rPr>
      <t>The NPT of ‘fault inserted’ node is TNormal, where the mean is defined as the following equation.</t>
    </r>
    <r>
      <rPr>
        <rFont val="Arial"/>
        <color theme="1"/>
        <sz val="10.0"/>
      </rPr>
      <t xml:space="preserve"> Mean of TNormal ¼ value of functional characteristics  maximum number of possible inserted faults in a phase 2 þ value of process characteristics  maximum number of possible inserted faults in a phase 2. Here, the maximum number of possible inserted faults in the development phase was determined by V&amp;V experts. In addition, the functional characteristics and process characteristics are assumed to have the same probability of a fault insertion. Since there is no historical data to specify the variance, V&amp;V experts estimated the value as (the maximum number of possible inserted faults in a phase/2)2 by trial and error. The ‘faults corrected by V&amp;V’ node is assumed to have the Binomial distribution [B (n, p)], where n is the number of faults inserted and p is the probability of fault elimination. The probability of fault elimination, p, is determined by the ‘inspection characteristics’. For the conversion of the inspection characteristics into the possibility of fault elimination, we applied 0–0.9 to the probability p of the Binomial distribution for the ‘faults eliminated by V&amp;V’, and 0–0.5 to the probability p for the ‘previous faults eliminated by V&amp;V’. Table 2 shows the basis of this determination. The ‘previous faults eliminated by V&amp;V’ node has the same type of NPT as that of the ‘faults eliminated by V&amp;V’ node, since these two nodes have similar internal processes. </t>
    </r>
    <r>
      <rPr>
        <rFont val="Arial"/>
        <b/>
        <color theme="1"/>
        <sz val="10.0"/>
      </rPr>
      <t>The ‘faults after V&amp;V’ and ‘previous faults after V&amp;V’ are nodes for a simple calculation. The NPT of ‘faults after V&amp;V’ is defined as (‘faults inserted’ – ‘faults eliminated by V&amp;V’), and the NPT of ‘previous faults after V&amp;V’ is defined as (‘faults from previous phase’ – ‘previous faults eliminated by V&amp;V’). The ‘remaining faults in current phase’ node represents the number of remaining faults of the software product at the end of the current development phase, and is defined as (‘fault after V&amp;V’ + ‘previous faults after V&amp;V’).</t>
    </r>
    <r>
      <rPr>
        <rFont val="Arial"/>
        <color theme="1"/>
        <sz val="10.0"/>
      </rPr>
      <t xml:space="preserve"> The value of this node is transmitted to the ‘faults from previous phase’ in the next phase BN."]</t>
    </r>
  </si>
  <si>
    <r>
      <rPr>
        <rFont val="Arial"/>
        <color rgb="FF000000"/>
        <sz val="10.0"/>
      </rPr>
      <t xml:space="preserve">["2.4. Limitations of the BN model For the qualitative nature of the model, the indirect reliability measurement method including V&amp;V also has some limitations. There is not enough failure data of safety–critical software gathered in the real operation of NPPs, and thus it is hard to quantitatively correlate the safety–critical software developed using a certain development method with the failure data of the software. In the quantitative part of the model, there still exist some difficulties in the practical application of the BN. For example, it is difficult to obtain the knowledge from experts in a form that can be converted into a probability distribution (Uusitalo, 2007), and there is not enough software failure data, especially in the nuclear field, that can be used as the reference for the validation of a constructed BN model."] ["3. Application of the BN model to the example system 3.1. Overview of example system and its V&amp;V The example system is a fully digitalized RPS, which has been developed under the KNICS project. In the KNICS RPS, the trip functions, such as a signal comparison and voting logic, are implemented in the software. Hence, the software in the KNICS RPS is crucial to nuclear power plants, and its malfunction may result in irreversible consequences. For this reason, most of the software in the RPS is classified into a safety–critical or safety-related class. In the KNICS project, the software used in the RPS has been developed under a rigorous procedure, with independent verification &amp; validation (V&amp;V) (Park and Kwon, 2005). (...) Since the example software (KNICS RPS software) is a prototype, there is no operational data. </t>
    </r>
    <r>
      <rPr>
        <rFont val="Arial"/>
        <b/>
        <color rgb="FF000000"/>
        <sz val="10.0"/>
      </rPr>
      <t>For this reason, we compared the results of the BN model to the contents of anomaly reports (ANRs) of the RPS software for a validation of the model. The content of an ANR shows a deficiency in the software. V&amp;V experts evaluated the ANRs of the validation phase of the RPS software and estimated the number of faults.Table5 shows the number of faults in the RPS software estimated by ANR, and the calculation results of the BN.</t>
    </r>
    <r>
      <rPr>
        <rFont val="Arial"/>
        <color rgb="FF000000"/>
        <sz val="10.0"/>
      </rPr>
      <t xml:space="preserve"> The probability of eliminating faults in the previous development phase was set to 0.5 in the BN model. The input data used in our BNs were not from the final V&amp;V report, but from the progress report in the middle of the spiral-type development life cycle. Thus, the calculation results appearing in this paper do not indicate the exact status of the final RPS programs. The insight from the case study is that the most critical and hardest factors affecting the number of faults of the target software are faults in the system specifications, the maximum number of faults occurring in the development phase, uncertainty sizing (variance of TNormal distribution in the NPT), and fault elimination rate by the inspection activities. In this study, there was no attempt to compute the failure probability of RPS software, and we only focused on using a BN to estimate the remaining number of faults at the end of the software development life-cycle by modeling the mechanisms of the fault insertion at each development phase, and of the fault elimination in the current and previous development phases."]</t>
    </r>
  </si>
  <si>
    <r>
      <rPr>
        <rFont val="Arial"/>
        <color rgb="FF000000"/>
        <sz val="10.0"/>
      </rPr>
      <t xml:space="preserve">["2.3 </t>
    </r>
    <r>
      <rPr>
        <rFont val="Arial"/>
        <b/>
        <color rgb="FF000000"/>
        <sz val="10.0"/>
      </rPr>
      <t>Software metrics</t>
    </r>
    <r>
      <rPr>
        <rFont val="Arial"/>
        <color rgb="FF000000"/>
        <sz val="10.0"/>
      </rPr>
      <t xml:space="preserve"> Measure of software metrics holds the information about the quality, productivity and reliability during development phase of software life cycle. As the present article aims to predict total number of faults during requirement analysis and design phase of software development process, therefore, </t>
    </r>
    <r>
      <rPr>
        <rFont val="Arial"/>
        <b/>
        <color rgb="FF000000"/>
        <sz val="10.0"/>
      </rPr>
      <t>use of the software metrics is very essential here</t>
    </r>
    <r>
      <rPr>
        <rFont val="Arial"/>
        <color rgb="FF000000"/>
        <sz val="10.0"/>
      </rPr>
      <t xml:space="preserve">. Following six top ranked software metrics have been considered for implementing the proposed methodology in the current study: 2.3.1 </t>
    </r>
    <r>
      <rPr>
        <rFont val="Arial"/>
        <b/>
        <color rgb="FF000000"/>
        <sz val="10.0"/>
      </rPr>
      <t>Requirement fault density (RFD)</t>
    </r>
    <r>
      <rPr>
        <rFont val="Arial"/>
        <color rgb="FF000000"/>
        <sz val="10.0"/>
      </rPr>
      <t xml:space="preserve"> Requirement fault density measures the total number of approximate faults per unit size of software at requirement analysis phase of software development process. Total number of residual faults increases along with the incremental change in RFD value. Li and Smidts [20] have given 0.71 weightage to this metric based on its effect on the reliability. 2.3.2</t>
    </r>
    <r>
      <rPr>
        <rFont val="Arial"/>
        <b/>
        <color rgb="FF000000"/>
        <sz val="10.0"/>
      </rPr>
      <t xml:space="preserve"> Requirement Stability (RS)</t>
    </r>
    <r>
      <rPr>
        <rFont val="Arial"/>
        <color rgb="FF000000"/>
        <sz val="10.0"/>
      </rPr>
      <t xml:space="preserve"> Stability of specified requirements in the document is measured by the metric RS. Total number of residual faults decreases along with the increment of the value of RS. Weightage and rank of this metric based on its effect on the reliability are 0.70 and 31 respectively [17, 20]. 2.3.3 </t>
    </r>
    <r>
      <rPr>
        <rFont val="Arial"/>
        <b/>
        <color rgb="FF000000"/>
        <sz val="10.0"/>
      </rPr>
      <t>Review, inspection and walkthrough (RIW)</t>
    </r>
    <r>
      <rPr>
        <rFont val="Arial"/>
        <color rgb="FF000000"/>
        <sz val="10.0"/>
      </rPr>
      <t xml:space="preserve"> Review and inspection helps to reduce inconsistency or incomplete specification at the requirement analysis phase. Hence, better review and inspection are needed to reduce the total number of faults. Walkthrough is nothing but an informal inspection of software. Weightage and rank of this metric based on its effect on the reliability are 0.61 and 28 respectively [17, 20]. 2.3.4 </t>
    </r>
    <r>
      <rPr>
        <rFont val="Arial"/>
        <b/>
        <color rgb="FF000000"/>
        <sz val="10.0"/>
      </rPr>
      <t>Experience of the design team (DTE)</t>
    </r>
    <r>
      <rPr>
        <rFont val="Arial"/>
        <color rgb="FF000000"/>
        <sz val="10.0"/>
      </rPr>
      <t xml:space="preserve"> Experienced staff helps to develop qualitative reliable software. Higher level of experience of the design team can reduce the total number of faults of software. Weightage and rank of this metric are 0.63 and 9 respectively [17, 20]. 2.3.5 </t>
    </r>
    <r>
      <rPr>
        <rFont val="Arial"/>
        <b/>
        <color rgb="FF000000"/>
        <sz val="10.0"/>
      </rPr>
      <t>Cyclomatic complexity (CC)</t>
    </r>
    <r>
      <rPr>
        <rFont val="Arial"/>
        <color rgb="FF000000"/>
        <sz val="10.0"/>
      </rPr>
      <t xml:space="preserve"> In 1975, McCabe [28] has defined Cyclomatic complexity as the total number of independent paths or test cases at design phase of software development process. Measure of CC is directly proportional to the total number of faults. Weightage and rank of this metric are 0.73 and 3 respectively [17, 20]. 2.3.6 </t>
    </r>
    <r>
      <rPr>
        <rFont val="Arial"/>
        <b/>
        <color rgb="FF000000"/>
        <sz val="10.0"/>
      </rPr>
      <t xml:space="preserve">Defined process followed (DPF) </t>
    </r>
    <r>
      <rPr>
        <rFont val="Arial"/>
        <color rgb="FF000000"/>
        <sz val="10.0"/>
      </rPr>
      <t xml:space="preserve">Effectiveness of review and inspection at design phase is measured by DPF. Higher value of DPF indicates higher reliability, i.e., total number of faults decreases as DPF increases. Weightage and rank of this metric are 0.61 and 11 respectively [17, 20]. Reliability analysis at the early phase of development is very much dependent on the information about the above mentioned software metrics. Present article uses the information of the above mentioned software metrics to compute conditional probabilities of the NPT through fuzzy control system for validating the proposed model. </t>
    </r>
    <r>
      <rPr>
        <rFont val="Arial"/>
        <b/>
        <color rgb="FF000000"/>
        <sz val="10.0"/>
      </rPr>
      <t>Here, fault index (FI) has been chosen as the target node of the Bayesian belief network.</t>
    </r>
    <r>
      <rPr>
        <rFont val="Arial"/>
        <color rgb="FF000000"/>
        <sz val="10.0"/>
      </rPr>
      <t xml:space="preserve"> Total number of faults is directly proportional to FI. </t>
    </r>
    <r>
      <rPr>
        <rFont val="Arial"/>
        <b/>
        <color rgb="FF000000"/>
        <sz val="10.0"/>
      </rPr>
      <t>The metrics RFD, RS and RIW are taken from requirement analysis phase and the remaining three are taken from design phase</t>
    </r>
    <r>
      <rPr>
        <rFont val="Arial"/>
        <color rgb="FF000000"/>
        <sz val="10.0"/>
      </rPr>
      <t xml:space="preserve">. </t>
    </r>
    <r>
      <rPr>
        <rFont val="Arial"/>
        <b/>
        <color rgb="FF000000"/>
        <sz val="10.0"/>
      </rPr>
      <t>Hence, the measure of fault index at requirement analysis phase (FIR) and design phase (FID) are dependent on RFD, RS and RIW, and DTE, CC and DPF respectively. Also, there exist intra dependency relationships between the metrics like: RFD increases as RS and RIW decreases; RS increases as RIW increases; FIR has an influence on the target node as well as on FID, as design phase follow the requirement analysis phase. DTE has no parent node as it is independent. DPF increases and CC decreases as DTE increases. Again value of DPF is directly proportional to the value of CC. Finally, FI increases along with the increment of both FIR and FID.</t>
    </r>
    <r>
      <rPr>
        <rFont val="Arial"/>
        <color rgb="FF000000"/>
        <sz val="10.0"/>
      </rPr>
      <t xml:space="preserve"> Directed line segments in the Fig. 3 show the dependency relationships among all the nodes."] ["3 </t>
    </r>
    <r>
      <rPr>
        <rFont val="Arial"/>
        <b/>
        <color rgb="FF000000"/>
        <sz val="10.0"/>
      </rPr>
      <t>Proposed model</t>
    </r>
    <r>
      <rPr>
        <rFont val="Arial"/>
        <color rgb="FF000000"/>
        <sz val="10.0"/>
      </rPr>
      <t xml:space="preserve"> This section presents the proposed Bayesian belief network based model. Proposed model aims to predict total number of faults at early phase of software development process. </t>
    </r>
    <r>
      <rPr>
        <rFont val="Arial"/>
        <b/>
        <color rgb="FF000000"/>
        <sz val="10.0"/>
      </rPr>
      <t>Qualitative information of the software metrics are essential elements of the model. These software metrics have been chosen from requirement analysis and design phase of the software development life cycle. Hence, the proposed methodology is workable after design phase.</t>
    </r>
    <r>
      <rPr>
        <rFont val="Arial"/>
        <color rgb="FF000000"/>
        <sz val="10.0"/>
      </rPr>
      <t xml:space="preserve"> Figure 4 shows the architecture of the model. Detail procedure has been discussed in following subsection. 3.1 </t>
    </r>
    <r>
      <rPr>
        <rFont val="Arial"/>
        <b/>
        <color rgb="FF000000"/>
        <sz val="10.0"/>
      </rPr>
      <t>Selection of nodes</t>
    </r>
    <r>
      <rPr>
        <rFont val="Arial"/>
        <color rgb="FF000000"/>
        <sz val="10.0"/>
      </rPr>
      <t xml:space="preserve"> Proposed method concentrates on the reliability relevant software metrics for predicting fault count of software in early phase. </t>
    </r>
    <r>
      <rPr>
        <rFont val="Arial"/>
        <b/>
        <color rgb="FF000000"/>
        <sz val="10.0"/>
      </rPr>
      <t>There are many software metrics with (more/less) different impacts on reliability growth of software. Most of the nodes of the Bayesian belief network are different software metrics and each node represents random variables having several qualitative states. Bayesian belief network based models become complicated due to the increase of the number of nodes. Therefore, from the beginning the software managers, developers and the domain experts should attempt to minimize the number of nodes as much as possible and only most significant software metrics have to be selected.</t>
    </r>
    <r>
      <rPr>
        <rFont val="Arial"/>
        <color rgb="FF000000"/>
        <sz val="10.0"/>
      </rPr>
      <t xml:space="preserve"> </t>
    </r>
    <r>
      <rPr>
        <rFont val="Arial"/>
        <b/>
        <color rgb="FF000000"/>
        <sz val="10.0"/>
      </rPr>
      <t>Moreover, following three nodes are needed to predict the total number of faults: fault index at requirement analysis phase (F IR), fault index at design phase (F ID) and resultant fault index (F I).</t>
    </r>
    <r>
      <rPr>
        <rFont val="Arial"/>
        <color rgb="FF000000"/>
        <sz val="10.0"/>
      </rPr>
      <t xml:space="preserve"> Suppose the software metrics SM1R, SM2R, SM3R, ..., SMR r ; r ∈ N and SM1D, SM2D, SM3D, ..., SMdD; d ∈ N are chosen from requirement analysis and design phase respectively. XiR; 1 ≤ i ≤ r and XjD; 1 ≤ j ≤ d are the ith and j th random variables corresponding to the software metrics SMR i and SMjD respectively. </t>
    </r>
    <r>
      <rPr>
        <rFont val="Arial"/>
        <b/>
        <color rgb="FF000000"/>
        <sz val="10.0"/>
      </rPr>
      <t>Possible qualitative information of the software metrics represents possible states, i.e., spectrum of the chosen random variables</t>
    </r>
    <r>
      <rPr>
        <rFont val="Arial"/>
        <color rgb="FF000000"/>
        <sz val="10.0"/>
      </rPr>
      <t xml:space="preserve">. xiR; 1≤i ≤r and xD j ; 1≤j ≤d are the qualitative values of the random variables XR i and XjD respectively. Qualitative values are taken from k point ordinal scale as L1, L2, L3, ..., Lk; k ∈ N, hence, xR i , xjD ∈ {L1, L2, L3, ..., Lk}. Similarly, XF IR , XF ID and XF I are the random variables corresponding to the nodes F IR, F ID and F I respectively, where xF IR, xF ID, xF I ∈ {L1, L2, L3, ...Lk} are the associated qualitative values. In the present study, state spaces of the selected random variables are not crisp real number. A fuzzy set can represent a qualitative value precisely. Hence, probability distribution of the random variable having state space with qualitative values has been established from the number of qualitative states. The probability distribution p : {L1, L2, L3, ..., Lk} → [0, 1] of a certain random variable XR i or XiD has been defined as (...) Hence, k_x0006_ i=1 p (Li) = 1; ∀k ∈ N. The set of qualitative states {L1, L2, L3, ..., Lk} is an ordered set. In 5 points ordinal scale, i.e., when k = 5 then L1, L2, L3, L4 and L5 represent the qualitative values Very Low (V L), Low (L), Medium (M), High (H ) and Very high (V H ) respectively. The probabilities at spectrum are p (L1) = 1 9, p (L2) = 2 9, p (L3) = 13 , p (L4) = 2 9 and p (L5) = 1 9. In general, probability of the occurrence of extreme values of a random variable should minimum and the probability should increase towards centre of the spectrum. The defined probability function is symmetric around the moderate linguistic state (M), in particular the probability function has been defined in such a way that the mean, median and mode can be identical at moderate linguistic state as normal distribution function. 3.2 </t>
    </r>
    <r>
      <rPr>
        <rFont val="Arial"/>
        <b/>
        <color rgb="FF000000"/>
        <sz val="10.0"/>
      </rPr>
      <t>Construction of network</t>
    </r>
    <r>
      <rPr>
        <rFont val="Arial"/>
        <color rgb="FF000000"/>
        <sz val="10.0"/>
      </rPr>
      <t xml:space="preserve"> Network has to construct according to the </t>
    </r>
    <r>
      <rPr>
        <rFont val="Arial"/>
        <b/>
        <color rgb="FF000000"/>
        <sz val="10.0"/>
      </rPr>
      <t>cause-effect relationship between the selected r + d + 3 number nodes by domain expert’s opinion.</t>
    </r>
    <r>
      <rPr>
        <rFont val="Arial"/>
        <color rgb="FF000000"/>
        <sz val="10.0"/>
      </rPr>
      <t xml:space="preserve"> Directed line segment between two nodes represents the causal relationship between them. The proposed model indicates the following certain causal relationships. "] ["4 </t>
    </r>
    <r>
      <rPr>
        <rFont val="Arial"/>
        <b/>
        <color rgb="FF000000"/>
        <sz val="10.0"/>
      </rPr>
      <t>Results and discussion</t>
    </r>
    <r>
      <rPr>
        <rFont val="Arial"/>
        <color rgb="FF000000"/>
        <sz val="10.0"/>
      </rPr>
      <t xml:space="preserve"> The </t>
    </r>
    <r>
      <rPr>
        <rFont val="Arial"/>
        <b/>
        <color rgb="FF000000"/>
        <sz val="10.0"/>
      </rPr>
      <t>proposed model has been implemented on twenty six completed software project. The data set is taken from Fenton et al. [19].</t>
    </r>
    <r>
      <rPr>
        <rFont val="Arial"/>
        <color rgb="FF000000"/>
        <sz val="10.0"/>
      </rPr>
      <t xml:space="preserve"> Implementation and validation of the proposed model are mentioned in the following subsections. 4.1</t>
    </r>
    <r>
      <rPr>
        <rFont val="Arial"/>
        <b/>
        <color rgb="FF000000"/>
        <sz val="10.0"/>
      </rPr>
      <t xml:space="preserve"> Model implementation</t>
    </r>
    <r>
      <rPr>
        <rFont val="Arial"/>
        <color rgb="FF000000"/>
        <sz val="10.0"/>
      </rPr>
      <t xml:space="preserve"> Here requirement analysis and design phase of software life cycle has been considered for implementing the proposed model. Six top ranked software metrics have been taken for implementing the proposed methodology. Here, three metrics from each of the requirement analysis and design phase have been considered to give equal importance to both the phases. The software metrics RFD, RS and RIW have been selected from requirement analysis phase and EDT, CC and DPF have been selected from design phase. Hence, total number of nodes and directed edges in the Bayesian belief network is nine and fifteen respectively. Figure 3 presents the corresponding Bayesian belief network. Qualitative state space for each random variables has been considered in 5 point ordinal scale as Very high (V H), High (H), Medium (M), Low (L) and Very Low (V L)."]</t>
    </r>
  </si>
  <si>
    <t>Fuzzy logic (interval type-2 fuzzy logic system), expert elicitation (nodes with no parents)</t>
  </si>
  <si>
    <r>
      <rPr>
        <rFont val="Arial"/>
        <color rgb="FF000000"/>
        <sz val="10.0"/>
      </rPr>
      <t xml:space="preserve">["3.3 </t>
    </r>
    <r>
      <rPr>
        <rFont val="Arial"/>
        <b/>
        <color rgb="FF000000"/>
        <sz val="10.0"/>
      </rPr>
      <t xml:space="preserve">Computation of NPT </t>
    </r>
    <r>
      <rPr>
        <rFont val="Arial"/>
        <color rgb="FF000000"/>
        <sz val="10.0"/>
      </rPr>
      <t xml:space="preserve">A detail computation procedure of NPT has been described in this section. After finishing the network construction, domain experts and software personnel help to develop the suitable probability distribution corresponding to each node which has no parents. Probability distributions of the random variables should be developed in such a way that the spectrum can take linguistic information. If qualitative information of the software metrics be taken in k-point ordinal scale then the total probability should be distributed by a developed function p : {L1, L2, L3, ..., Lk} → [0, 1]. It should be noted that if the state of software metric is known previously as Lt; 1 ≤ t ≤ k then probability should be distributed as p (Li)=_x0016_ 1, when i = t 0 otherwise . Later on, </t>
    </r>
    <r>
      <rPr>
        <rFont val="Arial"/>
        <b/>
        <color rgb="FF000000"/>
        <sz val="10.0"/>
      </rPr>
      <t>the interval type-2 fuzzy inference system has been used to compute the conditional probabilities in the NPT corresponding to the remaining nodes having parents</t>
    </r>
    <r>
      <rPr>
        <rFont val="Arial"/>
        <color rgb="FF000000"/>
        <sz val="10.0"/>
      </rPr>
      <t xml:space="preserve"> (...)."] ["4.1 </t>
    </r>
    <r>
      <rPr>
        <rFont val="Arial"/>
        <b/>
        <color rgb="FF000000"/>
        <sz val="10.0"/>
      </rPr>
      <t>Model implementation</t>
    </r>
    <r>
      <rPr>
        <rFont val="Arial"/>
        <color rgb="FF000000"/>
        <sz val="10.0"/>
      </rPr>
      <t xml:space="preserve"> (...) Figure 3 presents the corresponding Bayesian belief network. Qualitative state space for each random variables has been considered in 5 point ordinal scale as Very high (V H), High (H), Medium (M), Low (L) and Very Low (V L). The nodes associated with RIW and DTE have no parents. Hence, </t>
    </r>
    <r>
      <rPr>
        <rFont val="Arial"/>
        <b/>
        <color rgb="FF000000"/>
        <sz val="10.0"/>
      </rPr>
      <t>probability distribution for these two nodes has been decided according to their qualitative states given in the data set</t>
    </r>
    <r>
      <rPr>
        <rFont val="Arial"/>
        <color rgb="FF000000"/>
        <sz val="10.0"/>
      </rPr>
      <t xml:space="preserve">. Later on, </t>
    </r>
    <r>
      <rPr>
        <rFont val="Arial"/>
        <b/>
        <color rgb="FF000000"/>
        <sz val="10.0"/>
      </rPr>
      <t>interval type-2 fuzzy inference system has been applied to compute NPT for each of the seven child nodes.</t>
    </r>
    <r>
      <rPr>
        <rFont val="Arial"/>
        <color rgb="FF000000"/>
        <sz val="10.0"/>
      </rPr>
      <t xml:space="preserve"> There are twenty six software projects in the data set. Hence, fuzzy inference engine has performed 7×26 = 182 times taking seven different rule bases. The rule bases corresponding to the child nodes have been decided as in Table 1. Table 2 provides the NPTs of each node for the first project. Expectations of the random variable XF I for all selected projects are enlisted in Table 3. The selected data set provides the detail qualitative information about different reliability relevant software metrics and total number of faults of different software projects. But this data set does not contain any kind of information such that it is possible to estimate the project size. All software projects in the selected data set contain actual software sizes (Table 3) for each project. Due to lack of information regarding size estimation, proposed article has assumed the actual project size instead of estimated project size for model implementation purpose. Consequently, actual size of software and E (XF I ) have been used as input nodes in the ANN (artificial neural network) framework to calibrate the total number of software faults.(...)"]</t>
    </r>
  </si>
  <si>
    <t>Comparison with existing models, statistical measures (mean magnitude of relative error (MMRE), balanced mean magnitude of relative error (BMMRE), root mean square error (RMSE), normalized root mean square error (NRMSE), and coefficient of determination (R2))</t>
  </si>
  <si>
    <r>
      <rPr>
        <rFont val="Arial"/>
        <color rgb="FF000000"/>
        <sz val="10.0"/>
      </rPr>
      <t xml:space="preserve">["4.2 </t>
    </r>
    <r>
      <rPr>
        <rFont val="Arial"/>
        <b/>
        <color rgb="FF000000"/>
        <sz val="10.0"/>
      </rPr>
      <t>Validation and comparison</t>
    </r>
    <r>
      <rPr>
        <rFont val="Arial"/>
        <color rgb="FF000000"/>
        <sz val="10.0"/>
      </rPr>
      <t xml:space="preserve"> In 2008, </t>
    </r>
    <r>
      <rPr>
        <rFont val="Arial"/>
        <b/>
        <color rgb="FF000000"/>
        <sz val="10.0"/>
      </rPr>
      <t>Fenton et al. [17] proposed a Bayesian network based model</t>
    </r>
    <r>
      <rPr>
        <rFont val="Arial"/>
        <color rgb="FF000000"/>
        <sz val="10.0"/>
      </rPr>
      <t xml:space="preserve"> to predict total number of software faults. In 2010, </t>
    </r>
    <r>
      <rPr>
        <rFont val="Arial"/>
        <b/>
        <color rgb="FF000000"/>
        <sz val="10.0"/>
      </rPr>
      <t>Pandey and Goyal [1] have developed a fuzzy logic based model</t>
    </r>
    <r>
      <rPr>
        <rFont val="Arial"/>
        <color rgb="FF000000"/>
        <sz val="10.0"/>
      </rPr>
      <t xml:space="preserve"> to predict total number of software faults throughout the development phase of software. In 2014, </t>
    </r>
    <r>
      <rPr>
        <rFont val="Arial"/>
        <b/>
        <color rgb="FF000000"/>
        <sz val="10.0"/>
      </rPr>
      <t>Kumar and Yadav [16] have proposed a software defect estimation model using Bayesian belief network.</t>
    </r>
    <r>
      <rPr>
        <rFont val="Arial"/>
        <color rgb="FF000000"/>
        <sz val="10.0"/>
      </rPr>
      <t xml:space="preserve"> </t>
    </r>
    <r>
      <rPr>
        <rFont val="Arial"/>
        <b/>
        <color rgb="FF000000"/>
        <sz val="10.0"/>
      </rPr>
      <t>The current study has also predicted total number of faults of six software projects using the same data given in [19].</t>
    </r>
    <r>
      <rPr>
        <rFont val="Arial"/>
        <color rgb="FF000000"/>
        <sz val="10.0"/>
      </rPr>
      <t xml:space="preserve"> Different statistical comparison criteria like:</t>
    </r>
    <r>
      <rPr>
        <rFont val="Arial"/>
        <b/>
        <color rgb="FF000000"/>
        <sz val="10.0"/>
      </rPr>
      <t xml:space="preserve"> mean magnitude of relative error (MMRE), balanced mean magnitude of relative error (BMMRE), root mean square error (RMSE), normalized root mean square error (NRMSE), and coefficient of determination (R2)</t>
    </r>
    <r>
      <rPr>
        <rFont val="Arial"/>
        <color rgb="FF000000"/>
        <sz val="10.0"/>
      </rPr>
      <t xml:space="preserve"> [13, 15] have been tabulated in Table 6 for each of the models [1, 16, 17]. </t>
    </r>
    <r>
      <rPr>
        <rFont val="Arial"/>
        <b/>
        <color rgb="FF000000"/>
        <sz val="10.0"/>
      </rPr>
      <t>The measure of lesser value of RMSE, NRMSE, MMRE and BMMRE indicate that the proposed model is more efficient</t>
    </r>
    <r>
      <rPr>
        <rFont val="Arial"/>
        <color rgb="FF000000"/>
        <sz val="10.0"/>
      </rPr>
      <t xml:space="preserve">. Again, R2value is nearer to 1, which indicates better accuracy and preciseness in the fault prediction of the proposed model. Figure 6 shows the scatter diagram of the total number of faults of six software projects. Here, total number of predicted faults by the proposed model and that by the methods proposed by the authors [1, 16, 17] have been plotted with actual number of faults. The plotted circular points corresponding to the proposed model are closer to the diamond shaped points associated with the actual number of faults. </t>
    </r>
    <r>
      <rPr>
        <rFont val="Arial"/>
        <b/>
        <color rgb="FF000000"/>
        <sz val="10.0"/>
      </rPr>
      <t>This implies that the performance of the proposed model is better than the others [1, 16, 17]."]</t>
    </r>
  </si>
  <si>
    <t>Automatic discretization (equal frequency binning), expert-derived categories/thresholds</t>
  </si>
  <si>
    <r>
      <rPr>
        <rFont val="Arial"/>
        <color theme="1"/>
        <sz val="10.0"/>
      </rPr>
      <t xml:space="preserve">["4|PROPOSED APPROACH In this section, </t>
    </r>
    <r>
      <rPr>
        <rFont val="Arial"/>
        <b/>
        <color theme="1"/>
        <sz val="10.0"/>
      </rPr>
      <t>we present the proposed approach that employs BNs (Bayesian Networks) and ARs (Association Rules) for performing probability inference and addressing causality in the context of software maintenance</t>
    </r>
    <r>
      <rPr>
        <rFont val="Arial"/>
        <color theme="1"/>
        <sz val="10.0"/>
      </rPr>
      <t>. The proposed approach contains three main phases: (1) data collection and preparation, (2) BN and ARs model extraction and evaluation, and (3) evidence‐based estimation and inference.(...) For automatically deriving the BN model, there are a number of freely available tools such as Genie and Weka.‡In this study, we selected Genie because it provides a variety of parameterization options, it allows the modeler to insert expert knowledge, and it also allows evidence‐basedupdates of the models. After the extraction of the BN model, the evaluation of the fitting accuracy of the model (step 2.2) proceeds. This is necessaryin order to identify cases, where the BN model is not able to accurately estimate the variables of interest and focus on the specific classes of values that are misclassified. (...) "] ["6|RESULTSIn this section, we present the results of the case study performed on five JS applications to evaluate the accuracy and efficiency of the proposed approach. At first, we exemplify the proposed approach, presented in Section 4, for assessing the maintainability of an application and monitoring the maintenance process (Section 6.1). In Section 6.2, we evaluate the maintenance models derived previously for the five applications and answer the two RQs.6.1</t>
    </r>
    <r>
      <rPr>
        <rFont val="Arial"/>
        <b/>
        <color theme="1"/>
        <sz val="10.0"/>
      </rPr>
      <t>|Creating the maintenance models</t>
    </r>
    <r>
      <rPr>
        <rFont val="Arial"/>
        <color theme="1"/>
        <sz val="10.0"/>
      </rPr>
      <t xml:space="preserve"> In the following subsections, we present an overview of the activities performed for modeling the maintainability and the maintenance indicators for JS applications by applying BNs inference and rule induction. In Section 6.1.1, we discuss the data collection process and the data preparation activities performed. In Section 6.1.2, we present the process of BN and AR model extraction and evaluation and the outputs of the two models.6.1.1|</t>
    </r>
    <r>
      <rPr>
        <rFont val="Arial"/>
        <b/>
        <color theme="1"/>
        <sz val="10.0"/>
      </rPr>
      <t>Data collection and preparation</t>
    </r>
    <r>
      <rPr>
        <rFont val="Arial"/>
        <color theme="1"/>
        <sz val="10.0"/>
      </rPr>
      <t xml:space="preserve"> Duringthe data collection (step 1.1) phase, we downloaded the successive releases of the five applications from the date when the first release was launched and collected the metrics presented in Table 3. Table 3 presents the name of each metric, a short description of the metric, and the method/tool used to derive the metric.</t>
    </r>
    <r>
      <rPr>
        <rFont val="Arial"/>
        <b/>
        <color theme="1"/>
        <sz val="10.0"/>
      </rPr>
      <t>We selected to employ these metrics for the following reasons</t>
    </r>
    <r>
      <rPr>
        <rFont val="Arial"/>
        <color theme="1"/>
        <sz val="10.0"/>
      </rPr>
      <t xml:space="preserve">:a) Regarding the internal source code metrics, </t>
    </r>
    <r>
      <rPr>
        <rFont val="Arial"/>
        <b/>
        <color theme="1"/>
        <sz val="10.0"/>
      </rPr>
      <t>we selected the metrics referred to recent studies assessing software maintainability.</t>
    </r>
    <r>
      <rPr>
        <rFont val="Arial"/>
        <color theme="1"/>
        <sz val="10.0"/>
      </rPr>
      <t xml:space="preserve">33,34 We employed metrics relevant to the source code size of an application, the modularity of the application, the redundancy (duplications in the code), and the source code complexity of the applications. </t>
    </r>
    <r>
      <rPr>
        <rFont val="Arial"/>
        <b/>
        <color theme="1"/>
        <sz val="10.0"/>
      </rPr>
      <t>Therefore, we selected the metrics referenced in these studies that belong to the aforementioned categories</t>
    </r>
    <r>
      <rPr>
        <rFont val="Arial"/>
        <color theme="1"/>
        <sz val="10.0"/>
      </rPr>
      <t>. Additionally, we considered two cumulative metrics,code smells and internal bugs, as high‐level indicators of the weaknesses in design and the reliability of the application correspondingly. Metrics though related to the object‐oriented nature of the language that are also studied in the context of software maintainability (like depth of inheritance tree, cohesion, etc.) were excluded. Because JS language untilECMAScript 6 supported an ad‐hoc procedure for defining and handling objects, it was not possible to extract object‐oriented metrics, formost of the versions analyzed. Though, we still managed to have in all the releases a measurement regarding the number of classes in eachrelease which is included in the analysis.b) Regarding the external quality indicators,the activity metrics, and the process metrics, we considered metrics that (1) take into account the open source software nature of the applications under study and (2) that can be accurately derived from Github repository from which the applications were retrieved. Therefore, we selected to include in the analysis the metrics like number of forks, number of developers, NoCom, etc,that were directly available from Github. We did not include the type of commit (bug fix, addition, deletion) because extracting such information would require the subjective judgment of the authors, especially when in most cases the commits are accompanied by single-line comments. (...) The final set of metrics was collected with the following process:•As a first step, we mined the webpage of Github projects to get general project information like release dates and several activity metrics like NoCom. We also extracted the synthesized variable duration that was derived by calculating the number of days between the release dates oftwo sequential releases.•Each release of the project was initially analyzed by SonarQube to get several source code complexity metrics and the maintainability assessment. The maintainability metric assessment is performed by SonarQube based on the technical debt ratio, that is the ratio between the effortto develop the application and the effort to fix all maintainability issues presented in the application. SonarQube has been employed in other studies as well within the context of software maintainability1,35and technical debt.36More details about the calculation of maintainability canbe found in SonarQube's documentation. Then, each release of the project was analyzed by JSClassFinder37to get several source codesizeand modularity metrics. •As a last step, we calculated the value of thechangesvariable that represents the number of functions that have been added, changed, orremoved in total between two successive releases. This value has been extracted by using the“git diff”command of git with a similar approachto Mens et al.38(...)"] ["</t>
    </r>
    <r>
      <rPr>
        <rFont val="Arial"/>
        <b/>
        <color theme="1"/>
        <sz val="10.0"/>
      </rPr>
      <t>Our rationale behind selecting these metrics was based on the find-ings of current literature33and the special characteristics of JS programming language</t>
    </r>
    <r>
      <rPr>
        <rFont val="Arial"/>
        <color theme="1"/>
        <sz val="10.0"/>
      </rPr>
      <t>."] ["We then proceeded with the discretization of the variables that presented continuous values. The</t>
    </r>
    <r>
      <rPr>
        <rFont val="Arial"/>
        <b/>
        <color theme="1"/>
        <sz val="10.0"/>
      </rPr>
      <t xml:space="preserve"> discretization process </t>
    </r>
    <r>
      <rPr>
        <rFont val="Arial"/>
        <color theme="1"/>
        <sz val="10.0"/>
      </rPr>
      <t xml:space="preserve">was performed in our case as follows: 1) In the case of the </t>
    </r>
    <r>
      <rPr>
        <rFont val="Arial"/>
        <b/>
        <color theme="1"/>
        <sz val="10.0"/>
      </rPr>
      <t>independent variables</t>
    </r>
    <r>
      <rPr>
        <rFont val="Arial"/>
        <color theme="1"/>
        <sz val="10.0"/>
      </rPr>
      <t xml:space="preserve"> with continuous values, we selected to perform equal frequency binning. The number of intervals was defined to be five approximating very low values, low values, average values, high values, and very high values. (...) 2) In the case of the </t>
    </r>
    <r>
      <rPr>
        <rFont val="Arial"/>
        <b/>
        <color theme="1"/>
        <sz val="10.0"/>
      </rPr>
      <t>dependent variables</t>
    </r>
    <r>
      <rPr>
        <rFont val="Arial"/>
        <color theme="1"/>
        <sz val="10.0"/>
      </rPr>
      <t xml:space="preserve">, we differentiated the discretization approach. As mentioned in Peng et al,31 </t>
    </r>
    <r>
      <rPr>
        <rFont val="Arial"/>
        <b/>
        <color theme="1"/>
        <sz val="10.0"/>
      </rPr>
      <t>discretization according to intuition</t>
    </r>
    <r>
      <rPr>
        <rFont val="Arial"/>
        <color theme="1"/>
        <sz val="10.0"/>
      </rPr>
      <t xml:space="preserve"> is more appropriate for simple and practically meaningful real data sets, especially in the case of the dependent variables, and it is less vulnerable to outliers. Therefore, for the dependent variables, we selected the interval classes as following: (1) Because the maintainability variable presented in most cases values concentrated within a certain range (see the boxplots of Figure 3), we selected three intervals as proxies of high, average, and low maintainability. The cutting‐off points were decided based on the empirical distributions of the values considering the 25% and 75% percentile values. (2) For the duration and changes variables, which present larger deviations in their values, we selected five intervals so as to handle more effectively the outlier values. The cutting‐off points for the effort variable were decided based on the empirical distributions of the values considering the 25% and 75% percentile values and the upper and lower bounds defined in the whiskers of the boxplots. The cutting‐off points for the duration variable were decided based on the empirical distributions of the values considering the 25%, 50%, and 75% percentile values and the upper bounds defined in the whiskers of the boxplots because the lower whisker is almost the same as the lowest values of the observation belonging to the 1st percentile."]</t>
    </r>
  </si>
  <si>
    <r>
      <rPr>
        <rFont val="Arial"/>
        <color theme="1"/>
        <sz val="10.0"/>
      </rPr>
      <t>["A simple BN example is presented in Figure 1. The model consists of two nodes. The first node (NoC) represents the number of classes in a software application, and the second node (Maintainability) represents the maintainability of the application measured with the help of experts, ie, an expert assigns a maintainability value that ranges from 0, which is an excellent maintainability indicator to values higher than 3 that are considered poor maintainability indicators). We consider that the values of these two nodes fall into two discrete categories (low and high). For the node NoC, let us suppose that low values range between 1 class and 10 classes. For example, the first column of the CPT states that if the number of classes is low, then there is 70% probability that the maintainability will be high and 30% probability that the maintainability will be low. The tool used for constructing the networks and the classifier was Genie modeler* .</t>
    </r>
    <r>
      <rPr>
        <rFont val="Arial"/>
        <b/>
        <color theme="1"/>
        <sz val="10.0"/>
      </rPr>
      <t>The algorithm used for learning BNs is analytically presented in Druzdzel.</t>
    </r>
    <r>
      <rPr>
        <rFont val="Arial"/>
        <color theme="1"/>
        <sz val="10.0"/>
      </rPr>
      <t xml:space="preserve">25"] ["6.1.2 | Bayesian network and association rules model extraction and evaluation </t>
    </r>
    <r>
      <rPr>
        <rFont val="Arial"/>
        <b/>
        <color theme="1"/>
        <sz val="10.0"/>
      </rPr>
      <t>In this phase, as a first step of the analysis, we derived the Bayesian networks (step 2.1) based on the maintenance data collected for the five applications</t>
    </r>
    <r>
      <rPr>
        <rFont val="Arial"/>
        <color theme="1"/>
        <sz val="10.0"/>
      </rPr>
      <t xml:space="preserve">. The order of the variables was set according to the proposed approach (see Section 4.2) considering that for each new release, we are aware, in time order, of the following: The number of bugs identified in the previous release, the activity so far by the developers, and the NoCom, size metrics, complexity metrics, maintainability, and lastly maintainability indicators. The resulting networks for all five applications are presented in Figure 4. Further on in this section, we will exemplify the proposed approach on JQuery application. In JQuery application, we see that among the most important maintenance drivers, we find LoC metric as a representative of the size metrics, influencing maintainability by 36%, and we also see the NoCom as a representative of the development team, influencing maintainability by 37%, and the code smells influencing maintainability by 15%. Additionally, we can observe that maintainability influences the changes by 29% and the duration by 29% which is also influenced by the LoC metric by 27%. </t>
    </r>
    <r>
      <rPr>
        <rFont val="Arial"/>
        <b/>
        <color theme="1"/>
        <sz val="10.0"/>
      </rPr>
      <t>Tables A1–A3 of the Appendix present indicatively the CPTs for the three dependent variables for JQuery application</t>
    </r>
    <r>
      <rPr>
        <rFont val="Arial"/>
        <color theme="1"/>
        <sz val="10.0"/>
      </rPr>
      <t xml:space="preserve">."] We can infer from the article that the CPTs are constructed automatically from the collected data using an automated tool. The appendix only provides the CPTs without detailing the method used to derive them. </t>
    </r>
  </si>
  <si>
    <t xml:space="preserve">Statistical measures (Mean magnitude relative error (MMRE), Pred(k) metric, accuracy metric, precision metric, recall metric) </t>
  </si>
  <si>
    <r>
      <rPr>
        <rFont val="Arial"/>
        <color rgb="FF000000"/>
        <sz val="10.0"/>
      </rPr>
      <t xml:space="preserve">In this work, a complete case study is conducted to evaluate the model. ["5|CASE STUDY DESIGNIn this section, we present the design of the case study performed to examine the effectiveness of the proposed approach in modeling the relationships among the various maintainability indicators (internal/external quality metrics and process metrics), as presented in Section 4, on(1) the actual maintainability rating of applications as assessed by SonarQube tool and (2) on the amount of changes and the time required forthe subsequent, following‐up release of an application. The case study was performed following the guidelines of Runeson et al32. In the following subsections, we present the research questions, the data collection process, and the data analysis method employed.5.1|Research questionsThe main goal of this study is to create and evaluate a decision support tool, employing BN and ARs that will aid software practitioners to identifythe most important maintainability indicators in the context of the application environment of interest helping them to monitor and plan mainte-nance activities. (...) 5.2|Case selection and data collection process </t>
    </r>
    <r>
      <rPr>
        <rFont val="Arial"/>
        <b/>
        <color rgb="FF000000"/>
        <sz val="10.0"/>
      </rPr>
      <t>In order to evaluate the proposed approach, in terms of estimation accuracy, we analyzed release data coming from five popular JS applicationshosted in Github§repository</t>
    </r>
    <r>
      <rPr>
        <rFont val="Arial"/>
        <color rgb="FF000000"/>
        <sz val="10.0"/>
      </rPr>
      <t>. (...) 5.3|</t>
    </r>
    <r>
      <rPr>
        <rFont val="Arial"/>
        <b/>
        <color rgb="FF000000"/>
        <sz val="10.0"/>
      </rPr>
      <t xml:space="preserve">Evaluation process </t>
    </r>
    <r>
      <rPr>
        <rFont val="Arial"/>
        <color rgb="FF000000"/>
        <sz val="10.0"/>
      </rPr>
      <t xml:space="preserve">To evaluate the proposed approach in terms of accuracy and representativeness, we split each of the five data sets, representing the five JS appli-cations, into two sets the training set and the test set. The training set will be used to create the predictive models and the test set will be used to evaluate the models. In all of the applications, we employed 70% of the early releases as a training set while the rest 30% of releases (the mostrecent ones) were used as a test set for evaluation purposes. To answer the first RQ, we will assess the value ofmaintainabilitymetric, which willbe the dependent variable. In the second RQ, the dependent variables are thechangesandduration, that serve as indicators of the level of changesand the time required between successive releases, that will be the dependent variables. </t>
    </r>
    <r>
      <rPr>
        <rFont val="Arial"/>
        <b/>
        <color rgb="FF000000"/>
        <sz val="10.0"/>
      </rPr>
      <t>The evaluation process reporting of the empirical resultswill be performed, by comparing the estimations provided for the three variables (1) by the BN model and (2) the combined BN, AR model to theactual values of the variables.</t>
    </r>
    <r>
      <rPr>
        <rFont val="Arial"/>
        <color rgb="FF000000"/>
        <sz val="10.0"/>
      </rPr>
      <t xml:space="preserve"> In an attempt to evaluate both regression and classification accuracy of the methods, we adopt two regression accu-racy metrics and three classification accuracy metrics. For assessing the regression accuracy of the methods, we need to transform back into a“single point estimate”the value of the class estimated. For this purpose, we use the median point of the suggested interval that a class estimatesthat is considered as the“single point estimate.”The two metrics used </t>
    </r>
    <r>
      <rPr>
        <rFont val="Arial"/>
        <b/>
        <color rgb="FF000000"/>
        <sz val="10.0"/>
      </rPr>
      <t>to calculate the regression accuracy</t>
    </r>
    <r>
      <rPr>
        <rFont val="Arial"/>
        <color rgb="FF000000"/>
        <sz val="10.0"/>
      </rPr>
      <t xml:space="preserve"> of the models are•</t>
    </r>
    <r>
      <rPr>
        <rFont val="Arial"/>
        <b/>
        <color rgb="FF000000"/>
        <sz val="10.0"/>
      </rPr>
      <t>Mean magnitude relative error (MMRE)</t>
    </r>
    <r>
      <rPr>
        <rFont val="Arial"/>
        <color rgb="FF000000"/>
        <sz val="10.0"/>
      </rPr>
      <t>that shows the magnitude of the difference between the actual value and the estimate. The MMRE isdefined as follows:(...) •</t>
    </r>
    <r>
      <rPr>
        <rFont val="Arial"/>
        <b/>
        <color rgb="FF000000"/>
        <sz val="10.0"/>
      </rPr>
      <t>Pred(25) metric</t>
    </r>
    <r>
      <rPr>
        <rFont val="Arial"/>
        <color rgb="FF000000"/>
        <sz val="10.0"/>
      </rPr>
      <t xml:space="preserve">: The prediction within 25%, PRED (25), shows the percentage of cases that are estimated within 25% of the actual value.In order to assess the </t>
    </r>
    <r>
      <rPr>
        <rFont val="Arial"/>
        <b/>
        <color rgb="FF000000"/>
        <sz val="10.0"/>
      </rPr>
      <t>classification accuracy</t>
    </r>
    <r>
      <rPr>
        <rFont val="Arial"/>
        <color rgb="FF000000"/>
        <sz val="10.0"/>
      </rPr>
      <t xml:space="preserve"> of the proposed approach, we calculate the following metrics:•</t>
    </r>
    <r>
      <rPr>
        <rFont val="Arial"/>
        <b/>
        <color rgb="FF000000"/>
        <sz val="10.0"/>
      </rPr>
      <t>Accuracy metric</t>
    </r>
    <r>
      <rPr>
        <rFont val="Arial"/>
        <color rgb="FF000000"/>
        <sz val="10.0"/>
      </rPr>
      <t>: Is the ratio between the correctly classified instances to the total number of instances used for evaluation purposes. It can bedefined as follows:Accuracy¼ccNwhereccis the number of correctly classified instances andNis the number of instances in the test set.•</t>
    </r>
    <r>
      <rPr>
        <rFont val="Arial"/>
        <b/>
        <color rgb="FF000000"/>
        <sz val="10.0"/>
      </rPr>
      <t>Precision metric</t>
    </r>
    <r>
      <rPr>
        <rFont val="Arial"/>
        <color rgb="FF000000"/>
        <sz val="10.0"/>
      </rPr>
      <t>: Is the ratio between the correct classifications performed for a particular class of the dependent variable to the total number ofclassifications performed pointing to this class. It can be defined based on the number of true positives and false positives as follows:Precision¼tptpþfpwheretpis the number of true positives andfpis the number of false positives for a particular class.•</t>
    </r>
    <r>
      <rPr>
        <rFont val="Arial"/>
        <b/>
        <color rgb="FF000000"/>
        <sz val="10.0"/>
      </rPr>
      <t>Recall metric</t>
    </r>
    <r>
      <rPr>
        <rFont val="Arial"/>
        <color rgb="FF000000"/>
        <sz val="10.0"/>
      </rPr>
      <t>: Is the ratio between the correct classifications performed for a particular class of the dependent variable to the total number ofobservations belonging to this class. It can be defined based on the number of true positives and false positives as follows:(...)"]</t>
    </r>
  </si>
  <si>
    <t>Selection of variables from a dataset, lifecycle model</t>
  </si>
  <si>
    <t>["A. The ProPRED Input The ProPRED input may be the probability distribution and/or deterministic values of the influential factors and software size. In this paper, we take the influential factors as the focus of the model, and we will not discuss the input of size in detail. Factors from COQUALMO are selected according to their cause-effect relationship with defects as the subset of major influential factors and will be done in two steps. Step 1: Determine the relative impact of quality of the four basic activities (Analyze and Design, Development, Maintain, and Review and Test) on defects. The quality of the four basic activities has straight impact on defects introduced, defects found and removed. In [11], the influential factors introducing defects are Software Size and Designing Workload, and in [8], the influential factors are considered only Design Effort and Problem Complexity, while in COQUALMO, that mainly introduced by requirement, designing and coding. The quality of Analyze and Design, and Development may affect the defects introduce; Review and Test always act as defects finder; and while Maintenance has frequently been fixing and removing the defects, it also might introduce some defects. Step 2: Identify the factors influencing the quality of the four types of activities and their influential degree. By analyzing the COQUALMO model and the actual project characteristics, we have identified the above factors as shown in Table I that impact the quality of activities in the software development. For the above 13 influential factors, we can define their states in an ordinal way, such as {very high, high, normal, low, very low}. The state has its practical meaning, for example, if the variable D_M has a “very high” state, it practically means the development process has a high maturity according to the maturity level. However, different states of the variables may have different meanings and their mappings from the state to the meaning may be different. Considered the variable effect to the influenced activities, the mapping may be from low to high or high to low, which is based on the effect of being negative or positive. In the example project, the above 13 influential factors (the input nodes in BN, shown in Figure 2.) whose probability is determined according to the above qualitative principles as also shown in Table I, can be calibrated with the Delphi method."]</t>
  </si>
  <si>
    <t>The short explanation of the CPTs construction refers to the article about the Ranked Nodes method.</t>
  </si>
  <si>
    <t>The paper has a section entitled "Case study" but only demonstrates an usage example of the model. ["III. CASE STUDY The following parts give one case study of the ProPRED in our lab projects. The study shows that ProPRED can be easily used in practice and convenient in controlling quality process. In the case study, the given number of the defects found and removed is 40, and the required quality target is that the number of defects/ KLOC (thousands of Lines Of Code) should be no more than 0.2. Now, we have got the evidence that the actual amount of code has reached 18.1 KLOC, and it is known by calculating that the residual defects are required to be no more than 3.62. Table IV shows the initial state and the probability value of the input nodes, and Figure 5. illustrates the probability distribution of the residual defects predicted by the model. The following probability values in Table IV, are acquired by expert experience about the projects according to the qualitative principles (as shown in Table I). The mean value of the amount of residual defects is 4.85, which is near the target number of 3.62. However, besides the defect interval of [0.0, 0.6], another interval of [11.4, 12.0] is also shown in a higher probability than many of the others. By analyzing the influential factors based on the reasoning of BN, we come to conclusion that some factors with “very low” probability would affect the quality of Analyze and Design, and Development. This information can be provided to help decision-making. It has been validated by experiment that we could reduce the risk (defects interval of [11.4, 12.0] with the probability over 0.12 as shown in Figure 5. down to below 0.04 as shown in Figure 6. and the mean of defects down from 4.85 to 2.3693) by improving the quality of Analyze and Design, and Development from “very low” to “high”, in other word, the method we adopt to reduce risk probability appears to be helpful."]</t>
  </si>
  <si>
    <t>The authors simply presented the BN nodes. ["Figure 1 shows one version of a hybrid BN model that combines quantitative testing data results with subjective (qualitative) expert judgment about program-specific aspects such as: architectural stability, complexity, code design, test quality, and time to develop system or release. Quantitative data represents SW defects (faults) captured as software change requests. The output of the model is labeled SW Fault Probability. This is notionally related to SW Reliability. The objective is to predict the total number of faults that are likely to exist in the system at some future point in time based on the known defects and qualitative factors. The first model was developed and refined using known historical data to validate the model for future use on current or new projects and programs. The historical data included product defects captured at different SW release points in time spanning 2003 to 2009. The model inputs required the subjective judgment to be specified at these different release points associated with the historical defect data. This historical data was used to validate that the model accurately predicted the number of defects at some future point in time from earlier defect data. "]</t>
  </si>
  <si>
    <t>Although not explicitly stated, it seems that the Ranked Nodes method was used.</t>
  </si>
  <si>
    <t>Focus group, lifecycle model</t>
  </si>
  <si>
    <t>["5.1. Causal Factor Elicitation Given that software metrics plans [5] does not usually cover all the factors driving product quality we cannot quantify the cause-effect relations using only classical statistical analysis of large data sets. Even when we have data we do not want to be influenced or limited to existing metrics; we rather use standard brainstorming techniques with process experts to elicit all potential input factors driving a particular aspect related to software quality or the effectiveness of defect removal activity. We then qualify each factor with a precise definition, a data type (categorical, continuous) and a scale before we use it in further elicitation of probability distributions and relations. The next step is to establish cause-effect relationships between each of the factors. The direction of the arcs connecting the nodes is determined by cause-effect logic. In a way similar to affinity diagram construction, intermediates nodes are used to represent a group of factors. Often we create extra intermediate nodes to improve graph readability and reduce relation complexity. Progressively we build the model structure by connecting them to the output nodes. The model graph is created through the graphical user interface of the Netica tool [19]. "]</t>
  </si>
  <si>
    <t xml:space="preserve">The authors developed a method and a tool, but no details are provided. </t>
  </si>
  <si>
    <t>["We ran a number of pilots with different partners. They selected a number of recent projects where the outcome was known (number of defects founds, etc…) and also where it was possible to determine retrospectively the other unavailable factors. The number of components in each project pilot ranged from 5 to 16; each corresponding original development team was asked to provide a data set for the model inputs. After careful review and analysis of the data we ran the model to produce defects predictions that were compared to actual outcome of each of the projects: depending on the pilot, 63% to 88% of the predictions fell within 25% of the actual values. These results were very promising for this domain of software defect prediction."]</t>
  </si>
  <si>
    <t>Risk-centric modeling</t>
  </si>
  <si>
    <t>["V. RESULTS A. Risk Identification Project risks could be defined as uncertain events or conditions that hold a positive or negative effect on at least one of projects objectives – time, cost, scope or quality. A risk factor is any attribute, characteristic or exposure that increases the likelihood of project to succeed or fail. Even though risk management is not mandatory in agile projects, there are multiple risk factors that could be defined for iterative development projects related to integrated risk management [11], [14], [15]. Risk factors for agile projects usually are unclear objectives, ineffective stand-up meetings, inadequate prioritisation of requirements [14], etc. We use different risk factors for agile software delivery risk identification (see Table II) to formally describe the main problems of the project (see Section IV). B. The Construction and Validation of BN The software delivery model is constructed on theoretical restrictions mentioned in Section III, the software delivery journal containing delivery data for the last six months (see Table I) and risk factor analysis explaining the actual situation of the project (see Table II). In addition, an important step is also to make a quantitative risk analysis. In our case, we use probability matrices for each node of the network taking into account experience and daily observations on the occurrence of risk factors. Fig. 3 represents the constructed network describing software delivery. The formal description of BN  results in the probability of each event, taking into account the direct descendants. Bayes Server1 software is used to evaluate the risk model. After determining probabilities of all events, the probability of unsuccessful delivery Pu was evaluated as Pu = 64.94 % (i.e., project success probability was 35.06 %). To validate the evaluation results, Pu was compared to data recorded in the delivery journal (see Table I). "]</t>
  </si>
  <si>
    <t>["After determining probabilities of all events, the probability of unsuccessful delivery Pu was evaluated as Pu = 64.94 % (i.e., project success probability was 35.06 %). To validate the evaluation results, Pu was compared to data recorded in the delivery journal (see Table I). Additionally, the number of requests returned by the client versus the total number of requests was compared on a weekly basis. Fig. 4 represents the total number of supplier’s requests and number of successfully and unsuccessfully delivered requests. Fig. 5 shows unsuccessfully delivered requests as a percentage of number of requests delivered. The percentage of unsuccessfully delivered requests over 27 weeks is 65.35 %. That indicates that the actual percentage of the unsuccessful deliveries is close to the estimated probability Pu and the risk model can be perceived as adequate for the given problem situation."]</t>
  </si>
  <si>
    <r>
      <rPr>
        <rFont val="Arial"/>
        <color rgb="FF000000"/>
        <sz val="10.0"/>
      </rPr>
      <t xml:space="preserve">["The model structure and parameters are established based on the information applicable to safetyrelated systems and expert elicitation. "] ["2. Model development This study aims to develop a BBN model that estimates the probability of software failure based on observations of the quality of the development and V&amp;V activities throughout the SDLC. Fig. 1 shows the key steps in model development, which consist of three phases of expert elicitation. First phase of expert elicitation was used to identify the attribute that were carried out to accomplish the functions of each SDLC phase and represents qualities of software development and V&amp;V activities. In addition, the causal relationships represented by the BBN structure was verified. The second phase of expert elicitation were used to quantify the model parameters which are applicable to generic safety-related software. In the third elicitation, software-specific observations were applied to the model and were used to provide input values of nodes specific to a target software application system based on the evidence from a particular software."] ["3. Description of the BBN parameters As previously discussed, key parameters including attributes, software development and V&amp;V, the number of FPs, the number of defects, and the defect detection probability nodes are introduced as the evidence (the nodes in the BBN model) to quantify the number of defects remaining at the last phase of the SDLC. A detailed description of each BBN model parameter is discussed in the following sections. 3.1. Attribute nodes An attribute node is a node representing the quality in carrying out one or a collection of activities associated with the software development and V&amp;V process. </t>
    </r>
    <r>
      <rPr>
        <rFont val="Arial"/>
        <b/>
        <color rgb="FF000000"/>
        <sz val="10.0"/>
      </rPr>
      <t>The major source used to identify the attributes and their associated activities is IEEE Std. 1012 on V&amp;V (IEEE, 2012), as well as many other guidance reports and standards including IEC 60880, DO-178C, NUREG/CR-6101, and BTP-14 (NRC, 2007, 2013; RTCA, 2012; Lawrence, 1993; IEC, 2006)</t>
    </r>
    <r>
      <rPr>
        <rFont val="Arial"/>
        <color rgb="FF000000"/>
        <sz val="10.0"/>
      </rPr>
      <t xml:space="preserve">... </t>
    </r>
    <r>
      <rPr>
        <rFont val="Arial"/>
        <b/>
        <color rgb="FF000000"/>
        <sz val="10.0"/>
      </rPr>
      <t xml:space="preserve">Since each attribute node represents the quality in carrying out the associated or required activities (i.e. the attribute quality), the attribute nodes are modeled with the three states in the BBN model, as defined below: </t>
    </r>
    <r>
      <rPr>
        <rFont val="Arial"/>
        <color rgb="FF000000"/>
        <sz val="10.0"/>
      </rPr>
      <t xml:space="preserve">- </t>
    </r>
    <r>
      <rPr>
        <rFont val="Arial"/>
        <b/>
        <color rgb="FF000000"/>
        <sz val="10.0"/>
      </rPr>
      <t>High: In addition to satisfactorily carrying out the required activities, additional activities are undertaken that are expected to significantly improve the quality of the work, and enhance the software’s reliability. - Medium: All required (or equivalent) activities are satisfactorily carried out. - Low: Some of the required activities are not carried out satisfactorily.</t>
    </r>
    <r>
      <rPr>
        <rFont val="Arial"/>
        <color rgb="FF000000"/>
        <sz val="10.0"/>
      </rPr>
      <t xml:space="preserve">(...) 4. Expert elicitation for the BBN model evaluation In this study, three phases of expert elicitations were performed as a part of the construction and quantification of the BBN model. They include </t>
    </r>
    <r>
      <rPr>
        <rFont val="Arial"/>
        <b/>
        <color rgb="FF000000"/>
        <sz val="10.0"/>
      </rPr>
      <t>elicitations on; 1) the structure of the BBN model</t>
    </r>
    <r>
      <rPr>
        <rFont val="Arial"/>
        <color rgb="FF000000"/>
        <sz val="10.0"/>
      </rPr>
      <t xml:space="preserve">, 2) the parameters of the model, and, 3) specific evidence of the specific application software. </t>
    </r>
    <r>
      <rPr>
        <rFont val="Arial"/>
        <b/>
        <color rgb="FF000000"/>
        <sz val="10.0"/>
      </rPr>
      <t>In the first expert elicitation, BBN experts were consulted on theoretical questions such as verifying the causal relationship in the BBN model and the adequacy of the model.</t>
    </r>
    <r>
      <rPr>
        <rFont val="Arial"/>
        <color rgb="FF000000"/>
        <sz val="10.0"/>
      </rPr>
      <t xml:space="preserve"> In the second elicitation, experts from seven different organizations with hands-on experience in development and V&amp;V of NPP safety graded software were used to estimate the NPTs of the BBN nodes. After the first two elicitations, a BBN model applicable to generic safety-related software was developed. In the third elicitation, the NPTs specific to a target safety-related software program was estimated by aggregating experts’ opinions to estimate the number of remaining faults and failure-probability of the target software. The following sections provide the detailed description of each expert elicitation stages related to BBN model construction and NPT quantification of the BBN nodes. 4.1.</t>
    </r>
    <r>
      <rPr>
        <rFont val="Arial"/>
        <b/>
        <color rgb="FF000000"/>
        <sz val="10.0"/>
      </rPr>
      <t xml:space="preserve"> Expert elicitation phase I – BBN model structure</t>
    </r>
    <r>
      <rPr>
        <rFont val="Arial"/>
        <color rgb="FF000000"/>
        <sz val="10.0"/>
      </rPr>
      <t xml:space="preserve"> </t>
    </r>
    <r>
      <rPr>
        <rFont val="Arial"/>
        <b/>
        <color rgb="FF000000"/>
        <sz val="10.0"/>
      </rPr>
      <t>The objective of the first phase of elicitation is to verify; 1) the causal relationship of the nodes in the developed BBN model, 2) that the BBN structure meets the associated dependence and conditional independence requirements, and 3) the adequacy of the model in capturing important attributes of the SDLC.</t>
    </r>
    <r>
      <rPr>
        <rFont val="Arial"/>
        <color rgb="FF000000"/>
        <sz val="10.0"/>
      </rPr>
      <t xml:space="preserve"> </t>
    </r>
    <r>
      <rPr>
        <rFont val="Arial"/>
        <b/>
        <color rgb="FF000000"/>
        <sz val="10.0"/>
      </rPr>
      <t>Experts on software development and V&amp;V activities were identified, with answers and comments from the experts taken into consideration in finalizing the BBN model.</t>
    </r>
    <r>
      <rPr>
        <rFont val="Arial"/>
        <color rgb="FF000000"/>
        <sz val="10.0"/>
      </rPr>
      <t xml:space="preserve"> </t>
    </r>
    <r>
      <rPr>
        <rFont val="Arial"/>
        <b/>
        <color rgb="FF000000"/>
        <sz val="10.0"/>
      </rPr>
      <t>In the elicitation, the experts were provided a description of the preliminary BBN model that represents the causal relationships between attributes and the number of residual defects. In a questionnaire, experts were asked to review the BBN model, and comment on the causal relationships in the model and the use of the attributes, etc. Following the provided responses, the changes were made to the BBN model that addressed the experts’ comments</t>
    </r>
    <r>
      <rPr>
        <rFont val="Arial"/>
        <color rgb="FF000000"/>
        <sz val="10.0"/>
      </rPr>
      <t>. The BBN model presented in this study Figs. 2, 3, and 5 already reflects these changes."]</t>
    </r>
  </si>
  <si>
    <t>Survey with practitioners, literature review</t>
  </si>
  <si>
    <t>["4.2. Expert elicitation phase II – Generic parameters of the BBN model The objective of the second phase of expert elicitation is to estimate the prior distributions of the root nodes and the NPTs of the child nodes in the BBN model. Since these parameters are those of safety-related software, potential experts mainly in the nuclear industry with experience in managing and developing safety-related software were identified, and seven experts participated in the elicitation to estimate the parameters used in the BBN model. The questionnaire in the second elicitation included a brief description of the developed BBN model, definition of the terms, explanation of the questions, and tables for the experts to fill out. Due to the fact that each expert may have limited experience with the quantitative information associated with the class of safety-related software covered in the BBN model, it was indicated that if an expert was not comfortable answering some of the questions, they did not have to provide an answer. While some of the answers provided by the experts could be directly entered into the BBN model, others required additional processing. For example, when asking about fault detecting probability, the experts were asked to estimate three different percentiles (i.e. the 5th, 50th, and 95th percentile) which then had to be further converted to a probability distribution for the quantification of NPTs in the BBN model using the WinBUGS tool (Spiegelhalter et al., 2003). In addition, the effect of software size and complexity on fault detection probability was represented as the coefficient of the base case detection probability. That is, experts were asked to provide the detection probability for the Medium state of V&amp;V quality, and then, to provide coefficients for the High and Low states. The NPTs estimated from the second round of expert elicitation were further Bayesian updated using handbook data on U.S. software development experiences on software defect potentials and defect detection efficiency (Jones, 2008). In addition, the limited amount of development and V&amp;V data for the two trial nuclear systems, namely; 1) the Loop Operating Control System (LOCS) of the Advanced Test Reactor (ATR) at Idaho National Laboratory (2014), and 2) the prototype IDiPS-RPS developed by the Korea Atomic Energy Research Institute (KAERI) (Eom et al., 2010) were also used to Bayesian update the original NPTs estimated from the expert elicitation."]</t>
  </si>
  <si>
    <t>It provides an application example. ["6.2. Application of the BBN model to IDiPS-RPS From the third round of expert elicitation regarding the NPT quantification for IDiPS-RPS software, the development and V&amp;V activities carried out during the IDiPS-RPS development process were evaluated. The expert who was involved in the IDiPS-RPS development evaluated the development and V&amp;V quality of the target software. The development experience of the expert is related to the prototype of the IDiPS-RPS rather than its final version that is planned to be adopted in the digitalized NPPs after thorough revision. Table 4 shows the evaluation results for the prototype IDiPS-RPS. It is notable that the attributes in Installationand-Checkout phase were assumed to have Medium state since there is no data for the Installation-and-Checkout phase since the IDiPS-RPS had not yet been installed(...) Based on the attribute quality and the number of FPs estimated for the target software, the number of faults was evaluated in case of the IDiPS-RPS BP software and evaluation results are shown in Tables 6–11. In the evaluation, it was assumed that the BP software has the mean source statements per FP. Tables 6 and 7 show the posterior distribution for development quality and V&amp;V quality. Table 8 shows the number of defects introduced in each phase of developing the IDiPS-RPS. Table 9 shows the estimated number of defects remaining at the end of each phase. Tables 10 and 11 show the detection probabilities for defects introduced in the current and previous phases, respectively. (...) Although the IDiPS-RPS is a safety-critical system, many attributes were evaluated to have Low states, meaning some of the required activities were not carried out satisfactorily. It must be noted that the IDiPS prototype was evaluated in this study and its SDLC is less vigor than the final IDiPS product. The number of faults remaining at the end of the Installation-and-Checkout phase given in Table 9 was used with the FSD in Table 3 to obtain a distribution for the probability of software failure on-demand for the IDiPS-RPS, as shown in Table 14 below. However, it is notable that due to the proprietary nature of the example software and its development process, the number of defects remaining and failure probabilities reported in this study are based on limited information for demonstration purpose only."] ["To evaluate the feasibility of the proposed BBN framework for assessing the software failure probabilities, the model is applied to an example system, namely the Integrated Digital Protection System–Reactor Protection System (IDiPS-RPS) developed by the Korea Nuclear Instrumentation and Control System (KNICS) project. When applied to a specific software program, experts scored the software attributes and the scores were used to obtain a node probability tables (NPTs) for the development and V&amp;V quality nodes of a target software. In addition, software-specific data including the number of function points (FPs) as a measure of software size and complexity were estimated and used to produce a specific result for a reliability assessment of the software program being analyzed."]</t>
  </si>
  <si>
    <t>["The BBN model for each phase of the five software development phases has two nodes that represent, respectively, the overall quality of software development, and the V&amp;V. The development team carries out the development activities, while the V&amp;V team undertakes an independent V&amp;V of these activities. Each such node has a few child (attribute) nodes representing the quality in carrying out the required activities associated with this attributes.  These required activities were identified by reviewing various guidance and requirement documents. The main source used to identify these activities is the IEEE standard on V&amp;V, i.e., IEEE Standard 1012 (the 2004 version of which is endorsed by the Regulatory Guide 1.168).  Many other guidance and standards were used including IEC 60880, DO-178C, NUREG/CR-6101, and BTP-14. The activities from these standards are used to complement those defined in IEEE 1012 and references to them are provided where they are used.  The latest revisions of the regulations and standards are used in developing the attributes and associated activities.  Often, the development team carries out the development activities, while the V&amp;V team performs an independent V&amp;V of the same activities.  In some cases, Informative information of a standard was used as required activities, and this is specifically pointed out.  The Informative information is not a requirement, and alternative means can be used to accomplish the same objective.  Additional standards, including ASME NQA-1 and DOE G414, were also reviewed but not included as they were covered by previous standards.  As a result of the process described above, the identified required activities are more complete than those of individual guidance or standard. The node probability tables (NPTs) in the BBN model were developed through expert opinion elicitations. Seven experts who have computer science and experience of NPP software development were chosen to estimate the NPTs.  "]</t>
  </si>
  <si>
    <t xml:space="preserve">["The node probability tables (NPTs) in the BBN model were developed through expert opinion elicitations. Seven experts who have computer science and experience of NPP software development were chosen to estimate the NPTs."]  </t>
  </si>
  <si>
    <t>Survey with practitioners, grounded theory</t>
  </si>
  <si>
    <t>Automatic discretization (equiprobable intervals)</t>
  </si>
  <si>
    <r>
      <rPr>
        <rFont val="Arial"/>
        <color rgb="FF000000"/>
        <sz val="10.0"/>
      </rPr>
      <t xml:space="preserve">["II. RELATED WORK A. NaPiRE Initiative </t>
    </r>
    <r>
      <rPr>
        <rFont val="Arial"/>
        <b/>
        <color rgb="FF000000"/>
        <sz val="10.0"/>
      </rPr>
      <t>The survey data used for our analysis originates from the NaPiRE project</t>
    </r>
    <r>
      <rPr>
        <rFont val="Arial"/>
        <color rgb="FF000000"/>
        <sz val="10.0"/>
      </rPr>
      <t xml:space="preserve">, which was presented on several occasions [3], [5], [6]. Formerly a German initiative, </t>
    </r>
    <r>
      <rPr>
        <rFont val="Arial"/>
        <b/>
        <color rgb="FF000000"/>
        <sz val="10.0"/>
      </rPr>
      <t>it has incorporated a variety of teams of other nationalities since its inception and is now supported by RE researchers from all over the world</t>
    </r>
    <r>
      <rPr>
        <rFont val="Arial"/>
        <color rgb="FF000000"/>
        <sz val="10.0"/>
      </rPr>
      <t xml:space="preserve">. "] ["IV. APPROACH A. Assumptions and Design Decisions (...) B. Preprocessing The 2014 NaPiRE data was obtained from Figshare, as proposed by the project [23]. On request, the NaPiRE team provided the most recent data from the 2018 edition of the survey. A short summary of both data sets in terms of descriptive statistics is available in Table I; for more details, please refer to Méndez Fernández et al. [3]. </t>
    </r>
    <r>
      <rPr>
        <rFont val="Arial"/>
        <b/>
        <color rgb="FF000000"/>
        <sz val="10.0"/>
      </rPr>
      <t xml:space="preserve">Both consist of a set of context factor variables for each subject, which was generated from closed questions, and five answers to the problems-causes-effects question: the participants were asked to think of a recent project and to select five problems experienced in the project from a closed list. Afterwards, they were asked to assign a rank r 2 f1 : : : 5g, a cause, and an effect to each of these problems. The latter two were coded manually, mostly in accordance with the principles established by Grounded Theory [3]. </t>
    </r>
    <r>
      <rPr>
        <rFont val="Arial"/>
        <color rgb="FF000000"/>
        <sz val="10.0"/>
      </rPr>
      <t xml:space="preserve">The 2014 data set provided coarse categories into which causes and effects were grouped by the authors. Merging both data sets would have been a natural step to increase the statistical foundation of our approach, but was unfortunately prevented by incompatibilities due to survey improvements and the distinct manual coding processes. </t>
    </r>
    <r>
      <rPr>
        <rFont val="Arial"/>
        <b/>
        <color rgb="FF000000"/>
        <sz val="10.0"/>
      </rPr>
      <t>We assigned each of the available variables to a set V (the variable type, as depicted in Tables II and III) and then transformed it into one or more binary variables vi 2 V according to the following variable type specific rules.</t>
    </r>
    <r>
      <rPr>
        <rFont val="Arial"/>
        <color rgb="FF000000"/>
        <sz val="10.0"/>
      </rPr>
      <t xml:space="preserve"> • Problem, cause, and effect questions: Add one binary variable per possible answer. The variable is true if the subject selected this answer in the survey, false otherwise. • Cause and effects categories: Add one binary variable per category. True if the cause selected by the subject belongs to this category, false otherwise. • For each context factor, we added a variable type Vc, transforming it according to the data type mentioned in Table III: – Binary: Add one binary indicator variable. – Categorical: Add one binary indicator variable per value. – Ordinal: Add one binary indicator variable per value. – Continuous: Discretize into a set of equiprobable intervals and add one binary indicator variable per interval. This resulted in eight variable types for both, the 2014 and the 2018 data set with a total of 196 (2014) or 216 binary variables (2018). Given that only 28 (2014)2 or 20 (2018)3 of the vi can actually be true for each participant, the input data matrix is relatively sparse. C. Network Construction In this work, the graph representing a Bayesian Network is defined by its architecture A, which is a set of tuples of variable types. Each (Vi; Vj) 2 A indicates that (1) all binary variables v 2 Vi [ Vj are contained in the graph as a node and (2) that an edge is added from each vi 2 Vi to each vj 2 Vj. For example, an architecture A = f(C; P)g specifies that all cause nodes are connected to all problem nodes, edges pointing to the problem nodes. This would result in 92 · 21 = 1932 (2014) or 120·20 = 2400 (2018) edges. More nodes and edges to other variable types can be specified by appending more tuples to A as long as the restrictions the inference algorithm places on the graph are respected. These considerations show that even for simple architectures, the resulting graph quickly suffers from the curse of dimensionality, which is aggravated by the manually coded cause/effect statements in the survey leading to a high number of nodes. </t>
    </r>
    <r>
      <rPr>
        <rFont val="Arial"/>
        <b/>
        <color rgb="FF000000"/>
        <sz val="10.0"/>
      </rPr>
      <t>Learning of and inference on such models would require prohibitively large amounts of memory and CPU time, so we introduced two simple filter mechanisms to reduce complexity: • Minimum Variable Occurrence Filter:</t>
    </r>
    <r>
      <rPr>
        <rFont val="Arial"/>
        <color rgb="FF000000"/>
        <sz val="10.0"/>
      </rPr>
      <t xml:space="preserve"> </t>
    </r>
    <r>
      <rPr>
        <rFont val="Arial"/>
        <b/>
        <color rgb="FF000000"/>
        <sz val="10.0"/>
      </rPr>
      <t>The number of true values for each variable in the data is counted. If this number is less than f(V ) (i.e., less than f subjects reported this fact), its node is excluded from the graph. With this filter, variables with very little support in the dataset can be excluded</t>
    </r>
    <r>
      <rPr>
        <rFont val="Arial"/>
        <color rgb="FF000000"/>
        <sz val="10.0"/>
      </rPr>
      <t xml:space="preserve">. • </t>
    </r>
    <r>
      <rPr>
        <rFont val="Arial"/>
        <b/>
        <color rgb="FF000000"/>
        <sz val="10.0"/>
      </rPr>
      <t>Minimum Relation Occurrence Filter: The number of times the two variables connected by an edge are both true is counted. If this number is less than g(V1; V2) (i.e., the dependence was reported by less than g subjects), the edge is excluded from the graph. With this filter, relations with very little support in the dataset can be excluded.</t>
    </r>
    <r>
      <rPr>
        <rFont val="Arial"/>
        <color rgb="FF000000"/>
        <sz val="10.0"/>
      </rPr>
      <t xml:space="preserve"> More fine-grained control was achieved by not summing the number of occurrences of nodes or edges, but of the inverse rank rinv = 5 − r of a given cause-problem-effect triple. These heuristics worked well in our case, although it might be an option to explore more sophisticated approaches like the K2 structure learning algorithm [22]. In the above notation, a use case is equivalent to a set of binary variables Vo which constitutes the output of a model. The choice of A is independent of the use case, as long as all variables in Vo are included in A. Any model can thus be applied to any use case; early experimentation has shown, however, that A has a major influence on the quality of the predictions. We formally define our use cases as follows: Diagnostic reasoning VD = fv 2 C j v is contained in Ag Predictive reasoning VP = fv 2 P j v is contained in Ag In other words, diagnostic reasoning is the prediction of causes (C) and predictive reasoning is the prediction of problems (P). An example, which will later be called the Survey architecture, is inspired by the causality assumptions of the NaPiRE survey: A = f(C; P); (P; E)g It is depicted graphically in Figure 1 with unrealistically high filter values to allow for a readable representation including individual binary variables. The following visual representations will be limited to variable types only."]</t>
    </r>
  </si>
  <si>
    <r>
      <rPr>
        <rFont val="Arial"/>
        <color theme="1"/>
        <sz val="10.0"/>
      </rPr>
      <t xml:space="preserve">["D. Implementation and Reproducibility In order to circumvent the performance problems verbally reported by other authors [8], </t>
    </r>
    <r>
      <rPr>
        <rFont val="Arial"/>
        <b/>
        <color theme="1"/>
        <sz val="10.0"/>
      </rPr>
      <t>we implemented this method with Julia [24], relying on the (formidable) BayesNets.jl library [25] for inference</t>
    </r>
    <r>
      <rPr>
        <rFont val="Arial"/>
        <color theme="1"/>
        <sz val="10.0"/>
      </rPr>
      <t xml:space="preserve"> and on Graphviz for visualization [26]. The algorithms are wrapped in a simple web service to allow for easy integration into RE support tools and surveys. We are committed to ensuring the reproducibility of the following results, so our code and the data are freely accessible. We cordially invite other researchers to verify and extend this work, available at our GitHub repository4 or as a static reproduction package5."]</t>
    </r>
  </si>
  <si>
    <t>Case study (expert review, model usability/usefulness)</t>
  </si>
  <si>
    <t>Cross-validation, statistical measures</t>
  </si>
  <si>
    <r>
      <rPr>
        <rFont val="Arial"/>
        <color rgb="FF000000"/>
        <sz val="10.0"/>
      </rPr>
      <t xml:space="preserve">["V. EVALUATION </t>
    </r>
    <r>
      <rPr>
        <rFont val="Arial"/>
        <b/>
        <color rgb="FF000000"/>
        <sz val="10.0"/>
      </rPr>
      <t>We validated our approach in two steps.</t>
    </r>
    <r>
      <rPr>
        <rFont val="Arial"/>
        <color rgb="FF000000"/>
        <sz val="10.0"/>
      </rPr>
      <t xml:space="preserve"> First, to evaluate whether we produce predictions that are consistent with the data, we performed a </t>
    </r>
    <r>
      <rPr>
        <rFont val="Arial"/>
        <b/>
        <color rgb="FF000000"/>
        <sz val="10.0"/>
      </rPr>
      <t>10-fold cross-validation</t>
    </r>
    <r>
      <rPr>
        <rFont val="Arial"/>
        <color rgb="FF000000"/>
        <sz val="10.0"/>
      </rPr>
      <t xml:space="preserve"> (leaving out 30 samples in each iteration, Section V-A). </t>
    </r>
    <r>
      <rPr>
        <rFont val="Arial"/>
        <b/>
        <color rgb="FF000000"/>
        <sz val="10.0"/>
      </rPr>
      <t>Second, we selected the architecture yielding the best performance and conducted a case study to test its applicability to real-world scenarios</t>
    </r>
    <r>
      <rPr>
        <rFont val="Arial"/>
        <color rgb="FF000000"/>
        <sz val="10.0"/>
      </rPr>
      <t xml:space="preserve"> (Section V-B). A. Internal Validity 1) Architectures: We defined the following eight architectures to be cross-validated. Four of them are inspired by the available literature. A1: Kalinowski architecture [8] A2: Inverse Kalinowski architecture [8] A3: Survey architecture [5] A4: Inverse survey architecture [5] A5: Simple architecture (without context factors) A6: Simple architecture (with context factors) A7: Inverse simple architecture (without context factors) A8: Inverse simple architecture (with context factors) To estimate whether our method achieves better performance than simple guessing does, we also defined a baseline algorithm A0, predicting for each vo 2 Vo its relative frequency in the input data set. A1 and A2 were evaluated on the 2014 data set since it is the only one providing the necessary cause/effect categories. The remaining architectures were evaluated on the 2018 data set due to the higher number of participants and the better availability of context factors. Filter parameters were determined empirically by repeatedly running the validation on standard hardware, incrementing the filter values until results were obtained within 48 hours and without provoking out-of-memory errors. This results in a maximum duration of 48h=300 ≈ 10 minutes per inference, which we deemed the maximum acceptable inference duration for the case study. 2) Metrics: Each tuple of architecture A and use case Vo was evaluated with the following metrics. (...) • </t>
    </r>
    <r>
      <rPr>
        <rFont val="Arial"/>
        <b/>
        <color rgb="FF000000"/>
        <sz val="10.0"/>
      </rPr>
      <t>binary accuracy</t>
    </r>
    <r>
      <rPr>
        <rFont val="Arial"/>
        <color rgb="FF000000"/>
        <sz val="10.0"/>
      </rPr>
      <t xml:space="preserve">: the number of correct predictions to the number of all predictions.(...) • </t>
    </r>
    <r>
      <rPr>
        <rFont val="Arial"/>
        <b/>
        <color rgb="FF000000"/>
        <sz val="10.0"/>
      </rPr>
      <t>precision</t>
    </r>
    <r>
      <rPr>
        <rFont val="Arial"/>
        <color rgb="FF000000"/>
        <sz val="10.0"/>
      </rPr>
      <t xml:space="preserve">: the number of correct predictions of true to the number of all predictions of true.(...) • </t>
    </r>
    <r>
      <rPr>
        <rFont val="Arial"/>
        <b/>
        <color rgb="FF000000"/>
        <sz val="10.0"/>
      </rPr>
      <t>recall</t>
    </r>
    <r>
      <rPr>
        <rFont val="Arial"/>
        <color rgb="FF000000"/>
        <sz val="10.0"/>
      </rPr>
      <t xml:space="preserve">: the number of correct predictions of true to the number of all actually true variables.(...) • </t>
    </r>
    <r>
      <rPr>
        <rFont val="Arial"/>
        <b/>
        <color rgb="FF000000"/>
        <sz val="10.0"/>
      </rPr>
      <t>ranking precision</t>
    </r>
    <r>
      <rPr>
        <rFont val="Arial"/>
        <color rgb="FF000000"/>
        <sz val="10.0"/>
      </rPr>
      <t xml:space="preserve">: the number of actually true variables in the ranking to the ranking length.(...) • </t>
    </r>
    <r>
      <rPr>
        <rFont val="Arial"/>
        <b/>
        <color rgb="FF000000"/>
        <sz val="10.0"/>
      </rPr>
      <t>ranking recall</t>
    </r>
    <r>
      <rPr>
        <rFont val="Arial"/>
        <color rgb="FF000000"/>
        <sz val="10.0"/>
      </rPr>
      <t xml:space="preserve">: the number of actually true variables in the ranking to the number of all actually true variables.(...) B. External Validity 1) Research Questions: To evaluate the external validity, i.e., to assess the validity and perceived usefulness of our approach when applied in a realistic context, we are interested in the following research questions: • RQ1: </t>
    </r>
    <r>
      <rPr>
        <rFont val="Arial"/>
        <b/>
        <color rgb="FF000000"/>
        <sz val="10.0"/>
      </rPr>
      <t>How do the outputs of our tool compare with the assessment of an RE expert for a specific project?</t>
    </r>
    <r>
      <rPr>
        <rFont val="Arial"/>
        <color rgb="FF000000"/>
        <sz val="10.0"/>
      </rPr>
      <t xml:space="preserve"> • RQ2: How do RE experts assess the usefulness of the tool and the style of presentation? • RQ3: In which contexts and for which ends would RE experts apply the tool? 2) Study Design: To answer the research questions, we conducted a </t>
    </r>
    <r>
      <rPr>
        <rFont val="Arial"/>
        <b/>
        <color rgb="FF000000"/>
        <sz val="10.0"/>
      </rPr>
      <t>case study</t>
    </r>
    <r>
      <rPr>
        <rFont val="Arial"/>
        <color rgb="FF000000"/>
        <sz val="10.0"/>
      </rPr>
      <t xml:space="preserve"> in the context of a German software consulting company. We contacted an RE expert of the company and asked him whether he is interested in giving feedback on a tool for RE risk prediction. After he agreed, we asked him to think of a current or past RE project and offered him support for one of the two addressed use cases. (...) 4. </t>
    </r>
    <r>
      <rPr>
        <rFont val="Arial"/>
        <b/>
        <color rgb="FF000000"/>
        <sz val="10.0"/>
      </rPr>
      <t>Study results</t>
    </r>
    <r>
      <rPr>
        <rFont val="Arial"/>
        <color rgb="FF000000"/>
        <sz val="10.0"/>
      </rPr>
      <t xml:space="preserve"> RQ1 – performance: Table V lists the causes and the related problems named by the interviewee. We entered the evidence reported in Table VI into the tool. </t>
    </r>
    <r>
      <rPr>
        <rFont val="Arial"/>
        <b/>
        <color rgb="FF000000"/>
        <sz val="10.0"/>
      </rPr>
      <t>Of the predicted top-10 causes (Table VII), our expert confirmed 7 and rejected 3.</t>
    </r>
    <r>
      <rPr>
        <rFont val="Arial"/>
        <color rgb="FF000000"/>
        <sz val="10.0"/>
      </rPr>
      <t xml:space="preserve"> These false positives also include the cause with the highest probability (missing domain knowledge), which was not an issue at all in the project. Besides the false positives, the expert assessed the mentioned causes as good matches. Especially, Lack of a well-defined RE process was a top match. He also confirmed the cause Poor project management. However, he considered this cause to be too coarse-grained without a more detailed definition, which is not provided by the data set. RQ2 – usefulness: The general usage of the tool was considered straightforward and the presentation of the results as a ranking was perceived to be very appropriate. The expert judges the presentation of five items on the list as a good choice because it is long enough to allow a variety of possible causes to be presented while still being tractable in group discussions. For this reason, the precision of these five predictions is of high importance, much more than achieving high recall and covering the majority of all causes that might be present. RQ3 – applicability: The RE expert proposed three primary target groups using the tool for the following purposes. • Classic projects with a project lead: Discussion input to improve the development process, • Agile teams: Discussion input to improve the development process, e.g., during the Scrum Retrospective, • Teams without or with inexperienced requirements engineer: Highlighting of low-hanging fruits to develop a more sophisticated RE process. These scenarios align with his perception that the tool’s results were most likely to influence group decisions, and are less likely to be able to have a tangible effect on an individual’s judgments."]</t>
    </r>
  </si>
  <si>
    <t>Literature review, survey with practitioners, grounded theory, risk-centric modeling</t>
  </si>
  <si>
    <r>
      <rPr>
        <rFont val="Arial"/>
        <color rgb="FF000000"/>
        <sz val="10.0"/>
      </rPr>
      <t>["The cross-company cause-effect model for RE problems built for this research is</t>
    </r>
    <r>
      <rPr>
        <rFont val="Arial"/>
        <b/>
        <color rgb="FF000000"/>
        <sz val="10.0"/>
      </rPr>
      <t xml:space="preserve"> based on answers from the 74 Brazilian organizations (each one providing recurring causes for up to five RE problems they considered critical in their context). These 74 organizations include small, medium and large-sized organizations enrolled in both plan-driven and agile development. Further details on the Brazilian NaPiRE dataset can be found in [12]. Table I shows the five most critical RE problems, as ranked by the 74 organizations. Those were the only problems cited by more than 25% of the respondents</t>
    </r>
    <r>
      <rPr>
        <rFont val="Arial"/>
        <color rgb="FF000000"/>
        <sz val="10.0"/>
      </rPr>
      <t xml:space="preserve">. The table also shows how often each problem was ranked as the most critical. We observed that communication problems were often cited (problems #1 and #4), as well as incomplete and underspecified requirements (problems #2 and #3). (...) III. CROSS-COMPANY CAUSE-EFFECT MODEL FOR RE PROBLEMS This section explains how the cross-company model on cause-effect relations was built. First, </t>
    </r>
    <r>
      <rPr>
        <rFont val="Arial"/>
        <b/>
        <color rgb="FF000000"/>
        <sz val="10.0"/>
      </rPr>
      <t>we prepared the NaPiRE data provided by the 74 Brazilian organizations and then built the cross-company cause-effect model as a Bayesian network based on that data using the Netica2 tool. We decided to concentrate on the five most cited problems shown in Table I.</t>
    </r>
    <r>
      <rPr>
        <rFont val="Arial"/>
        <color rgb="FF000000"/>
        <sz val="10.0"/>
      </rPr>
      <t xml:space="preserve"> Those problems were cited (overall) 141 times.</t>
    </r>
    <r>
      <rPr>
        <rFont val="Arial"/>
        <b/>
        <color rgb="FF000000"/>
        <sz val="10.0"/>
      </rPr>
      <t xml:space="preserve"> For each of these citations, the respondents indicated the main causes and effects in free text format. We analyzed and coded the textual data using the constant comparative method [20] and peer reviewed the codes. As a result, we created 49 cause and 41 effect codes. Thereafter, we organized the information in a spreadsheet with 105 columns (5 for the problems, 49 for the cause codes, 5 for the cause categories, 41 for the effects, and 5 for effect categories) and 141 lines (one for each time a problem was cited by one of the subjects). Finally, for each line we marked the cited problem, its causes, cause categories, effects and effect categories. This was the data used for building the Bayesian network</t>
    </r>
    <r>
      <rPr>
        <rFont val="Arial"/>
        <color rgb="FF000000"/>
        <sz val="10.0"/>
      </rPr>
      <t xml:space="preserve">. A Bayesian network consists of two related components: a qualitative one, which are the nodes representing random variables and the edges representing a direct relationship between two random variables (a direct acyclic graph - DAG); and a quantitative component, which are the conditional probabilistic distributions (CPDs) [21]. </t>
    </r>
    <r>
      <rPr>
        <rFont val="Arial"/>
        <b/>
        <color rgb="FF000000"/>
        <sz val="10.0"/>
      </rPr>
      <t>While an expert of the domain is able to specify the DAG, the same cannot be easily done with the CPDs. We built the DAG in Netica by automatically adding random variables for each spreadsheet column and then manually connecting the variables with arrows indicating the causal relations between them</t>
    </r>
    <r>
      <rPr>
        <rFont val="Arial"/>
        <color rgb="FF000000"/>
        <sz val="10.0"/>
      </rPr>
      <t xml:space="preserve">. Thereafter, we used Netica to learn the CPDs from the spreadsheet data with the Expectation Maximization (EM) algorithm [22], which is indicated when the dataset includes empty values (as ours, given that some participants might not have indicated any causes) to approximate the CPDs to the real distribution. The structure of the resulting Bayesian network DAG is shown in Fig. 2. </t>
    </r>
    <r>
      <rPr>
        <rFont val="Arial"/>
        <b/>
        <color rgb="FF000000"/>
        <sz val="10.0"/>
      </rPr>
      <t>The five cause categories grouping the causes were the ones suggested by the guidelines [5] (input, method, organization, people, and tools)</t>
    </r>
    <r>
      <rPr>
        <rFont val="Arial"/>
        <color rgb="FF000000"/>
        <sz val="10.0"/>
      </rPr>
      <t>. For the effects, we defined categories that allowed us to consistently group the effects (customer, design or implementation, product, project or organization, and verification or validation)."]</t>
    </r>
  </si>
  <si>
    <t>Survey with practitioners, Expectation-Maximization (EM) algorithm</t>
  </si>
  <si>
    <r>
      <rPr>
        <rFont val="Arial"/>
        <color theme="1"/>
        <sz val="10.0"/>
      </rPr>
      <t xml:space="preserve">["A Bayesian network consists of two related components: a qualitative one, which are the nodes representing random variables and the edges representing a direct relationship between two random variables (a direct acyclic graph - DAG); and a </t>
    </r>
    <r>
      <rPr>
        <rFont val="Arial"/>
        <b/>
        <color theme="1"/>
        <sz val="10.0"/>
      </rPr>
      <t>quantitative component, which are the conditional probabilistic distributions (CPDs)</t>
    </r>
    <r>
      <rPr>
        <rFont val="Arial"/>
        <color theme="1"/>
        <sz val="10.0"/>
      </rPr>
      <t xml:space="preserve"> [21]. While an expert of the domain is able to specify the DAG, the same cannot be easily done with the CPDs. We built the DAG in Netica by automatically adding random variables for each spreadsheet column and then manually connecting the variables with arrows indicating the causal relations between them. Thereafter, </t>
    </r>
    <r>
      <rPr>
        <rFont val="Arial"/>
        <b/>
        <color theme="1"/>
        <sz val="10.0"/>
      </rPr>
      <t>we used Netica to learn the CPDs from the spreadsheet data with the Expectation Maximization (EM) algorithm [22],</t>
    </r>
    <r>
      <rPr>
        <rFont val="Arial"/>
        <color theme="1"/>
        <sz val="10.0"/>
      </rPr>
      <t xml:space="preserve"> which is indicated when the dataset includes empty values (as ours, given that some participants might not have indicated any causes) to approximate the CPDs to the real distribution."]</t>
    </r>
  </si>
  <si>
    <t>Case study (usability/usefulness evaluation)</t>
  </si>
  <si>
    <r>
      <rPr>
        <rFont val="Arial"/>
        <color theme="1"/>
        <sz val="10.0"/>
      </rPr>
      <t xml:space="preserve">["V. INDUSTRIAL EVALUATION STRATEGY Aiming at investigating the feasibility of using our approach in industry, we decided to adopt the empirically based technology transfer model described by Gorschek et al. [16]. This model is shown in Fig. 6.  Relating our research to the steps depicted in Fig. 6, the issue was supporting DCA with cross-company cause-effect data. This kind of support has not been considered so far. The candidate solution is represented by our approach (cf. Section IV). Following the model, three evaluations were conducted in different contexts: (i) in academia, (ii) with industry representatives (static validation), and (iii) in a real industrial case study (dynamic validation). We conducted the three evaluations using the Technology Acceptance Model (TAM) [24], which has been extensively used [25]. TAM considers three constructs (perceived usefulness, ease of use and self-predicted future use), which are measured by a set of questions. (...) VI. INITIAL EVALUATION IN ACADEMIA The academic evaluation took place in the context of a graduate course on software engineering during the second semester of 2015 at the University of Salvador (Brazil).The study had 15 participants. For simulating the DCAsessions, we divided them into three groups and prepared an environment for each group, installing Netica and opening the created Bayesian network. Before starting the session, participants had to vote and agree on three of the five RE problems represented in the Bayesian network. Thereafter they were asked to discuss the main causes, based on their prior experience, using the support of the cross-company model and its diagnostic inferences during 30 minutes. (...) After conducting the cross-company model supported DCA session, they were asked to answer the TAM questionnaire. </t>
    </r>
    <r>
      <rPr>
        <rFont val="Arial"/>
        <b/>
        <color theme="1"/>
        <sz val="10.0"/>
      </rPr>
      <t>It is noteworthy that we could not assess the results of the DCA session itself</t>
    </r>
    <r>
      <rPr>
        <rFont val="Arial"/>
        <color theme="1"/>
        <sz val="10.0"/>
      </rPr>
      <t xml:space="preserve">, given that they were based on the participants’ experience. Our focus was on the acceptance of the technology to support the discussions. (...) VII. EVALUATION WITH INDUSTRY REPRESENTATIVES The evaluation with industry representatives was conducted with three professionals of the Fraunhofer Project Center (FPC) at UFBA enrolled in a large-scale project, called RESCUER (Reliable and Smart Crowdsourcing Solution for Emergency and Crisis Management), in which high-quality RE plays a crucial role. (...) Before starting the session, participants had to decide on three of the RE problems represented in the Bayesian network that they considered relevant for their context. Thereafter, they were asked to discuss the main causes based on their current project experience using support of the cross-company model during 30 minutes. After conducting the cross-company model supported DCA session, they were asked to answer the TAM questionnaire. </t>
    </r>
    <r>
      <rPr>
        <rFont val="Arial"/>
        <b/>
        <color theme="1"/>
        <sz val="10.0"/>
      </rPr>
      <t>As this was an informal DCA session, conducted without real project data, our focus was not on the results (identified causes), but on evaluating the acceptance of using the approach, now from the perspective of industry representatives enrolled in a real project.</t>
    </r>
    <r>
      <rPr>
        <rFont val="Arial"/>
        <color theme="1"/>
        <sz val="10.0"/>
      </rPr>
      <t xml:space="preserve">(...) VIII. INDUSTRIAL CASE STUDY The final evaluation, as suggested by the technology transfer model [17], was an on-line dynamic validation in an industrial case study applying our cross-company data supported DCA approach within a real project lifecycle to analyze causes of problems related to real defects. The case study description is based on available guidelines [27]. A. Case Study Objective The case study investigates the acceptance of using our cross-company data supported DCA approach for conducting DCA sessions within a real software development project. Besides the acceptance, this time we were also interested in the results of the DCA session (e.g., identified causes). (...) D. Results </t>
    </r>
    <r>
      <rPr>
        <rFont val="Arial"/>
        <b/>
        <color theme="1"/>
        <sz val="10.0"/>
      </rPr>
      <t>The participants were confident in having determined the main causes for the systematic errors. The main causes are shown in Table XI. The causes included in the cross-company cause-effect model are highlighted in bold</t>
    </r>
    <r>
      <rPr>
        <rFont val="Arial"/>
        <color theme="1"/>
        <sz val="10.0"/>
      </rPr>
      <t>. "]</t>
    </r>
  </si>
  <si>
    <t xml:space="preserve">["The initial model We assume that the model can be used in the environment where the software is developed in a classical waterfall cycle. The model assumes that there is some unknown number of residual defects introduced before testing. It also assumes that no new defects will be introduced once the testing has started which means that no new functionality will be added to the code base. The testing process is not treated as a black-box where we cannot identify its parts. Rather, we treat a whole testing process as a set of testing iterations repeated one after another. The model consists of the following parts (Figure 1): 1. Priors. This subnet contains initial (prior) probability distributions for variables that are to be learnt later: testing effectiveness and residual defects. 2. Learning. This subnet contains sets of variables linked together as a single BN. Its purpose is to learn the unknown residual defects after each iteration and testing effectiveness in each iteration.  3. Prediction. The first k iterations (e.g. 3 as illustrated on Figure 1) are used for learning the model – we have to enter observations for defects found in the first k testing iterations. Starting from iteration k+1 the model predicts the number of defects found which are likely to occur in each future testing iteration. It also predicts the testing effectiveness in each testing iteration and number of residual defects remaining after each future testing iteration. For reasons of computational efficiency, this part of the model is a Dynamic Bayesian Net (DBN) with testing iterations linked sequentially. Here the model does not learn anything from the data, but rather uses the previously learnt testing effectiveness and number of residual defects to predict the number of defects found in the future. We entered the following expression in the model variables:  testing effectiveness T0 = Uniform(0, 1),  residual defects T0 = Normal(1000, 1000000).  testing effectiveness Ti = TNormal(testing effectiveness Ti-1, 0.001, 0, 1).  residual defects Ti = Max(0, residual defects Ti-1 – defects found Ti).  defects found Ti = Binomial(residual defects Ti-1, testing effectiveness Ti). We have developed and executed our model using the API for the AgenaRisk toolset [17]. Extending the model To improve the model’s accuracy and realism we added new variables to the model. Two factors seem to be most influential on the testing effectiveness:  effort spent on testing,  testing process and people quality. These new variables are not expressed on an absolute scale. Rather they reflect the ratio of the value in the given iteration to the value in the previous iteration. We assume that users can provide observations for these variables in the first iterations used to learn the model. For example, if the effort in the current iteration increased by 20% compared to the previous one the users should enter a value ‘1.2’.  Although effort and process and people quality seem to be most influential on the testing effectiveness they do not explain the whole variation of the testing effectiveness. In certain cases it may happen that although both effort and process and people quality increased we observe the lower testing effectiveness. Therefore we added yet another variable ‘bias’ which reflects the aggregation of all negative factors occurring in the specific testing iteration. This includes, for example, the need to prepare additional test cases (which causes the situation whereby some effort is not effectively used on purely finding defects) or testing a component that was not tested much before (and testers need to learn this component to know where and how it should be tested). We added an intermediate node ‘testing effectiveness change Ti’ which aggregates the testing factors. It reflects the extent at which the testing effectiveness changed in the given iteration compared to the previous one. This node is a parent node for ‘testing effectiveness Ti’ together with the ‘testing effectiveness Ti-1’ and ‘testing effectiveness limit’. Introducing the latter ensures that the change of testing factors to some degree does not cause the same degree of change in testing effectiveness but lower. The structure of the single iteration in the extended model is illustrated on Figure 2 (top part). The expressions in the new or updated nodes are the following:  testing effort Ti = Normal(1, 0.1),  process and people quality Ti = Normal(1, 0.1),  testing bias Ti = Normal(1, 0.1),  testing effectiveness change Ti =  Normal(process and people quality Ti * ((effort Ti – 1) * 0.8 + 1) / bias Ti, 0.01),  testing effectiveness limit Ti = testing effectiveness limit Ti-1,  testing effectiveness Ti = testing effectiveness Ti-1 *  ((testing effectiveness change Ti – 1) * testing effectiveness limit Ti) + 1). The expression for ‘testing effectiveness change Ti’ ensures that testing effort has lower impact on the testing effectiveness than the process and people quality. </t>
  </si>
  <si>
    <t>Fig 2 makes it clear the comparison between predicted and actual values. ["The observations in the extended model should be assigned for all known variables (effort, process and people quality, bias, defects found) in the first iterations used for learning the testing effectiveness Ti-1 residual defects Ti-1 residual defects Ti testing effectiveness Ti defects found Ti testing effectiveness change Ti testing effort Ti process &amp; people quality Ti testing bias Ti testing effectiveness limit Ti testing effectiveness limit Ti-1 model. For prediction only the observations for effort, process and people quality and possibly for bias. These observations are treated as anticipated values – planned to be achieved. Based on these observations the model predicts the number of defects found in future testing iterations. The NASA datasets used earlier do not contain any values reflecting testing effectiveness like testing effort or process and people quality. Therefore we do not use these datasets to validate an extended version of the model. Instead we generated a sample dataset sorely for the purpose to validate the extended version of the model. When generating this dataset we set an initial number of residual defects and generated random values for changes in effort, process and people quality and bias. Then, using these values and equations as in the model we generated the values for the number of defects found in each iteration. Then we manually changed some of the values to ensure that the shape of the trend line follows the one typically occurring in real projects (initial increase of the number of defects found, followed by a decrease towards 0). We used this dataset by entering the values describing each iteration to the model. We did not enter the precise value of number of residual defects as in practice this would not be possible. Also, the values for effort, process and people quality and bias we entered with lower precision – in the dataset they were up to the second decimal place, in the model we entered these values rounded to the first decimal place. This is to simulate the accuracy of estimating these factors in real projects which will never be exactly 100% accurate. The aim of this validation is to find out how fast the model learns the testing effectiveness and real number of residual defects which were in at the beginning of the testing process. Our results (Figure 2) show that the prediction accuracy for the first couple of iterations following the iterations used for learning is generally acceptable in every case. However, predicting the number of defects found far in the future requires more iterations used to learn the model."]</t>
  </si>
  <si>
    <t>Literature review, statistical analysis, lifecycle model</t>
  </si>
  <si>
    <t>["A. Bayesian network building The process of setting up Bayesian network are three stages: 1) Setting variables set and field, 2) Constructing Network topology, 3) Ascertainment local probability distribution. Conditional probability expresses the relation of nodes and their parents' nodes. Nodes have no parent call transcendental probability. • Setting variables set and field Definition 1: Variable set is mustering of kind of factors that induced software defects. Definition 2: Variable field means the change range of each variable to software defect's affect degree. The variable set can ascertain by expert experience. Different variable set is got in different development teams, different development environments and different projects. The variable field can get from the requirement of prediction, which can be defined as ("high", "middle", "low") also can be defined as ("very high", "high", "middle", "low", "very low"). Of course it can continue precise. • Constructing Network topology Network topology expresses the event relation. Network topology comes from expert experiment, specialty literature and statistic study. The network topology can change with enough reason and experiment evidence support. Causality of building and catching in software development process can real time update. • Ascertainment local probability distribution Ascertainment local probability distribution; include Ascertainment marginal probability (leafage node is expressed by marginal probability) and condition probability, local probability distribution is used to express affect degree of causality. Fig. 1 is network relationship of XI ••• XIO."]</t>
  </si>
  <si>
    <t>["Objectivity data and expert experiment are used to confirm factors which induced defects in development process, building Bayesian network model, In the model defects are computed by causes and effects inference, and Bayesian formula is introduced to analyze the result, it can ascertain which factor is key factor of inducing defect, so manager can adjust strategy of SQA(software quality assurance) before project development, the technique can used in every phase of software development lift cycle. It can help to predict and find defects earlier and effectively, then to achieve the aim of control software quality. The model as Fig 2: (...) IV. RESULTS AND DISCUSSION To compute conveniently, arithmetic is implemented by software. This model has been validated through changing affect-factor's value of requirement analyze phase. The network topology is building as fig 1. x] :development ability, x2 : document quality, X3 : consumer support, X 4 : developer communicate, X 5 :software complexity, X6 :inner resource, x7 :stability, Xs requirement quality, X9 :judge degree, XIO :requirement defects, each variable has three states , "high", "middle","low",simplified as {h, m, I} for easy expression. According expert experiment and history data to ascertain nodes probability, as following: p(X] = h) = 0.2,p(x] = m) = 0.6,p(x] = /) = 0.2 p(xz = h) = 0.25,p(xz = m) = 0.35,p(xz = /) = 0.2 P(X3 = h) = 0.68,p(X3 = m) = 0.23,P(X3 = /) = 0.09 P(X4 = h) = 0.33,P(X4 = m) = 0.51,p(x4 = I) = 0.16 p(xs = h) = 0.37,p(xs = m) = 0042, p(xs = /) = 0.21 P(X9 = h) = 004l,p(x9 = m) = 0.32,p(x9 = /) = 0.27 Causes and results inference is introduced to get marginal probability, the result as following: P(X6 = h) = 0.199,p(X6 = m) = 0.55].P(X6 = /) = 0.250 P(X7 = h) =00404,p(x7 =m) =00444,p(x7 =/) = 0.152 p(xs = h) = 0.229,p(xs = m) = 0.43I,p(xs = I) = 0.340 P(XIO = h) = 0.283, P(XIO = m) = 0.386, P(XIO = /) = 0.331 From above, we can see P(XIO = m) = 0.386 is biggest, now adjust nodes probability, as following: p(X] = h) = 0.6,P(XI = m) = 0.2,P(XI = /) = 0.2 p(xz = h) = 0.55,p(xz = m) = 0.25,p(xz = /) = 0.2 P(X3 = h) = 0.68,p(X3 = m) = 0.23,p(X3 = /) = 0.09 P(X4 =h)=0.51,p(x4 =m)=0.33,p(x4 =/)=0.16 p(xs = h) = 0.27,p(xs = m) = 0.32,p(xs = /) = 0.41 P(X9 = h) = 0.52,p(X9 = m) = 0.32,P(X9 = /) = 0.16 The adjusted result like following: P(X6 = h) = 0.481,p(x6 = m) = 0.298,p(X6 = I) = 0.221 P(X7 = h) = 0.504,p(x7 = m) = 0.335,p(X7 = I) = 0.161 p(Xg = h) = 0.364, p(Xg = m) = 0.336, p(Xg = /) = 0.3 P(XIO = h) = 0.388,p(XIO = m) = 0.348,p(xlO = I) = 0.264 From this, P(XIO = h) = 0.388 is biggest, the prediction result is match with fact, and it proves validity of arithmetic. According the result of P(XIO = m) = 0.386, managers can decisions whether to continue next work or adjust SQA until the value of P(XIO = /) is biggest. Managers analyze the result of P(XIO = m) = 0.386 as following: P(Xg = mlxlO = m)= P(xg = m)P(xlO = m I Xg = m) P(Xg = m)P(xlO = mlxg = m)+P(x9 = m)P(xlO = mlx9 = m) 0.431xO.6117 0.2636 =0.6 0.431x 0.6117 + 0.32 x 0.54 0.4363 0.6&gt;0.5, so consider the effect of XS' X6' X7 to Xg : P(Xs =mlxg =m)=0.369 P(X6 =mlxg =m)=0.349 P(X7 = mlxg = m) = 0.282 From these results , 0.369 is the biggest, so Xs is key factor. For 0.349&gt;0.282, so continue to attention Xl and x2 ' get: P(X] = m I X6 = m) = 0.448 0.448&lt;0.5, so x2 is key factor. From above, developer should take action on factor of software complexity and document quality during requirement phase. "]</t>
  </si>
  <si>
    <t>Interviews, survey with practitioners, expert-based structural constraints, Cheng's algorithm, risk-centric modeling</t>
  </si>
  <si>
    <r>
      <rPr>
        <rFont val="Arial"/>
        <color theme="1"/>
        <sz val="10.0"/>
      </rPr>
      <t xml:space="preserve">["A.  </t>
    </r>
    <r>
      <rPr>
        <rFont val="Arial"/>
        <b/>
        <color theme="1"/>
        <sz val="10.0"/>
      </rPr>
      <t>Constraint-Based Bayesian Network</t>
    </r>
    <r>
      <rPr>
        <rFont val="Arial"/>
        <color theme="1"/>
        <sz val="10.0"/>
      </rPr>
      <t xml:space="preserve"> (...) Campos and Castellano’s research [32] showed that adding prior knowledge to the learning process of Bayesian Network could achieve better results. There are three types of </t>
    </r>
    <r>
      <rPr>
        <rFont val="Arial"/>
        <b/>
        <color theme="1"/>
        <sz val="10.0"/>
      </rPr>
      <t>structural constraints</t>
    </r>
    <r>
      <rPr>
        <rFont val="Arial"/>
        <color theme="1"/>
        <sz val="10.0"/>
      </rPr>
      <t xml:space="preserve">: 1) Existence constraint </t>
    </r>
    <r>
      <rPr>
        <rFont val="Arial"/>
        <b/>
        <color theme="1"/>
        <sz val="10.0"/>
      </rPr>
      <t>We introduce two types of existence constraints</t>
    </r>
    <r>
      <rPr>
        <rFont val="Arial"/>
        <color theme="1"/>
        <sz val="10.0"/>
      </rPr>
      <t xml:space="preserve">: existence of arcs and existence of edges. (...) 2) Absence constraint </t>
    </r>
    <r>
      <rPr>
        <rFont val="Arial"/>
        <b/>
        <color theme="1"/>
        <sz val="10.0"/>
      </rPr>
      <t>We also introduce two kinds of constraints</t>
    </r>
    <r>
      <rPr>
        <rFont val="Arial"/>
        <color theme="1"/>
        <sz val="10.0"/>
      </rPr>
      <t xml:space="preserve">: the absence of arcs and absence of edges. (...)"] ["B.  </t>
    </r>
    <r>
      <rPr>
        <rFont val="Arial"/>
        <b/>
        <color theme="1"/>
        <sz val="10.0"/>
      </rPr>
      <t>Network Structure Learning Algorithm</t>
    </r>
    <r>
      <rPr>
        <rFont val="Arial"/>
        <color theme="1"/>
        <sz val="10.0"/>
      </rPr>
      <t xml:space="preserve"> (...) Dependence-analysis-based algorithms are Bayesian Network learning algorithms based on quantitative validation of mutual information, and Cheng's three-stage algorithm is one of the most representative algorithms based on dependence analysis. Hence, in this research, we apply </t>
    </r>
    <r>
      <rPr>
        <rFont val="Arial"/>
        <b/>
        <color theme="1"/>
        <sz val="10.0"/>
      </rPr>
      <t>Cheng’s algorithm</t>
    </r>
    <r>
      <rPr>
        <rFont val="Arial"/>
        <color theme="1"/>
        <sz val="10.0"/>
      </rPr>
      <t xml:space="preserve"> [33]. "] ["IV.  OUTSOURCED SOFTWARE PROJECT RISK INTELLIGENT ANALYSIS MODEL A.  </t>
    </r>
    <r>
      <rPr>
        <rFont val="Arial"/>
        <b/>
        <color theme="1"/>
        <sz val="10.0"/>
      </rPr>
      <t>Framework of Outsourced Software Project Risks</t>
    </r>
    <r>
      <rPr>
        <rFont val="Arial"/>
        <color theme="1"/>
        <sz val="10.0"/>
      </rPr>
      <t xml:space="preserve"> Because of outsourcing, software project will have two different stakeholders and decision-makers, namely customer and contractor. Therefore, risk management requires the coordination of both sides. Apart from the risks derived from the customer and contractor, outsourced software projects are also affected by the requirement complexity risks of projects such as development costs, development period, technology complexity and schedule and budget management. </t>
    </r>
    <r>
      <rPr>
        <rFont val="Arial"/>
        <b/>
        <color theme="1"/>
        <sz val="10.0"/>
      </rPr>
      <t>This research interviews the industry experts and specialists of software engineering theory on the basis of analyzing a large number of literatures on software project risk identification to build the prototype model.</t>
    </r>
    <r>
      <rPr>
        <rFont val="Arial"/>
        <color theme="1"/>
        <sz val="10.0"/>
      </rPr>
      <t xml:space="preserve"> After multiple rounds of</t>
    </r>
    <r>
      <rPr>
        <rFont val="Arial"/>
        <b/>
        <color theme="1"/>
        <sz val="10.0"/>
      </rPr>
      <t xml:space="preserve"> research, discussion and revision</t>
    </r>
    <r>
      <rPr>
        <rFont val="Arial"/>
        <color theme="1"/>
        <sz val="10.0"/>
      </rPr>
      <t xml:space="preserve">, the final model contains </t>
    </r>
    <r>
      <rPr>
        <rFont val="Arial"/>
        <b/>
        <color theme="1"/>
        <sz val="10.0"/>
      </rPr>
      <t>three risk dimensions (totally 23 risk factors) and eight performance attributes</t>
    </r>
    <r>
      <rPr>
        <rFont val="Arial"/>
        <color theme="1"/>
        <sz val="10.0"/>
      </rPr>
      <t xml:space="preserve"> of outcome, as listed in Table I and Table II. B.  </t>
    </r>
    <r>
      <rPr>
        <rFont val="Arial"/>
        <b/>
        <color theme="1"/>
        <sz val="10.0"/>
      </rPr>
      <t>Expert Knowledge of Outsourced Software Project Risk</t>
    </r>
    <r>
      <rPr>
        <rFont val="Arial"/>
        <color theme="1"/>
        <sz val="10.0"/>
      </rPr>
      <t xml:space="preserve"> Outsourced software project risks are divided into three types: requirement complexity risks of project, customer risks and contractor risks. CMMI (Capability Maturity Model Integration) classifies its 25 defined key process areas into four types, namely process management, project management, engineering and support. </t>
    </r>
    <r>
      <rPr>
        <rFont val="Arial"/>
        <b/>
        <color theme="1"/>
        <sz val="10.0"/>
      </rPr>
      <t xml:space="preserve">According to CMMI, the customer risks and project management risks will affect the software engineering risks [6]. Wallace’s research [44] shows that the requirement complexity risks will have significant effects on project management risks and contractor risks. Meanwhile, our interviews with experts indicate that the requirement complexity risks of project will affect customer risks and software engineering risks will affect the project outcome. According to the above expert knowledge, our research defines partial orderings among risk dimensions as follows: </t>
    </r>
    <r>
      <rPr>
        <rFont val="Arial"/>
        <color theme="1"/>
        <sz val="10.0"/>
      </rPr>
      <t xml:space="preserve">1) Requirement complexity risks of project precede customer risks and contractor risks, i.e. Req_Comp  Cust_R, Req_Comp  Contr_R 2) Customer risks precede software engineering risks, which is a sub-dimension of contractor risks, i.e. Cust_R  Soft_E 3) In the dimension of contractor risks, project management risks precede software engineering risks and software engineering risks precede project outcome, i.e. Pro_M  Soft_E,Soft_E  Outcome C.  </t>
    </r>
    <r>
      <rPr>
        <rFont val="Arial"/>
        <b/>
        <color theme="1"/>
        <sz val="10.0"/>
      </rPr>
      <t>Data Preparation and Preprocessing</t>
    </r>
    <r>
      <rPr>
        <rFont val="Arial"/>
        <color theme="1"/>
        <sz val="10.0"/>
      </rPr>
      <t xml:space="preserve"> Our research totally </t>
    </r>
    <r>
      <rPr>
        <rFont val="Arial"/>
        <b/>
        <color theme="1"/>
        <sz val="10.0"/>
      </rPr>
      <t>collected 154 valid samples of outsourced software projec</t>
    </r>
    <r>
      <rPr>
        <rFont val="Arial"/>
        <color theme="1"/>
        <sz val="10.0"/>
      </rPr>
      <t xml:space="preserve">t. A wide variety of industries such as government (18.83%), information industry (24.68%), manufacturing (12.99%), commerce (17.53%) etc. were represented in our samples. From the view of project scale, nearly 40% of the project had team members over 10 and development time exceeding 6 months. The development scale ranged from under 500 to over 10000 function points, and the project which had the function points under 200 was the largest contributor (51.3%). </t>
    </r>
    <r>
      <rPr>
        <rFont val="Arial"/>
        <b/>
        <color theme="1"/>
        <sz val="10.0"/>
      </rPr>
      <t>Over 87% of the respondents are project manager (34.42%), project technical director (18.18%) or members of development team (21.43%) with a related project working experience over 3 years. Therefore, the respondents are eligible to provide the credible information to the study.</t>
    </r>
    <r>
      <rPr>
        <rFont val="Arial"/>
        <color theme="1"/>
        <sz val="10.0"/>
      </rPr>
      <t xml:space="preserve"> A summary of the demographics variables are showed in Table III. </t>
    </r>
    <r>
      <rPr>
        <rFont val="Arial"/>
        <b/>
        <color theme="1"/>
        <sz val="10.0"/>
      </rPr>
      <t>Because of the limited numbers of collected project samples, we must discretize the sample data into binary data to make the information fully reflect in the conditional probability tables of the learned Bayesian Network. In this research, we define the state s1 is a success of project (Outcome=s1), while the state s0 (Outcome=s0) is regarded as a failure of project. As for attribute “Number of team members (TS)”, the team which has team members under 10 is regarded as a small team (express by s0), while over 10 it is regarded as a big team (express by s1).</t>
    </r>
    <r>
      <rPr>
        <rFont val="Arial"/>
        <color theme="1"/>
        <sz val="10.0"/>
      </rPr>
      <t xml:space="preserve"> Similarly, attribute “Development cost” (DC), “Development period” (DP) and “Function point” (FP) use 100 million, 1 year and 200 as the demarcation point respectively. The final data discretization processing results are showed in Table IV. D.  Bayesian Network Construction and Analysis Using Cheng’s algorithm [33] and the previously defined partial ordering constraints, we got the final Bayesian Network, as showed in Fig. 1. And the conditional probability tables (CPTs) of the direct parent nodes of the node Outcome are listed in the Appendix. Although the network is a bit complicated, it has good interpretability for each directly linked pair of nodes and contains well explainable connections within the same risk dimension or across different dimensions. The network has one project outcome, namely the target variable (labeled as Outcome). </t>
    </r>
    <r>
      <rPr>
        <rFont val="Arial"/>
        <b/>
        <color theme="1"/>
        <sz val="10.0"/>
      </rPr>
      <t>We listed some obtained findings from Fig. 1 as follows</t>
    </r>
    <r>
      <rPr>
        <rFont val="Arial"/>
        <color theme="1"/>
        <sz val="10.0"/>
      </rPr>
      <t xml:space="preserve">: (...) </t>
    </r>
    <r>
      <rPr>
        <rFont val="Arial"/>
        <b/>
        <color theme="1"/>
        <sz val="10.0"/>
      </rPr>
      <t>The above conclusions are consistent with the software engineering theory, which is a great guideline for software project risk management</t>
    </r>
    <r>
      <rPr>
        <rFont val="Arial"/>
        <color theme="1"/>
        <sz val="10.0"/>
      </rPr>
      <t>. "]</t>
    </r>
  </si>
  <si>
    <r>
      <rPr>
        <rFont val="Arial"/>
        <color theme="1"/>
        <sz val="10.0"/>
      </rPr>
      <t xml:space="preserve">["C.  Data Preparation and Preprocessing </t>
    </r>
    <r>
      <rPr>
        <rFont val="Arial"/>
        <b/>
        <color theme="1"/>
        <sz val="10.0"/>
      </rPr>
      <t>Our research totally collected 154 valid samples of outsourced software project.</t>
    </r>
    <r>
      <rPr>
        <rFont val="Arial"/>
        <color theme="1"/>
        <sz val="10.0"/>
      </rPr>
      <t xml:space="preserve"> A wide variety of industries such as government (18.83%), information industry (24.68%), manufacturing (12.99%), commerce (17.53%) etc. were represented in our samples. From the view of project scale, nearly 40% of the project had team members over 10 and development time exceeding 6 months. The development scale ranged from under 500 to over 10000 function points, and the project which had the function points under 200 was the largest contributor (51.3%). </t>
    </r>
    <r>
      <rPr>
        <rFont val="Arial"/>
        <b/>
        <color theme="1"/>
        <sz val="10.0"/>
      </rPr>
      <t xml:space="preserve">Over 87% of the respondents are project manager (34.42%), project technical director (18.18%) or members of development team (21.43%) with a related project working experience over 3 years. Therefore, the respondents are eligible to provide the credible information to the study. </t>
    </r>
    <r>
      <rPr>
        <rFont val="Arial"/>
        <color theme="1"/>
        <sz val="10.0"/>
      </rPr>
      <t xml:space="preserve">A summary of the demographics variables are showed in Table III. Because of the limited numbers of collected project samples, </t>
    </r>
    <r>
      <rPr>
        <rFont val="Arial"/>
        <b/>
        <color theme="1"/>
        <sz val="10.0"/>
      </rPr>
      <t>we must discretize the sample data into binary data to make the information fully reflect in the conditional probability tables of the learned Bayesian Network.</t>
    </r>
    <r>
      <rPr>
        <rFont val="Arial"/>
        <color theme="1"/>
        <sz val="10.0"/>
      </rPr>
      <t xml:space="preserve"> "] ["D.  Bayesian Network Construction and Analysis Using Cheng’s algorithm [33] and the previously defined partial ordering constraints, we got the final Bayesian Network, as showed in Fig. 1. And the</t>
    </r>
    <r>
      <rPr>
        <rFont val="Arial"/>
        <b/>
        <color theme="1"/>
        <sz val="10.0"/>
      </rPr>
      <t xml:space="preserve"> conditional probability tables (CPTs) of the direct parent nodes of the node Outcome are listed in the Appendix</t>
    </r>
    <r>
      <rPr>
        <rFont val="Arial"/>
        <color theme="1"/>
        <sz val="10.0"/>
      </rPr>
      <t>. "]</t>
    </r>
  </si>
  <si>
    <t>Cross-validation, comparison with existing models (decision trees, neural networks), statistical measures (precision, recall, F-measure)</t>
  </si>
  <si>
    <r>
      <rPr>
        <rFont val="Arial"/>
        <color theme="1"/>
        <sz val="10.0"/>
      </rPr>
      <t xml:space="preserve">["Moreover, the model also has higher predictive accuracy. We applied </t>
    </r>
    <r>
      <rPr>
        <rFont val="Arial"/>
        <b/>
        <color theme="1"/>
        <sz val="10.0"/>
      </rPr>
      <t>10-fold cross-validation</t>
    </r>
    <r>
      <rPr>
        <rFont val="Arial"/>
        <color theme="1"/>
        <sz val="10.0"/>
      </rPr>
      <t xml:space="preserve"> on the target node Outcome to obtain its average predictive accuracy. The final average predictive accuracy of the model is 80%. Meanwhile, </t>
    </r>
    <r>
      <rPr>
        <rFont val="Arial"/>
        <b/>
        <color theme="1"/>
        <sz val="10.0"/>
      </rPr>
      <t>we adopt other measurements, namely Precision, Recall and F-Measure, to make a comparison with Decision Trees and Neural Network</t>
    </r>
    <r>
      <rPr>
        <rFont val="Arial"/>
        <color theme="1"/>
        <sz val="10.0"/>
      </rPr>
      <t>. The verification results show that the Bayesian Network is better than Decision Trees and Neural Network on the above measurements. A predication performance comparison of the three algorithms is showed in Table V. "]</t>
    </r>
  </si>
  <si>
    <t>Survey with practitioners, expert-based structural constraints, V-structure discovery algorithm, Cheng's algorithm, risk-centric modeling</t>
  </si>
  <si>
    <r>
      <rPr>
        <rFont val="Arial"/>
        <color theme="1"/>
        <sz val="10.0"/>
      </rPr>
      <t>["</t>
    </r>
    <r>
      <rPr>
        <rFont val="Arial"/>
        <b/>
        <color theme="1"/>
        <sz val="10.0"/>
      </rPr>
      <t>4. Application of the methodology</t>
    </r>
    <r>
      <rPr>
        <rFont val="Arial"/>
        <color theme="1"/>
        <sz val="10.0"/>
      </rPr>
      <t xml:space="preserve"> 4.1. Software project risk model </t>
    </r>
    <r>
      <rPr>
        <rFont val="Arial"/>
        <b/>
        <color theme="1"/>
        <sz val="10.0"/>
      </rPr>
      <t>Wallace et al. [59] defined 27 software risks classified into six dimensions, as shown in Table 1, and seven project performance measures classified into two dimensions, as shown in Table 2. In this research, we use this classification framework because it summarizes the previous studies, conforms to the socio-technical system theory, suitable for a wide range of software projects, and has been the topic of subsequent research [19, 21]. 4.2. Sample data set</t>
    </r>
    <r>
      <rPr>
        <rFont val="Arial"/>
        <color theme="1"/>
        <sz val="10.0"/>
      </rPr>
      <t xml:space="preserve"> </t>
    </r>
    <r>
      <rPr>
        <rFont val="Arial"/>
        <b/>
        <color theme="1"/>
        <sz val="10.0"/>
      </rPr>
      <t>4.2.1. Data collection and demographics</t>
    </r>
    <r>
      <rPr>
        <rFont val="Arial"/>
        <color theme="1"/>
        <sz val="10.0"/>
      </rPr>
      <t xml:space="preserve"> The current study was conducted in Mainland China. </t>
    </r>
    <r>
      <rPr>
        <rFont val="Arial"/>
        <b/>
        <color theme="1"/>
        <sz val="10.0"/>
      </rPr>
      <t>A total of 500 questionnaires were sent out to employees of randomly selected software companies that are listed as members of the Guangdong Software Industry Association</t>
    </r>
    <r>
      <rPr>
        <rFont val="Arial"/>
        <color theme="1"/>
        <sz val="10.0"/>
      </rPr>
      <t xml:space="preserve">. The names of the members of the association were arranged in random before the selection to avoid selection bias. </t>
    </r>
    <r>
      <rPr>
        <rFont val="Arial"/>
        <b/>
        <color theme="1"/>
        <sz val="10.0"/>
      </rPr>
      <t>The respondents were asked to complete the questionnaires based on their recently concluded software projects.</t>
    </r>
    <r>
      <rPr>
        <rFont val="Arial"/>
        <color theme="1"/>
        <sz val="10.0"/>
      </rPr>
      <t xml:space="preserve"> Out of 500, 350 respondents returned the questionnaires, thus yielding a response rate of 70%. After discarding the incomplete questionnaires,</t>
    </r>
    <r>
      <rPr>
        <rFont val="Arial"/>
        <b/>
        <color theme="1"/>
        <sz val="10.0"/>
      </rPr>
      <t xml:space="preserve"> 302 valid responses were obtained.</t>
    </r>
    <r>
      <rPr>
        <rFont val="Arial"/>
        <color theme="1"/>
        <sz val="10.0"/>
      </rPr>
      <t xml:space="preserve"> The summary of the profile demographics is shown in Table 3. The responses were not filtered because the employed risk model in this present study was meant for general software projects. </t>
    </r>
    <r>
      <rPr>
        <rFont val="Arial"/>
        <b/>
        <color theme="1"/>
        <sz val="10.0"/>
      </rPr>
      <t>Various types of software projects were collected from cross-sectional data</t>
    </r>
    <r>
      <rPr>
        <rFont val="Arial"/>
        <color theme="1"/>
        <sz val="10.0"/>
      </rPr>
      <t xml:space="preserve">, including the development of information systems (over 70%), client server systems,e-commerce systems, new generation of game systems, mobile applications, office automation systems, and soon. Among those samples, 25.2% of the projects are considered successful, whereas the rest are regarded unsatisfactory or canceled. The success rate corresponded with the actual software productivity, which is slightly lower than the average success rate of global software projects (32%, as reported by the Standish Group[55]). A wide variety of industries, including the government (14.57%), information industry (28.48%), manufacturing(11.59%), and commerce(15.23%), among others, are represented in the final samples (302). In terms of project scale, more than 40% of the projects have more than 10 team members and more than six months of development time. The development scale ranges from under 500 to over 10,000 function points, and the project, which has less than 500 function points, is the largest contributor (76.82%). The respondents are highly qualified individuals who can provide credible information for the study. Over 80% of the respondents are project managers (25.83%), project technical leaders (17.22%), or development team members (36.75%) with a related work experience of more than three years. </t>
    </r>
    <r>
      <rPr>
        <rFont val="Arial"/>
        <b/>
        <color theme="1"/>
        <sz val="10.0"/>
      </rPr>
      <t>4.2.2.Data pre-processing</t>
    </r>
    <r>
      <rPr>
        <rFont val="Arial"/>
        <color theme="1"/>
        <sz val="10.0"/>
      </rPr>
      <t xml:space="preserve"> All factors are measured on a </t>
    </r>
    <r>
      <rPr>
        <rFont val="Arial"/>
        <b/>
        <color theme="1"/>
        <sz val="10.0"/>
      </rPr>
      <t>five-point Likert scale. We followed the methodology introduced by Lauría et al.[27] to discretize the data using a binary scheme</t>
    </r>
    <r>
      <rPr>
        <rFont val="Arial"/>
        <color theme="1"/>
        <sz val="10.0"/>
      </rPr>
      <t xml:space="preserve">, where s0=“low” and s1=“high” performance (high performance indicates low risk). According to the Standish Group [53], a software project is considered completely successful if all aspects are successful (i.e.,completed on-time and on budget with all features and functions as initially specified), otherwise challenged (i.e. partially failed) or failed completely. With respect to the two output variables, we define process performance as “high” when both Time and Cost are “high”, otherwise as “low”. Similarly, we define product performance as “high” when QS1, QS2, QS3, QU1, and QU2 are “high”, otherwise as “low”. We regard projects with “high” product performance and “high” process performance as successful. </t>
    </r>
    <r>
      <rPr>
        <rFont val="Arial"/>
        <b/>
        <color theme="1"/>
        <sz val="10.0"/>
      </rPr>
      <t>4.3.Expert knowledge</t>
    </r>
    <r>
      <rPr>
        <rFont val="Arial"/>
        <color theme="1"/>
        <sz val="10.0"/>
      </rPr>
      <t xml:space="preserve"> Wallace et al.[59] studied how software project risks affect project performance and developed their model based on project management literature and the socio-technical systems theory.Their model is well-received by colleagues and has been further studied [19,21]. The socio-technical systems theory emphasizes on the fit between technical and social subsystems. Social subsystem risks consist of organizational environment risk and user risk, whereas technical subsystem risks consist of requirement risk and project complexity risk. Planning &amp; control risk and team risk are grouped into project management risks. In ref. [59], the following hypotheses were verified: (1) project management risk affects process performance and product performance; (2) process performance affects product performance; (3) social subsystem risks and technical subsystem risks affect project management risks; and (4) social subsystem risks affect technical subsystem risks.Therefore, </t>
    </r>
    <r>
      <rPr>
        <rFont val="Arial"/>
        <b/>
        <color theme="1"/>
        <sz val="10.0"/>
      </rPr>
      <t>we obtain the following partial ordering constraints among six risk dimensions:</t>
    </r>
    <r>
      <rPr>
        <rFont val="Arial"/>
        <color theme="1"/>
        <sz val="10.0"/>
      </rPr>
      <t xml:space="preserve"> (1) Org,User,Req,Comp,P&amp;C,Team➔pProcess,Product (2) Process➔pProduct (3)Org,User,Req,Comp➔pP&amp;C,Team (4)Org,User➔pReq,Comp </t>
    </r>
    <r>
      <rPr>
        <rFont val="Arial"/>
        <b/>
        <color theme="1"/>
        <sz val="10.0"/>
      </rPr>
      <t>4.4.Discovered causality</t>
    </r>
    <r>
      <rPr>
        <rFont val="Arial"/>
        <color theme="1"/>
        <sz val="10.0"/>
      </rPr>
      <t xml:space="preserve"> The </t>
    </r>
    <r>
      <rPr>
        <rFont val="Arial"/>
        <b/>
        <color theme="1"/>
        <sz val="10.0"/>
      </rPr>
      <t>V-structure discovery algorithm was applied to the collected samples</t>
    </r>
    <r>
      <rPr>
        <rFont val="Arial"/>
        <color theme="1"/>
        <sz val="10.0"/>
      </rPr>
      <t>. In sum, 10 V-structures were determined to cover 14 risk factors and two project outcomes. We then connected these V-structures to construct a causality network by connecting two V-structures which shares a common node. The resultant causality network has 19 edges (one duplicate causality edge was deleted), as shown in Fig.4 (risk factors not covered by the V-structures are not shown). Two V-structures, for example, “Req4➔P&amp;C3←Team2”and“Req4➔Team1←Team2” can be connected to the upper-left part of the network (Fig.4).</t>
    </r>
    <r>
      <rPr>
        <rFont val="Arial"/>
        <b/>
        <color theme="1"/>
        <sz val="10.0"/>
      </rPr>
      <t>The most discovered causalities are in accordance with the current expert knowledge</t>
    </r>
    <r>
      <rPr>
        <rFont val="Arial"/>
        <color theme="1"/>
        <sz val="10.0"/>
      </rPr>
      <t xml:space="preserve">. Only three dotted edges out of 19 obtained edges showed non conformity with the model of Wallace et al. [59], such as “Product➔Team3” and “Req2➔User4”, which should be reversed. The learned directions were inconsistent. Generally speaking, the product performance did not affect the skill of the team member, whereas incomplete requirements were due to the lack of user commitment. Non conformity mainly emerged from the noisy data in the collected samples. </t>
    </r>
    <r>
      <rPr>
        <rFont val="Arial"/>
        <b/>
        <color theme="1"/>
        <sz val="10.0"/>
      </rPr>
      <t>After identifying the noisy data,three dotted edges were deleted, whereas 16 edges were retained</t>
    </r>
    <r>
      <rPr>
        <rFont val="Arial"/>
        <color theme="1"/>
        <sz val="10.0"/>
      </rPr>
      <t xml:space="preserve">. </t>
    </r>
    <r>
      <rPr>
        <rFont val="Arial"/>
        <b/>
        <color theme="1"/>
        <sz val="10.0"/>
      </rPr>
      <t>4.5.1. Final model</t>
    </r>
    <r>
      <rPr>
        <rFont val="Arial"/>
        <color theme="1"/>
        <sz val="10.0"/>
      </rPr>
      <t xml:space="preserve"> We apply </t>
    </r>
    <r>
      <rPr>
        <rFont val="Arial"/>
        <b/>
        <color theme="1"/>
        <sz val="10.0"/>
      </rPr>
      <t>Cheng's BN learning algorithm [7] to construct a complete model.</t>
    </r>
    <r>
      <rPr>
        <rFont val="Arial"/>
        <color theme="1"/>
        <sz val="10.0"/>
      </rPr>
      <t xml:space="preserve"> This algorithm, an extension of the Chow and Liu's BN algorithm [8], has three phases: drafting, thickening, and thinning. </t>
    </r>
    <r>
      <rPr>
        <rFont val="Arial"/>
        <b/>
        <color theme="1"/>
        <sz val="10.0"/>
      </rPr>
      <t>Expert knowledge is added (see Section 3.4) as partial ordering constraint on the edge orientation among variables. Causal edges (see Fig. 4) are directly added as existence constraints (i.e. existing edges of the final BN). Finally, a BN based on the total samples is automatically learned, as shown in Fig. 5.</t>
    </r>
    <r>
      <rPr>
        <rFont val="Arial"/>
        <color theme="1"/>
        <sz val="10.0"/>
      </rPr>
      <t xml:space="preserve"> Different types of line shapes represent different types of edges: the bold line represents the causal edge found by the V-structure discovery algorithm; the arrow direction of the edge represents the causal direction; and dotted line represents the correlation edge, the direction of which has no significance and can be redirected to a reverse orientation."]</t>
    </r>
  </si>
  <si>
    <r>
      <rPr>
        <rFont val="Arial"/>
        <color theme="1"/>
        <sz val="10.0"/>
      </rPr>
      <t>["4.2.2.</t>
    </r>
    <r>
      <rPr>
        <rFont val="Arial"/>
        <b/>
        <color theme="1"/>
        <sz val="10.0"/>
      </rPr>
      <t>Data pre-processing</t>
    </r>
    <r>
      <rPr>
        <rFont val="Arial"/>
        <color theme="1"/>
        <sz val="10.0"/>
      </rPr>
      <t xml:space="preserve"> All factors are measured on a five-point Likert scale.We followed the methodology introduced by Lauría et al.[27] to discretize the data using a binary scheme, where s0=“low” and s1=“high” performance (high performance indicates low risk). According to the Standish Group [53], a software project is considered completely successful if all aspects are successful (i.e.,completed on-time and on budget with all features and functions as initially specified), otherwise challenged (i.e. partially failed) or failed completely. With respect to the two output variables, we define process performance as “high” when both Time and Cost are “high”, otherwise as“low”. Similarly, we define product performance as “high” when QS1,QS2,QS3,QU1, and QU2 are “high”, otherwise as “low”. We regard projects with “high” product performance and “high” process performance as successful. The size of our dataset does not permit greater granularity (e.g., where s0=“high”, s1=“medium”, and s2=“low”). Assuming an average of three parents per variable, </t>
    </r>
    <r>
      <rPr>
        <rFont val="Arial"/>
        <b/>
        <color theme="1"/>
        <sz val="10.0"/>
      </rPr>
      <t>our binary scheme with 29 variables requires the estimation of 232 parameters (29×23), comparing favorably with the 302 available cases</t>
    </r>
    <r>
      <rPr>
        <rFont val="Arial"/>
        <color theme="1"/>
        <sz val="10.0"/>
      </rPr>
      <t>."]</t>
    </r>
  </si>
  <si>
    <t>Cross-validation, comparison with existing models (C4.5, Naïve Bayes, TAN, BAN, and logistic regression analysis)</t>
  </si>
  <si>
    <r>
      <rPr>
        <rFont val="Arial"/>
        <color theme="1"/>
        <sz val="10.0"/>
      </rPr>
      <t xml:space="preserve">["4.5.3. </t>
    </r>
    <r>
      <rPr>
        <rFont val="Arial"/>
        <b/>
        <color theme="1"/>
        <sz val="10.0"/>
      </rPr>
      <t>Model evaluation</t>
    </r>
    <r>
      <rPr>
        <rFont val="Arial"/>
        <color theme="1"/>
        <sz val="10.0"/>
      </rPr>
      <t xml:space="preserve">: prediction performance and comparison </t>
    </r>
    <r>
      <rPr>
        <rFont val="Arial"/>
        <b/>
        <color theme="1"/>
        <sz val="10.0"/>
      </rPr>
      <t xml:space="preserve">For the model performance, this study used a 10-fold crossvalidation method to evaluate the prediction accuracy of the learned BN and compared it with the classic data mining algorithms that can provide explicit knowledge (through an interpretable model or the “white-box” model), such as (logistic) regression analysis, decision trees, and the Naïve Bayes, </t>
    </r>
    <r>
      <rPr>
        <rFont val="Arial"/>
        <color theme="1"/>
        <sz val="10.0"/>
      </rPr>
      <t xml:space="preserve">rather than algorithms that simply provide classification, such as neural networks, and support vector machine. We used the algorithms employed in the well-known data-mining software Weka (available at: http://www.cs.waikato.ac.nz/ml/weka/). The results (see Table 4) show that the prediction accuracy of our proposed model is higher than that of typical data mining algorithms (e.g., </t>
    </r>
    <r>
      <rPr>
        <rFont val="Arial"/>
        <b/>
        <color theme="1"/>
        <sz val="10.0"/>
      </rPr>
      <t>C4.5, Naïve Bayes, TAN, BAN, and logistic regression analysis</t>
    </r>
    <r>
      <rPr>
        <rFont val="Arial"/>
        <color theme="1"/>
        <sz val="10.0"/>
      </rPr>
      <t>). The higher performance of the proposed model is attributed to the incorporation of expert knowledge and causality discovery into the Bayesian network learning process, which can significantly reduce the negative effect of trivial correlation and improve the reliability of the discovered causal relation among the variables, thus the proposed method promote prediction accuracy. Therefore, our model can also be used for risk prediction."]</t>
    </r>
  </si>
  <si>
    <t>Expert-derived categories/thresholds, interviews</t>
  </si>
  <si>
    <r>
      <rPr>
        <rFont val="Arial"/>
        <color theme="1"/>
        <sz val="10.0"/>
      </rPr>
      <t xml:space="preserve">["3. DESIGN OF THE MODEL Schedule overrun ‘always’ occurs in 1%, ‘usually’ in 31%, ‘sometimes’ in 50%, ‘rarely’ in 15%, and, ‘never’ in 2% of the SDP [6]. According to [7], and based on extensive interviews we have conducted with 45 software professionals, it has been identified that the major factor responsible for the delay in delivery of the SDP is low productivity of the software professionals involved in the development of the project. Now, according to [7], and based on extensive interviews conducted with 35 software professionals it has been identified that the following risk factors have more adverse impact on productivity of the professionals than others. Brief descriptions of these factors are as follows: • Reliance on few key personnel: If the work culture of the organization is biased towards few personnel only then it may lead to bottleneck at them as well as reduced morale of the other professionals which ultimately leads to reduced productivity. • Immature technology: Technology used to build software is very new and not very much used. • Lack of client support: Client of the project is not very supportive in discussing the specifications during development of the project. It may lead to communication gap or reduced morale of the professionals involved and hence the productivity • Lack of contact person’s competence: The person from client side might be supportive but not competent enough to deal with the software professional team. This again may lead to communication gap between the two parties or reduced morale of the professionals which may ultimately influence productivity of the professionals involved. The aim of designing this model is to predict the delay (in months) in the delivery of the project due to the risk factors mentioned above. These risk factors are presented as chance nodes as shown in figure 2. "] ["3.2 Measurement Scale for Influence For each node (of ID) of this model, a measurement scale i.e., a categorization (such as frequent, probable etc.) of possible outcomes is identified. This scale is as close as possible to the way the management conducts assessment in an organization and so this model fits well into the organization. </t>
    </r>
    <r>
      <rPr>
        <rFont val="Arial"/>
        <b/>
        <color theme="1"/>
        <sz val="10.0"/>
      </rPr>
      <t>With the help of experts, following five categories (called possible outcomes) have been identified for the nodes discussed above. Frequent: If the risk factor occurs very often. Probable: If it occurs less frequently. Occasional: If it occurs at a normal frequency. Remote: If it occurs less. Improbable: If the risk occurs rarely.</t>
    </r>
    <r>
      <rPr>
        <rFont val="Arial"/>
        <color theme="1"/>
        <sz val="10.0"/>
      </rPr>
      <t xml:space="preserve"> Since all the risk factors do not have the same effect on Low Productivity, so severity level of each of the risk factor has to be identified. </t>
    </r>
    <r>
      <rPr>
        <rFont val="Arial"/>
        <b/>
        <color theme="1"/>
        <sz val="10.0"/>
      </rPr>
      <t>The measurement scale for severity of risk factor is developed by extensive interviews from 45 software engineers. According to these interviews and with reference to [9], the default scale for severity of risk factors is found to be: Catastrophic: If the risk factor leads to a very large loss or has very severe impact. Critical: If loss is lesser severe. Serious: If loss due to the risk factor is normal. Minor: If consequence or loss is less. Negligible: If consequence or loss is least. "]</t>
    </r>
  </si>
  <si>
    <t>Interviews, K2 algorithm, direct function (e.g. sum, formula)</t>
  </si>
  <si>
    <t>["3.4 Generating Conditional Probability Tables In order to develop ID, probability tables are required to be populated for all of its chance nodes. Probability of occurrence of all possible outcomes of nodes without any parent nodes (Reliance on few key personnel, immature technology, lack of client support, lack of contact person’s competence) is equally likely. But for nodes having parent nodes Conditional Probability Tables (CPT) are required to be generated. To generate CPT for node ‘Low Productivity’ of ID, first of all impacts of risk factors entered as shown in figure 3 are normalized. This means relative strength of influence of each parent node on child node is calculated [10]. This can be done using function normalized as discussed below. Function normalize is Input: Impact of each risk factor involved i1, i2,…, in Output: Normalized weights of given risk factors w1, w2,……, wn For each of the risks involved, ti is assigned value on the basis of the severity of its impact. ti=5 if impact is catastrophic ti =4 if impact is critical ti =3 if impact is severe ti =2 if impact is minor ti =1 if impact is negligible where i=1, 2, 3, …. , n. Relative weight of risk factor (i) i iitwt = ∑ end function For all the risk factors i=1, 2,…n, the relative weights wi come out to be in the interval [0,1]. Sum of relative weights of all the risk factors comes out to be 1. 11 0 1ni iiw and w = ∑ = ≤≤ (2) For instance, if the impact of various risk factors on delay in schedule is as entered in figure 3 then relative or normalized weights are calculated as discussed below. For ‘Reliance on Few Key Personnel’ the impact is entered to be ‘Critical’. So, as discussed in function normalize t1 = 4. Similarly, for ‘Immature Technology’ the impact is entered to be ‘Catastrophic’. So t2=5. For ‘Lack of client support’ the impact is entered to be ‘Severe’. So t3=3 For ‘Lack of Contact Person’s Competence’ the impact is entered to be ‘Minor. So t4=2. Corresponding relative weights calculated by using function normalize is w1=t1/(t1+t2+t3+t4)=4/(4+5+3+2)=4/14 w2=t2/(t1+t2+t3+t4)=5/(4+5+3+2)=5/14 w3=t3/(t1+t2+t3+t4)= 3/(4+5+3+2)=3/14 (3) w4=t4/(t1+t2+t3+t4)= 2/(4+5+3+2)=2/14  After getting normalized weights we can countercheck the weights by calculating 41iiw=∑ which comes out to be w1+w2+w3+w4 (calculated above) = 4/14+5/14+3/14+2/14 =14/14 =1 as discussed in section 2.  In order to calculate the joint CPT for 'Low Productivity' with respect to all the risk factors occurring simultaneously, temporary ID's and hence CPT's are to be constructed for each individual relationship (indicated in figure 2) by using K2 technique [12]. K2 algorithm is used for constructing a BN from a database of records. For the current ID, this database is built by past historic data and expert interviews. Table 1 is one such sample database. Each row of this table indicates the probability of occurrence of all the risk factors and 'Low Productivity'. So, K2 algorithmic technique [12] could be used to calculateconditional probability table (CPT) for ‘Low Productivity’. CPT is developed for: ‘Reliance on Few Key Personnel’---‘Low Productivity’, ‘Immature Technology ‘----‘Low Productivity’, ‘Lack of Client Support’---‘ Low Productivity’’, and ‘Lack of contact person’s competence’---‘ Low Productivity’ as shown in tables 2-5. CPT for ‘Low Productivity’ can be calculated by using following formula. According to [3], ( ) ( ) 12 4 3 4 1234 1 ,,, j q q qq q q q j j jp x y y y y w px y = = × ∑ (4) Where q, qj = {Frequent, Probable, Occasional, Remote and Improbable}. j=1,2,3,4. x=Low Productivity, y1=Reliance on Few Key Personnel, y2= Immature Technology, y3=Lack of Client Support, y4= Lack of Contact Person’s Competence. wj is normalized impact of risk factor j as obtained by function normalize discussed above. For instance, Input: Impacts of risk factors as entered in figure 3. "]</t>
  </si>
  <si>
    <t>["4. EVALUATION OF RESULTS This model uses the above built ID and calculates the actual slippage in schedule (in months) due to already mentioned risk factors. ‘Schedule Overrun’ is a utility node which is driven by ‘Low Productivity’, as shown in figure 2 and as discussed in section 3. A utility table is associated with this node which holds the schedule overrun in months for each possible outcome of ‘Low Productivity’. This table could be populated with values obtained by expert interviews."]</t>
  </si>
  <si>
    <t>K2 algorithm, expert refinement</t>
  </si>
  <si>
    <t>Expert-derived categories/thresholds, automatic discretization (Sturge's rule, equal intervals)</t>
  </si>
  <si>
    <r>
      <rPr>
        <rFont val="Arial"/>
        <color theme="1"/>
        <sz val="10.0"/>
      </rPr>
      <t xml:space="preserve">["The dataset that was used in this analysis is the COCOMO81 [2] dataset coming from TRW defense systems. This dataset consists of 63 projects. A set of 17 attributes, called cost drivers, that is considered to contribute to productivity, and as a consequence to cost, is used in order to extract useful patterns. </t>
    </r>
    <r>
      <rPr>
        <rFont val="Arial"/>
        <b/>
        <color theme="1"/>
        <sz val="10.0"/>
      </rPr>
      <t>These attributes, based also on the analysis of Kitchenham in [8], can take the following values: Super Low (SL), Extra Low (EL), Very Low (VL), Low (L), Nominal (N), High (H),Very High (VH), Extra high (EH), Super High (SH).</t>
    </r>
    <r>
      <rPr>
        <rFont val="Arial"/>
        <color theme="1"/>
        <sz val="10.0"/>
      </rPr>
      <t xml:space="preserve"> "] ["</t>
    </r>
    <r>
      <rPr>
        <rFont val="Arial"/>
        <b/>
        <color theme="1"/>
        <sz val="10.0"/>
      </rPr>
      <t>The variables considered up to now are discrete, categorical, and therefore suitable for fitting into a BBN. A problem though arises in productivity that is a continuous variable, which needs to be quantified into discrete valued categories.</t>
    </r>
    <r>
      <rPr>
        <rFont val="Arial"/>
        <color theme="1"/>
        <sz val="10.0"/>
      </rPr>
      <t xml:space="preserve"> The choice of the number of intervals and the width of each interval had to be defined. The number of intervals may be selected automatically according to various rules that are proposed in the statistical literature, depending on the number of projects in the dataset and the variance of the actual productivity values, keeping in mind that the narrower the interval, the more useful the estimate is.</t>
    </r>
    <r>
      <rPr>
        <rFont val="Arial"/>
        <b/>
        <color theme="1"/>
        <sz val="10.0"/>
      </rPr>
      <t xml:space="preserve"> Sturge’s rule</t>
    </r>
    <r>
      <rPr>
        <rFont val="Arial"/>
        <color theme="1"/>
        <sz val="10.0"/>
      </rPr>
      <t xml:space="preserve"> [18] was taken into consideration for the determination of the number of the prediction intervals: K = 1+ 3 . 3 log n (2) where n is the number of records in the dataset (63). In this case K ≈ 6.9 ≈ 7. We wanted unequal intervals due to the log-normal distribution of productivity values. As a consequence, </t>
    </r>
    <r>
      <rPr>
        <rFont val="Arial"/>
        <b/>
        <color theme="1"/>
        <sz val="10.0"/>
      </rPr>
      <t>equal intervals of the logarithm of productivity were taken</t>
    </r>
    <r>
      <rPr>
        <rFont val="Arial"/>
        <color theme="1"/>
        <sz val="10.0"/>
      </rPr>
      <t>, classifying each project into one of these categories. The borders of the categories coming from the transformation of the logarithmic values to normal were not rounded but in order to make the intervals chosen appealing and easily identifiable by a human we rounded lower and upper limits without disturbing the distribution of projects into the statistically derived categories. This method has an additional benefit: intervals grow progressively larger, so as to allow larger magnitude errors for higher productivity values. For the COCOMO81 dataset, productivity was counted in delivered source code per man month namely DSI, representing the size of the project, for which 7 intervals were also devised. The productivity intervals are shown in (Table 6). "] ["</t>
    </r>
    <r>
      <rPr>
        <rFont val="Arial"/>
        <b/>
        <color theme="1"/>
        <sz val="10.0"/>
      </rPr>
      <t>The process continues with the automated definition of the structure of the network from the training data</t>
    </r>
    <r>
      <rPr>
        <rFont val="Arial"/>
        <color theme="1"/>
        <sz val="10.0"/>
      </rPr>
      <t xml:space="preserve">. For this purpose an heuristic algorithm was applied to the data [4]. The main problem was that </t>
    </r>
    <r>
      <rPr>
        <rFont val="Arial"/>
        <b/>
        <color theme="1"/>
        <sz val="10.0"/>
      </rPr>
      <t>this algorithm</t>
    </r>
    <r>
      <rPr>
        <rFont val="Arial"/>
        <color theme="1"/>
        <sz val="10.0"/>
      </rPr>
      <t xml:space="preserve">, apart from the values of the NPT tables, also </t>
    </r>
    <r>
      <rPr>
        <rFont val="Arial"/>
        <b/>
        <color theme="1"/>
        <sz val="10.0"/>
      </rPr>
      <t>defines automatically the structure of the BBN</t>
    </r>
    <r>
      <rPr>
        <rFont val="Arial"/>
        <color theme="1"/>
        <sz val="10.0"/>
      </rPr>
      <t xml:space="preserve">. Although this function is very useful for datasets with few fields, few categories for each variable and strong relationships among them, it tends to complicate things when the database includes several fields and many variable categories. In these cases, a very complex Bayesian Network arose where variables, which seemed so far independent, according to the algorithm were found dependent. The only directions that we can give to the algorithm are the order of the nodes, according to which the search of the parents for each node is done. The formula that is used for the construction of the BBN is the following, where D is a database of cases, Z is the set of variables represented by D and Bsi and Bsj are two Bayes network structures containing exactly those variables that are in Z: (...) A variable xi in Z has ri possible value assignment ( i ir ij v v ,......, ), each variable xi in Bs has a number of parents who are represented by a list of variables πi ,qi represents the unique instantiations of πi , wij denotes the jth unique instantiation of πi, Nijk is the number of cases in D in which variable xi has the value of vik and πi is instantiated as wij. </t>
    </r>
    <r>
      <rPr>
        <rFont val="Arial"/>
        <b/>
        <color theme="1"/>
        <sz val="10.0"/>
      </rPr>
      <t>Further details of k2 algorithm can be found in [4]</t>
    </r>
    <r>
      <rPr>
        <rFont val="Arial"/>
        <color theme="1"/>
        <sz val="10.0"/>
      </rPr>
      <t xml:space="preserve">. </t>
    </r>
    <r>
      <rPr>
        <rFont val="Arial"/>
        <b/>
        <color theme="1"/>
        <sz val="10.0"/>
      </rPr>
      <t>Although the suggested BBN from this algorithm indicated interesting relationships among variables, it needed further refinement and processing. Using our intuition, some nodes were inserted and others were deleted especially in the case of productivity node</t>
    </r>
    <r>
      <rPr>
        <rFont val="Arial"/>
        <color theme="1"/>
        <sz val="10.0"/>
      </rPr>
      <t>.  "]</t>
    </r>
  </si>
  <si>
    <t>["The main problem was that this algorithm, apart from the values of the NPT tables, also defines automatically the structure of the BBN. (...) Further details of k2 algorithm can be found in [4]. "]</t>
  </si>
  <si>
    <t>Statistical measures (MMRE, Pred(k), hitrate</t>
  </si>
  <si>
    <r>
      <rPr>
        <rFont val="Arial"/>
        <color theme="1"/>
        <sz val="10.0"/>
      </rPr>
      <t xml:space="preserve">["4 Results Before discussing the results, it is useful to define the accuracy metrics that will be used in order to compare and evaluate the results of the model. In particular, </t>
    </r>
    <r>
      <rPr>
        <rFont val="Arial"/>
        <b/>
        <color theme="1"/>
        <sz val="10.0"/>
      </rPr>
      <t>Mean Magnitude Relative Error</t>
    </r>
    <r>
      <rPr>
        <rFont val="Arial"/>
        <color theme="1"/>
        <sz val="10.0"/>
      </rPr>
      <t xml:space="preserve"> will be used, defined as: ∑ = − = n i i i i P E P n MMRE 1 100 (6) where Pi is the actual productivity, Ei is the estimate and n is the number of projects. In the case of interval estimates, relative errors are calculated by considering the mean of the interval. Also, ) </t>
    </r>
    <r>
      <rPr>
        <rFont val="Arial"/>
        <b/>
        <color theme="1"/>
        <sz val="10.0"/>
      </rPr>
      <t>PRED(Y)</t>
    </r>
    <r>
      <rPr>
        <rFont val="Arial"/>
        <color theme="1"/>
        <sz val="10.0"/>
      </rPr>
      <t xml:space="preserve"> will be used, i.e. the percentage of projects for which the prediction falls within the Y% of the actual value. In this study, we employ</t>
    </r>
    <r>
      <rPr>
        <rFont val="Arial"/>
        <b/>
        <color theme="1"/>
        <sz val="10.0"/>
      </rPr>
      <t xml:space="preserve"> PRED(25)</t>
    </r>
    <r>
      <rPr>
        <rFont val="Arial"/>
        <color theme="1"/>
        <sz val="10.0"/>
      </rPr>
      <t xml:space="preserve"> . For the evaluation of the models, </t>
    </r>
    <r>
      <rPr>
        <rFont val="Arial"/>
        <b/>
        <color theme="1"/>
        <sz val="10.0"/>
      </rPr>
      <t>hitrate</t>
    </r>
    <r>
      <rPr>
        <rFont val="Arial"/>
        <color theme="1"/>
        <sz val="10.0"/>
      </rPr>
      <t xml:space="preserve"> will also be used [7], i.e. the percentage of projects for which the correct interval has been successfully estimated. Usually the validation of a model is done by removing one data point at a time from the dataset, recalculating the model and estimating the value of the project that was left out (this method is known as JackKnifing). Also in order to demonstrate the fitting of the model to the data, the same accuracy metrics are presented for the whole dataset (same training and validation data). In the literature, desired values for MMRE and PRED(25) are 0.25 and 0.75 respectively. However, such values are rarely produced by cost estimation studies because of the difficulty of the problem and the lack of suitable data. We consider that a reasonable desired value for hitrate may be 0.75. Initially, K2 algorithm [4] was applied to the data in order to have a suggestion of the structure of the model based totally on automated statistical analysis.  The BBN that was extracted is presented in Figure 1 with the help of an open source tool [14]. Each node is accompanied by a number representing fitting hitrate. Algorithms searching for the structure of the model tend to reduce as possible the number of the parents of each node. Typically, up to 5 parents are accepted for each node. It is obvious that in most cases one parent is selected for each node. So in cases that the parent has approximately as many discrete values as the child node or more, hitrates are improved, estimating correctly the 3/5 of the projects according to the predicted attribute (VEXP, PCAP, TIME, CONT). In cases where two parents are considered (SCED, MODP, CPLX, MODE) hitrates are further improved, showing that when more parents are considered more information is exploited for estimating the values of a particular node and as a result the estimation is more successful. In the case of the nodes representing DSI and productivity the results are not so impressive. Regarding productivity this result should be expected, considering the fact that productivity takes 7 discrete values unlike its parent (MODE), which takes only 3 discrete values. According to the conditional probabilities for each discrete value of MODE, one productivity interval is more likely to be noticed in each case, so only three productivity categories are considered and projects belonging to other intervals are misclassified. The same explanation stands up for DSI.  Especially for productivity, it is evident that the parent nodes should be enriched considering some additional nodes. The suggested parent node (MODE) remains. Application type is inserted as a parent node because from the structure it seems that it affects many relevant nodes affecting indirectly productivity. Also CPLX and PCAP are added as parent nodes as they are two of the most representative cost factors of the product and the programmers’ attributes correspondingly. Various experimentations on the parent nodes indicated that this particular combination of parents was the most appropriate for distributing the projects into the right productivity interval, as projects with similar values in these attributes in many cases belong to the same productivity interval. The proposed alternative structure having productivity as an external node is presented in Figure 2. The change in the parent nodes of productivity does not affect the rest of the model due to the conditional independencies. In this model, more information is taken into account when estimating productivity and, as a result, the fitting of the model to the data, as well as its estimation accuracy are improved (Table 7). It should be mentioned that in many cases a particular combination of parents were included only one time in the dataset so when Jackknifing the model was incapable of estimating many projects. However, for the rest 17 cases that can be estimated, it seems that the model classified correctly the majority of the projects."] </t>
    </r>
  </si>
  <si>
    <t>Literature review, interviews, expert refinement</t>
  </si>
  <si>
    <t>Automatic discretization (equal-frequency binning)</t>
  </si>
  <si>
    <t>Survey with practitioners, learning from data using an automated tool, expert refinement</t>
  </si>
  <si>
    <r>
      <rPr>
        <rFont val="Arial"/>
        <color theme="1"/>
        <sz val="10.0"/>
      </rPr>
      <t xml:space="preserve">["II. PRESENTATION OF THE DATASET VARIABLES In this paper we have analyzed data coming from more than 20 government organizations in the United Arab Emirates (UAE). </t>
    </r>
    <r>
      <rPr>
        <rFont val="Arial"/>
        <b/>
        <color theme="1"/>
        <sz val="10.0"/>
      </rPr>
      <t>The process of collecting information was conducted in three stages, each using a different survey</t>
    </r>
    <r>
      <rPr>
        <rFont val="Arial"/>
        <color theme="1"/>
        <sz val="10.0"/>
      </rPr>
      <t xml:space="preserve">. This posed research questions as to whether and how culture and leadership factors have an impact on the accuracy of software effort and cost estimation. (...) </t>
    </r>
    <r>
      <rPr>
        <rFont val="Arial"/>
        <b/>
        <color theme="1"/>
        <sz val="10.0"/>
      </rPr>
      <t>The final version of the survey involved the collection of data regarding seven groups of parameters that were derived from the literature review, from interviews with administrators, managers and project leaders</t>
    </r>
    <r>
      <rPr>
        <rFont val="Arial"/>
        <color theme="1"/>
        <sz val="10.0"/>
      </rPr>
      <t xml:space="preserve">[5], [6]: Organization Line of Business, Application Type, Organization Type, Organization Culture, Project Leadership, Project Technical Environment and Year of Project Completion. (...) In the survey, conducted a 1-9 scale (1 represents the absence of a certain attribute and 9 represents the dominant existence of a certain attribute) was used to accommodate the majority of respondents and their responses regarding organizational culture and leadership data."] ["In the definition of the BBN it is mentioned that each node represents a variable that takes discrete or continuous finite values. This restriction requires the mapping of the values of the continuous variables into a limited number of classes (discretization). Two issues arise in the </t>
    </r>
    <r>
      <rPr>
        <rFont val="Arial"/>
        <b/>
        <color theme="1"/>
        <sz val="10.0"/>
      </rPr>
      <t>discretization of continuous variables</t>
    </r>
    <r>
      <rPr>
        <rFont val="Arial"/>
        <color theme="1"/>
        <sz val="10.0"/>
      </rPr>
      <t xml:space="preserve">: the number of classes and their range. Due to the small number of projects in the training set we considered three possible mutually exclusive intervals for each variable. We used </t>
    </r>
    <r>
      <rPr>
        <rFont val="Arial"/>
        <b/>
        <color theme="1"/>
        <sz val="10.0"/>
      </rPr>
      <t>equal frequency binning</t>
    </r>
    <r>
      <rPr>
        <rFont val="Arial"/>
        <color theme="1"/>
        <sz val="10.0"/>
      </rPr>
      <t xml:space="preserve"> that divides the range of values into a predetermined number of intervals (three in our case) that contain equal number of instances. Sometimes a variable presented repeated values that did not allow the participation of exactly the same number of projects in each interval. The variables whose values were initially continuous and then were assigned into intervals are presented in table 1 along with the borders of the intervals. "] ["</t>
    </r>
    <r>
      <rPr>
        <rFont val="Arial"/>
        <b/>
        <color theme="1"/>
        <sz val="10.0"/>
      </rPr>
      <t>The initial BBN was derived automatically by a software tool</t>
    </r>
    <r>
      <rPr>
        <rFont val="Arial"/>
        <color theme="1"/>
        <sz val="10.0"/>
      </rPr>
      <t xml:space="preserve"> [2] and is presented in figure 1. (...) </t>
    </r>
    <r>
      <rPr>
        <rFont val="Arial"/>
        <b/>
        <color theme="1"/>
        <sz val="10.0"/>
      </rPr>
      <t>The structure of this BBN does not show any dependency between the values of UFP and the effort values, which is an unusual finding</t>
    </r>
    <r>
      <rPr>
        <rFont val="Arial"/>
        <color theme="1"/>
        <sz val="10.0"/>
      </rPr>
      <t xml:space="preserve">. This absence may be interpreted by the nature of the projects analyzed or may be a simple coincidence. </t>
    </r>
    <r>
      <rPr>
        <rFont val="Arial"/>
        <b/>
        <color theme="1"/>
        <sz val="10.0"/>
      </rPr>
      <t>The fact that several studies in effort estimation concluded that the size of a software project is relevant to the effort required for its completion forced us to further observe the nodes that are directly linked to UFP</t>
    </r>
    <r>
      <rPr>
        <rFont val="Arial"/>
        <color theme="1"/>
        <sz val="10.0"/>
      </rPr>
      <t xml:space="preserve">. (...) Initially we evaluated the BBN of figure 1 using the values of JobStability; the NPT is presented in table 2. (...) </t>
    </r>
    <r>
      <rPr>
        <rFont val="Arial"/>
        <b/>
        <color theme="1"/>
        <sz val="10.0"/>
      </rPr>
      <t>The BBN that was automatically derived presents poor estimation accuracy as all metrics in table 3 take values below a certain acceptable threshold</t>
    </r>
    <r>
      <rPr>
        <rFont val="Arial"/>
        <color theme="1"/>
        <sz val="10.0"/>
      </rPr>
      <t xml:space="preserve"> especially in the test set. This can be explained by the fact that the effort estimation depends only on the values of a single variable that does not seem to have a considerable effect on other variables. </t>
    </r>
    <r>
      <rPr>
        <rFont val="Arial"/>
        <b/>
        <color theme="1"/>
        <sz val="10.0"/>
      </rPr>
      <t>For this reason we empirically considered three new variables as the parent nodes of effort each one coming from the three group of variables considered earlier. We chose these three variables based on a common concept behind software project management, namely the "three P's"</t>
    </r>
    <r>
      <rPr>
        <rFont val="Arial"/>
        <color theme="1"/>
        <sz val="10.0"/>
      </rPr>
      <t xml:space="preserve"> [12]. It is believed that Process, Product and People are the basic building blocks of software projects. Therefore, we chose one variable from each "P". The first variable represents the Product attributes and is OS_2. The second one, namely Interaction, represents Process and comes from the project leadership attributes. The third one, namely TeamExperience, represents people and belongs to the intercultural attributes.</t>
    </r>
  </si>
  <si>
    <r>
      <rPr>
        <rFont val="Arial"/>
        <color theme="1"/>
        <sz val="10.0"/>
      </rPr>
      <t>["The predictive performance of the cost models was based on the calculation of well-known accuracy measures proposed in the literature [9]. More precisely, one measure of local accuracy, which uses the actual ( yA) and estimated ( Ey ) effort, was evaluated for each project in the validation set, namely the magnitude of relative error (</t>
    </r>
    <r>
      <rPr>
        <rFont val="Arial"/>
        <b/>
        <color theme="1"/>
        <sz val="10.0"/>
      </rPr>
      <t>MRE</t>
    </r>
    <r>
      <rPr>
        <rFont val="Arial"/>
        <color theme="1"/>
        <sz val="10.0"/>
      </rPr>
      <t xml:space="preserve">). This local accuracy measure was combined, for each project, to produce a global predictive accuracy measure of the entire validation set. Note that the term “local” refers to the error of each project’s estimation, while the term “global” refers to the error from all combined estimations within a validation set. More specifically, the two global accuracy measures that were computed are: </t>
    </r>
    <r>
      <rPr>
        <rFont val="Arial"/>
        <b/>
        <color theme="1"/>
        <sz val="10.0"/>
      </rPr>
      <t>MMRE and Pred(25)</t>
    </r>
    <r>
      <rPr>
        <rFont val="Arial"/>
        <color theme="1"/>
        <sz val="10.0"/>
      </rPr>
      <t xml:space="preserve">. For the interval comparisons the </t>
    </r>
    <r>
      <rPr>
        <rFont val="Arial"/>
        <b/>
        <color theme="1"/>
        <sz val="10.0"/>
      </rPr>
      <t>hit-rate</t>
    </r>
    <r>
      <rPr>
        <rFont val="Arial"/>
        <color theme="1"/>
        <sz val="10.0"/>
      </rPr>
      <t xml:space="preserve"> was calculated. This is the percentage of estimated intervals containing the actual effort. "]</t>
    </r>
  </si>
  <si>
    <t>K2 algorithm</t>
  </si>
  <si>
    <t>Expert-based structural constraints, K2 algorithm</t>
  </si>
  <si>
    <r>
      <rPr>
        <rFont val="Arial"/>
        <color theme="1"/>
        <sz val="10.0"/>
      </rPr>
      <t xml:space="preserve">["b) Collect the Domain Knowledge: The number of empirical data is hard to be guaranteed because the training of BN requires a large amount of data. In less empirical data circumstance, the domain knowledge will affect the training result to a large extent. This paper collects the domain knowledge of OSS interoperability from the following aspects: </t>
    </r>
    <r>
      <rPr>
        <rFont val="Arial"/>
        <b/>
        <color theme="1"/>
        <sz val="10.0"/>
      </rPr>
      <t>First, Node selection in Bayesian model: One important input of K2 Algorithm is the ordered node set Ns.</t>
    </r>
    <r>
      <rPr>
        <rFont val="Arial"/>
        <color theme="1"/>
        <sz val="10.0"/>
      </rPr>
      <t xml:space="preserve"> To make the node set more reliable, </t>
    </r>
    <r>
      <rPr>
        <rFont val="Arial"/>
        <b/>
        <color theme="1"/>
        <sz val="10.0"/>
      </rPr>
      <t>we choose 50 experts from 5 different fields to survey the factors possibly affect the interoperability of OSS. The expert’s advises are united and adjusted to control the node number</t>
    </r>
    <r>
      <rPr>
        <rFont val="Arial"/>
        <color theme="1"/>
        <sz val="10.0"/>
      </rPr>
      <t xml:space="preserve">. Then Ns is determined: Ns= {Structure Complexity, commonality, System compatibility, Security, Community, Support, Documentation, Data exchangeability, Interface standard compliance, Access controllability, Function requirement change, Standard change, Technique adjustment }. The first 10 nodes are the internal and external metrics of OSS. The others represent metrics of the most likely change reasons. </t>
    </r>
    <r>
      <rPr>
        <rFont val="Arial"/>
        <b/>
        <color theme="1"/>
        <sz val="10.0"/>
      </rPr>
      <t>Second, Node classification in prediction model:</t>
    </r>
    <r>
      <rPr>
        <rFont val="Arial"/>
        <color theme="1"/>
        <sz val="10.0"/>
      </rPr>
      <t xml:space="preserve"> This step is preliminary divided the nodes into reason nodes and result nodes according to their timing or logical relationship. To judge the causal relationship, some researchers have put forward three criterions [15]: (...) 2) Data Processing: </t>
    </r>
    <r>
      <rPr>
        <rFont val="Arial"/>
        <b/>
        <color theme="1"/>
        <sz val="10.0"/>
      </rPr>
      <t>To finish disposal of data discretization</t>
    </r>
    <r>
      <rPr>
        <rFont val="Arial"/>
        <color theme="1"/>
        <sz val="10.0"/>
      </rPr>
      <t xml:space="preserve">. This step is necessary because the discrete Bayesian network model is chosen in Step 1. In order to do this, </t>
    </r>
    <r>
      <rPr>
        <rFont val="Arial"/>
        <b/>
        <color theme="1"/>
        <sz val="10.0"/>
      </rPr>
      <t>we divided the grading of interoperability metrics</t>
    </r>
    <r>
      <rPr>
        <rFont val="Arial"/>
        <color theme="1"/>
        <sz val="10.0"/>
      </rPr>
      <t xml:space="preserve">. Rating range is shown as the following table. H means High grade; L means Low grade while M means Middle. 3) </t>
    </r>
    <r>
      <rPr>
        <rFont val="Arial"/>
        <b/>
        <color theme="1"/>
        <sz val="10.0"/>
      </rPr>
      <t>Structure Learning of Bayesian Model</t>
    </r>
    <r>
      <rPr>
        <rFont val="Arial"/>
        <color theme="1"/>
        <sz val="10.0"/>
      </rPr>
      <t xml:space="preserve">: This paper chooses the method proposed by Cooper and Herskovits to learn the structure of BN. This method combines the Bayesian methods and Greed Search algorithm. It finishes the structural study by model chosen. In model selection, the most critical two things are the selection criteria and search algorithm. The approach proposed by Cooper and Herskovits assumes BS as the best network structure if it has the Maximum a Posteriori (MAP). A Posteriori is calculated as Equation (1): ...The model is considered as the “best” if it has the largest posterior probability. </t>
    </r>
    <r>
      <rPr>
        <rFont val="Arial"/>
        <b/>
        <color theme="1"/>
        <sz val="10.0"/>
      </rPr>
      <t>The famous K2 heuristic search algorithm is selected as search algorithm</t>
    </r>
    <r>
      <rPr>
        <rFont val="Arial"/>
        <color theme="1"/>
        <sz val="10.0"/>
      </rPr>
      <t>. The basic idea of K2 algorithm is: At the beginning, the parent node set of all nodes are null; then search the operation which has the greatest impact on the target (add the father node into the father node set), until no operation to add. Its search evaluation function is as follows: ... In several experiments, it’s found that the direct use of K2 algorithm may result in some conflicts between the learning model and the existing mature theory. Researches show that, an important reason is: The learning method assumed all Prior Probability of BN have the same value, which can not embody the domain knowledge related to the BN in the training results [7]. The result of Structure learning is shown in Fig.3. "]</t>
    </r>
  </si>
  <si>
    <t>Cooper and Herskovits' method (K2 algorithm)</t>
  </si>
  <si>
    <t>["4) Parameter Learning of Prediction Model: After constructing the BN, the parameter learning can be carried out using the method proposed by Cooper and Herskovits. This method offers a way of parameter calculation to get the CPT of BN, which can not show here for it’s too long. "]</t>
  </si>
  <si>
    <t>The model results are compared with data collected from a survey. ["Then we do a questionnaire survey on 80 users from different fields. It shows that the result accords with the users’ opinion mostly. And it is also obey the CCID report 2007. Both phenomena testified the usefulness of this model. "]</t>
  </si>
  <si>
    <t>Literature review, Necessary Path Condition (NPC) algorithm, expert refinement</t>
  </si>
  <si>
    <t>Automatic discretization (equal-frequency intervals)</t>
  </si>
  <si>
    <t>Necessary Path Condition (NPC) algorithm, expert refinement</t>
  </si>
  <si>
    <t>Expert review, statistical tests (Spearman's rank correlation test, one-way ANOVA test, Chi-square test)</t>
  </si>
  <si>
    <r>
      <rPr>
        <rFont val="Arial"/>
        <color theme="1"/>
        <sz val="10.0"/>
      </rPr>
      <t>["Structural Development : This step represents the qualitative component of a BN, which results in a graphical structure comprised of, in our case, the factors (nodes, variables) and causal relationships identified as fundamental for resource estimation of Web projects. This is an iterative process where independent BN’s sub-models are identified. This model construction process has been validated in previous studies [7][9][16][29][41] and uses the principles of  problem solving employed in data modelling  and  software development [39]. Also, the BN tool we used (Hugin Expert) allows for the representation of sub-models, thus facilitating the application of our modelling approach. Existing literature in Web resource estimation, data from the Tukutuku database and current knowledge from domain experts are employed to elicit the BN’s structure</t>
    </r>
    <r>
      <rPr>
        <rFont val="Arial"/>
        <b/>
        <color theme="1"/>
        <sz val="10.0"/>
      </rPr>
      <t>.</t>
    </r>
    <r>
      <rPr>
        <rFont val="Arial"/>
        <color theme="1"/>
        <sz val="10.0"/>
      </rPr>
      <t xml:space="preserve"> </t>
    </r>
    <r>
      <rPr>
        <rFont val="Arial"/>
        <b/>
        <color theme="1"/>
        <sz val="10.0"/>
      </rPr>
      <t>In the context of this paper we have used data from the Tukutuku database and current knowledge from a domain expert who works in a well established Web company in Rio de Janeiro (Brazil).</t>
    </r>
    <r>
      <rPr>
        <rFont val="Arial"/>
        <color theme="1"/>
        <sz val="10.0"/>
      </rPr>
      <t xml:space="preserve"> </t>
    </r>
    <r>
      <rPr>
        <rFont val="Arial"/>
        <b/>
        <color theme="1"/>
        <sz val="10.0"/>
      </rPr>
      <t>The identification of nodes, values and relationships was initially obtained automatically using Hugin, and later modified once feedback was obtained from the domain expert and the conditional independences were checked.</t>
    </r>
    <r>
      <rPr>
        <rFont val="Arial"/>
        <color theme="1"/>
        <sz val="10.0"/>
      </rPr>
      <t xml:space="preserve"> In addition to identifying variables, their types (e.g. query variable, evidence variable) and relationships, domain experts in general also choose what states (values) each variable should take, and if they are discrete or continuous. In practice, currently available BN tools require that continuous variables be discretised by converting them into multinomial variables [14], also the case with Hugin Expert. Hugin offers two discretisation algorithms – equal-width intervals [36], whereby all intervals have equal size, and equal-frequency intervals, whereby each interval contains n/N data points where n is the number of data points and N is the number of intervals (this is also called maximal entropy discretisation [40]). </t>
    </r>
    <r>
      <rPr>
        <rFont val="Arial"/>
        <b/>
        <color theme="1"/>
        <sz val="10.0"/>
      </rPr>
      <t>We used equal-frequency intervals as suggested in [13], and five intervals.</t>
    </r>
    <r>
      <rPr>
        <rFont val="Arial"/>
        <color theme="1"/>
        <sz val="10.0"/>
      </rPr>
      <t xml:space="preserve"> Automatic discretisation frees domain experts and knowledge engineers from having to statically discretise variables manually [30]. </t>
    </r>
    <r>
      <rPr>
        <rFont val="Arial"/>
        <b/>
        <color theme="1"/>
        <sz val="10.0"/>
      </rPr>
      <t>Throughout this step the knowledge engineer also evaluated the structure of the BN in two stages. The first entailed checking if [14]: variables and their values have a clear meaning; all relevant variables for that cycle have been included; variables are named conveniently; all states are appropriate (exhaustive and exclusive); a check for any states that can be combined. The second stage entailed reviewing the graph structure of the BN to make sure any identified dseparation dependencies comply with the types of variables used and causality assumptions.</t>
    </r>
    <r>
      <rPr>
        <rFont val="Arial"/>
        <color theme="1"/>
        <sz val="10.0"/>
      </rPr>
      <t xml:space="preserve"> D-separation dependencies are used to identify variables influenced by evidence coming from other variables in the BN [11][31]. Once the BN structure is assumed to be close to final we may still need to optimise this structure to reduce the number of probabilities that need to be assessed for the network. If optimisation is needed then we employ techniques that change the graphical structure (e.g. divorcing [11]) and the use of parametric probability distributions (e.g. noisy-OR gates [7][31]). </t>
    </r>
    <r>
      <rPr>
        <rFont val="Arial"/>
        <b/>
        <color theme="1"/>
        <sz val="10.0"/>
      </rPr>
      <t>In the case of the Web effort BN we changed its original graphical structure to maintain the conditional independence of the nodes (see Section 2.3), however divorcing was not employed in order to keep only nodes that had been elicited from the Tukutuku data.</t>
    </r>
    <r>
      <rPr>
        <rFont val="Arial"/>
        <color theme="1"/>
        <sz val="10.0"/>
      </rPr>
      <t xml:space="preserve"> "] ["2.3   The Web Effort BN Fig. 3(a) shows the original Web effort BN obtained from fitting the data on Web projects. </t>
    </r>
    <r>
      <rPr>
        <rFont val="Arial"/>
        <b/>
        <color theme="1"/>
        <sz val="10.0"/>
      </rPr>
      <t>We used the entire Tukutuku database when building the structure,</t>
    </r>
    <r>
      <rPr>
        <rFont val="Arial"/>
        <color theme="1"/>
        <sz val="10.0"/>
      </rPr>
      <t xml:space="preserve"> however for parameter estimation we only employed the 120 projects in the training set, otherwise the point estimates would be biased.</t>
    </r>
    <r>
      <rPr>
        <rFont val="Arial"/>
        <b/>
        <color theme="1"/>
        <sz val="10.0"/>
      </rPr>
      <t xml:space="preserve"> Once this structure was obtained using the Necessary Path Condition (NPC) algorithm [38], it was validated with a domain expert, resulting in the structure presented in Figure 3(b). </t>
    </r>
    <r>
      <rPr>
        <rFont val="Arial"/>
        <color theme="1"/>
        <sz val="10.0"/>
      </rPr>
      <t xml:space="preserve">The main changes to the original structure were related to node TypeProj, from which all causal relationships, except for TotalEffort, were removed. There were also several changes relating to the three categorical variables Documented Process, Process Improvement and Use Metrics. In the validated structure (see Figure 3(b)), Process Improvement presents a relationship with both Use Metrics and Documented Process, indicating that it is an important factor determining whether a Web company adheres to the use of metrics and to the use of a documented process. This structure also relates Use Metrics to Documented Process, indicating that companies that measure attributes to some extent document their processes. The number of languages to be used in a project (numLanguages) and the average number of years of experience of a team (Team Experience) are also related with the size of the development team (sizeDevTeam). The nodes relative to Web size measures (e.g. NewWP) remained unchanged as the data already captured the strong relationship between size and effort. Once the structure had been validated, our next step was to </t>
    </r>
    <r>
      <rPr>
        <rFont val="Arial"/>
        <b/>
        <color theme="1"/>
        <sz val="10.0"/>
      </rPr>
      <t>ensure that the conditionally independent variables (nodes) in the Web effort BN were really independent of each other [31].</t>
    </r>
    <r>
      <rPr>
        <rFont val="Arial"/>
        <color theme="1"/>
        <sz val="10.0"/>
      </rPr>
      <t xml:space="preserve"> Whenever two variables were significantly associated we also measured their association with effort, and the one with the strongest association was kept. For example, Process improvement was significantly associated with Fots, so one of these nodes had to be removed from the BN. Given that Process Improvement had a significant association with TotalEffort stronger than the association between TotalEffort and Fots, we kept Process Improvement in the model. This was an iterative process given that once nodes are removed (e.g. FotsA, New), other nodes become conditionally independent (e.g. totNHigh) and so need to be checked as well. </t>
    </r>
    <r>
      <rPr>
        <rFont val="Arial"/>
        <b/>
        <color theme="1"/>
        <sz val="10.0"/>
      </rPr>
      <t>The associations between the numerical variables were assessed using a non-parametric test - Spearman’s rank correlation test; the associations between numerical and categorical variables were checked using the one-way ANOVA test, and the associations between categorical variables were checked using the Chi-square test.</t>
    </r>
    <r>
      <rPr>
        <rFont val="Arial"/>
        <color theme="1"/>
        <sz val="10.0"/>
      </rPr>
      <t xml:space="preserve"> All tests were carried out using SPSS 12.0.1 and α = 0.05. "]</t>
    </r>
  </si>
  <si>
    <t>Expectation-Maximization (EM) algorithm</t>
  </si>
  <si>
    <r>
      <rPr>
        <rFont val="Arial"/>
        <color theme="1"/>
        <sz val="10.0"/>
      </rPr>
      <t xml:space="preserve">["Parameter Estimation : This step represents the quantitative component of a BN, which results in conditional probabilities, obtained via Expert Elicitation or automatically, which quantify the relationships between variables [11][14]. For the Web effort BN, they were obtained using two steps: </t>
    </r>
    <r>
      <rPr>
        <rFont val="Arial"/>
        <b/>
        <color theme="1"/>
        <sz val="10.0"/>
      </rPr>
      <t>first, by automatically fitting a sub-network to a subset of the Tukutuku dataset (Automated learning); second, by obtaining feedback from the domain expert regarding the suitability of priors and conditional probabilities that were automatically fitted</t>
    </r>
    <r>
      <rPr>
        <rFont val="Arial"/>
        <color theme="1"/>
        <sz val="10.0"/>
      </rPr>
      <t>. No previous literature was used in this step since none reported probabilistic information. Of the 150 projects available in the Tukutuku database we used 120 (80%) to build the Web effort BN and later employed the remaining 30 for the Model Validation step to assess the BN’s effort prediction accuracy.  "] ["Fig. 4 shows the Web effort BN after all conditional independences were checked. This was the Web effort BN used as input to the Parameter estimation step, where prior and conditional probabilities were automatically generated using the EMlearning algorithm [15], and later validated by the DE. "]</t>
    </r>
  </si>
  <si>
    <t>Predictive accuracy, statistical measures (MMRE, MdMRE and Pred(25))</t>
  </si>
  <si>
    <r>
      <rPr>
        <rFont val="Arial"/>
        <color theme="1"/>
        <sz val="10.0"/>
      </rPr>
      <t xml:space="preserve">["3   Measuring the Prediction Accuracy of the Web Effort BN The 30 Web projects in the validation set were used to measure the </t>
    </r>
    <r>
      <rPr>
        <rFont val="Arial"/>
        <b/>
        <color theme="1"/>
        <sz val="10.0"/>
      </rPr>
      <t>prediction accuracy</t>
    </r>
    <r>
      <rPr>
        <rFont val="Arial"/>
        <color theme="1"/>
        <sz val="10.0"/>
      </rPr>
      <t xml:space="preserve"> of the Web effort BN model. In addition, we also used the mean (526.9) and median (59.1) effort models as benchmark. </t>
    </r>
    <r>
      <rPr>
        <rFont val="Arial"/>
        <b/>
        <color theme="1"/>
        <sz val="10.0"/>
      </rPr>
      <t>Prediction accuracy was measured using MMRE, MdMRE, and Pred(25)</t>
    </r>
    <r>
      <rPr>
        <rFont val="Arial"/>
        <color theme="1"/>
        <sz val="10.0"/>
      </rPr>
      <t xml:space="preserve"> and Table 6 shows that the MMRE and MdMRE obtained using the BN model was very close to the baseline predictions suggested in the literature (MMRE and MdMRE &lt;= 25%). However, Pred(25) was lower than the suggested baseline of 75% or above. In addition, Table 6 also shows that the prediction accuracy for the Web Effort BN model was superior to the accuracy obtained with either the mean or median effort models.  In order to assess if the difference in accuracy between the Web Effort BN model and the mean &amp; median models was not due to chance we also used a statistical significance test to compare the absolute residuals (actual effort – estimated effort) between these three models. Since none of the residuals were normally distributed, confirmed used the One-Sample Kolmogorov-Smirnov Test, they were compared using the non-parametric Wilcoxon Signed Paired Test. This test confirmed that the predictions obtained using the Web Effort BN model were significantly superior to the predictions from both the median and mean models. In addition, this test also showed that there were no significant differences between the median and mean effort models. Fig. 5 shows boxplots of absolute residuals for the Web effort BN (ResBN), mean (Mean) and median (Median) models. The median of ‘ResBN’ is much lower than the median of ‘Mean’, and also lower than the median of ‘Median’. All boxplots present outliers, however those for ‘Mean’ and ‘Median’ are much worse than the ones for ‘ResBN’. The boxes for ‘ResBN’ and ‘Mean’ are flatter than the box for ‘Median’. What these results suggest is that using a model that allows the representation of uncertainty, which is inherent in effort estimation, can outperform other commonly used benchmarking models, based on the mean or median effort. In addition, these results also suggest that Web companies that either volunteered projects to the Tukutuku database, or develop similar projects to those in that database, would benefit from using a Bayesian Network to obtain effort estimates, compared to simply relying on estimated based on the mean or median effort of past projects. The Web effort BN model presented in this paper is a very simple model, built using a dataset that does not represent a random sample of projects, therefore these results have to be interpreted with care. In addition, we chose to use only the nodes identified using the Tukutuku dataset, i.e., other nodes that could have been identified by the DE were not included. We also wanted to investigate to what extent a BN model and probabilities generated using automated algorithms available in HUGIN would provide predictions comparable to those obtained using mean and median models. "]    </t>
    </r>
  </si>
  <si>
    <t>Survey with practitioners, focus group</t>
  </si>
  <si>
    <t>Normalization approach (for discrete nodes), automatic discretization (dynamic discretization for continuous nodes)</t>
  </si>
  <si>
    <t>K2 algorithm, expert-based structural constraints</t>
  </si>
  <si>
    <r>
      <rPr>
        <rFont val="Arial"/>
        <color theme="1"/>
        <sz val="10.0"/>
      </rPr>
      <t xml:space="preserve">["1) Domain knowledge collecting: The training of Bayesian Network need a large amount of data. But in the field of software, it's hard to collect enough data. In this circumstance, the domain knowledge will help training Bayesian Network to a large extent. In the paper, we collect domain knowledge of software schedule from two aspects: a) </t>
    </r>
    <r>
      <rPr>
        <rFont val="Arial"/>
        <b/>
        <color theme="1"/>
        <sz val="10.0"/>
      </rPr>
      <t>Collect nodes in the model:</t>
    </r>
    <r>
      <rPr>
        <rFont val="Arial"/>
        <color theme="1"/>
        <sz val="10.0"/>
      </rPr>
      <t xml:space="preserve"> The nodes in the Bayesian model represent factors influencing software development schedule. With the purpose of making the factors more reliable, </t>
    </r>
    <r>
      <rPr>
        <rFont val="Arial"/>
        <b/>
        <color theme="1"/>
        <sz val="10.0"/>
      </rPr>
      <t>we consult 100 experts</t>
    </r>
    <r>
      <rPr>
        <rFont val="Arial"/>
        <color theme="1"/>
        <sz val="10.0"/>
      </rPr>
      <t xml:space="preserve"> from software fields including project manager, software engineer, software developer, quality engineer to </t>
    </r>
    <r>
      <rPr>
        <rFont val="Arial"/>
        <b/>
        <color theme="1"/>
        <sz val="10.0"/>
      </rPr>
      <t>survey the factors which may influence the software schedule</t>
    </r>
    <r>
      <rPr>
        <rFont val="Arial"/>
        <color theme="1"/>
        <sz val="10.0"/>
      </rPr>
      <t xml:space="preserve"> in each development phase. In this paper, the term 'experts' means individuals with a certain degree of experience in the field of software engineering and particularly in software schedule estimation. </t>
    </r>
    <r>
      <rPr>
        <rFont val="Arial"/>
        <b/>
        <color theme="1"/>
        <sz val="10.0"/>
      </rPr>
      <t>Then we execute this by the questionnaire and brainstorming</t>
    </r>
    <r>
      <rPr>
        <rFont val="Arial"/>
        <color theme="1"/>
        <sz val="10.0"/>
      </rPr>
      <t xml:space="preserve">. Finally we summarized factors which influence each phase of software development. e.g. using Ns reprent the factors of coding phase schedule. Ns={coding process quality, coding team quality, coding comlexity, project size, programmer experience, team size, process maturity, requirement volatility, stuff turnover rate, design complexity, coding method, estimation accuracy}. All the nodes in Ns play a important role in influencing software coding schedule. b) </t>
    </r>
    <r>
      <rPr>
        <rFont val="Arial"/>
        <b/>
        <color theme="1"/>
        <sz val="10.0"/>
      </rPr>
      <t>Define cause-effect relationship between nodes</t>
    </r>
    <r>
      <rPr>
        <rFont val="Arial"/>
        <color theme="1"/>
        <sz val="10.0"/>
      </rPr>
      <t xml:space="preserve">: In the specific enviroment, cause-effect relationship among these nodes in the model could be de determined by the Bayesian Learning algorithm. But because of inaccurate of the data, some relationship may not be included or two nodes that actually don't have any relationship may be linked. </t>
    </r>
    <r>
      <rPr>
        <rFont val="Arial"/>
        <b/>
        <color theme="1"/>
        <sz val="10.0"/>
      </rPr>
      <t>So we need define some rules according to the domain knowledge or common sense</t>
    </r>
    <r>
      <rPr>
        <rFont val="Arial"/>
        <color theme="1"/>
        <sz val="10.0"/>
      </rPr>
      <t xml:space="preserve">. In the model of software coding schedule, It can be found that the following nodes have some special or not have any causal-effect relationship. • The programmer experience will not influence project size too much. • Staff turnover rate has no relationship with coding complexity. • Coding process quality undoubtedly has relationship with programmer experience. 2) Data processing: Data is a critical part in Bayesian Learning. If software process is not stable, the data collected from it will not play a right role in Bayesian Learning. Because continous Bayesian algorithm need data satisfying Gauss distribution, we choose discrete Bayesian learning algorithm. If factors are continuous, we need transform it to discrete variable. In this situation, we deal with data using data analysis and data discretization. a) Data analysis: In order to assure accuracy of Bayesian schedule model, we need data with the feature of truth, synchronization, consistency and validity which the data collected may not have. In this paper, we choose statistical process control which is a technique used to establish operational limits for acceptable variance. Statistical process control and its associated control charts were developed by Walter A.Shewart in the 1920 to gain control of product costs and quality. Using the method, we need to put data to a control chart in order to establish process performance baseline. If there is some point out of control limits, we need to analyze the reason and identify the cause of variance, then improve the process of data collection. The processes of baseline building and stability anaysis are described in [19]. b) </t>
    </r>
    <r>
      <rPr>
        <rFont val="Arial"/>
        <b/>
        <color theme="1"/>
        <sz val="10.0"/>
      </rPr>
      <t>Data discretization</t>
    </r>
    <r>
      <rPr>
        <rFont val="Arial"/>
        <color theme="1"/>
        <sz val="10.0"/>
      </rPr>
      <t xml:space="preserve">: In order to get appropriate data, we need carry out data discretization. </t>
    </r>
    <r>
      <rPr>
        <rFont val="Arial"/>
        <b/>
        <color theme="1"/>
        <sz val="10.0"/>
      </rPr>
      <t>When we meet with discrete variable, we choose normalization method to transform variable value to interval [0,1]</t>
    </r>
    <r>
      <rPr>
        <rFont val="Arial"/>
        <color theme="1"/>
        <sz val="10.0"/>
      </rPr>
      <t xml:space="preserve">, and </t>
    </r>
    <r>
      <rPr>
        <rFont val="Arial"/>
        <b/>
        <color theme="1"/>
        <sz val="10.0"/>
      </rPr>
      <t>when we meet with continuous variable, we choose dynamic discretization method [20] to transform variable value to interval [0,1]</t>
    </r>
    <r>
      <rPr>
        <rFont val="Arial"/>
        <color theme="1"/>
        <sz val="10.0"/>
      </rPr>
      <t xml:space="preserve">. we divide the value of each factor into 3 intervals and each interval represents a state. For example, the variable 'coding schedule variance' is assigned states, namely '&lt;10%', '10%-20%', and '&gt;20%' ,which could be changed according to each project attribute. Rating range is shown in TABLE I, in which H means High, L means Low, M means Middle. According to the grading method, the data collected can be transformed into discrete node. 3) Bayesian Learning: Once preparation is fimshed, we need choose algorithm to learn the structure of Bayesian Network and conditional probability table to construct the software schedule model. a) </t>
    </r>
    <r>
      <rPr>
        <rFont val="Arial"/>
        <b/>
        <color theme="1"/>
        <sz val="10.0"/>
      </rPr>
      <t>Structure learning</t>
    </r>
    <r>
      <rPr>
        <rFont val="Arial"/>
        <color theme="1"/>
        <sz val="10.0"/>
      </rPr>
      <t xml:space="preserve">: We choose the method that combine Bayesian method and Greed Search algorithm to achieve the aim of Bayesian structure learning. The job is done by model selection in which the most critical parts are the model selection criteria and search algothrim. The algothrim based on an assumption: if a structure has the maximum a posterior probability, the structure is the best network structure. A posteriori probability is calculated as in (1). </t>
    </r>
    <r>
      <rPr>
        <rFont val="Arial"/>
        <b/>
        <color theme="1"/>
        <sz val="10.0"/>
      </rPr>
      <t>The K2 search algorithm is chosen as search algorithm</t>
    </r>
    <r>
      <rPr>
        <rFont val="Arial"/>
        <color theme="1"/>
        <sz val="10.0"/>
      </rPr>
      <t xml:space="preserve">. The main idea ofK2 algorithm is: • Set parent node set of all nodes null; Add the father node into the father node set, until no node to add. The search evaluation function is as in (3): ... Because K2 algorithm assumes all prior probability of Bayesian Network is the same, using the method may result in some conflicts. </t>
    </r>
    <r>
      <rPr>
        <rFont val="Arial"/>
        <b/>
        <color theme="1"/>
        <sz val="10.0"/>
      </rPr>
      <t>So we start to consider domain knowledge and integrate some special cause-effect relationship into the algorithm.</t>
    </r>
    <r>
      <rPr>
        <rFont val="Arial"/>
        <color theme="1"/>
        <sz val="10.0"/>
      </rPr>
      <t xml:space="preserve"> The result of leaming is shown in Fig.2."]</t>
    </r>
  </si>
  <si>
    <t>["b) Parameter learning: Equation (1) could be used to reason out the conditinal probability table after we determine the structure of the Bayesian Network. However, due to the length of the paper, the table could not be shown here. "]</t>
  </si>
  <si>
    <t>["At last, we will verify the validity of the model based on result of project A and project B. we construct the model of project A and project B based on the above steps. In project A, the likelihood of construction delay is approximately 60% for the state of L which represents '&lt;10%', whereas it is 24% for the state M which represents of "10%-20%" and 16% for the state of H which represents "&gt;20%". Consequently, the construction duration of project A tends to extend with project duration less than 10% of the original duration. In project B, the likelihood of coding schedule variance is approximately 25% for the state of L which represents which represents of "&lt;10%", whereas it is 54% for the state M which represents of "10%-20%" and 21 % for the state of H which represents "&gt;20%". Consequently, the construction duration of project B tends to extend with project duration between 10% and 20% of the original duration. In reality, there was a two-month delay on project A which is 7.4% of the original duration (27 months) and there was a one- onth delay on project B which is approximately 12.5% of project's original duration (8 month).The result proves the validity of the model. "]</t>
  </si>
  <si>
    <r>
      <rPr>
        <rFont val="Arial"/>
        <color theme="1"/>
        <sz val="10.0"/>
      </rPr>
      <t xml:space="preserve">["In the requirement analysis phase, whether customers accurately express their requirements, whether developers grasp requirements correctly, and the correctness of the collected requirement data are all factors that cause software failures. It is important to note that faults in the requirements phase can seriously affect software maintenance and development efficiency if they accumulate into the later stages. </t>
    </r>
    <r>
      <rPr>
        <rFont val="Arial"/>
        <b/>
        <color theme="1"/>
        <sz val="10.0"/>
      </rPr>
      <t>Based on historical data or expert experience</t>
    </r>
    <r>
      <rPr>
        <rFont val="Arial"/>
        <color theme="1"/>
        <sz val="10.0"/>
      </rPr>
      <t>, the Bayesian network structure diagram in the stage of requirement analysis stage is established as shown in figure 3."]</t>
    </r>
  </si>
  <si>
    <t>["The frequency of the four non-parent nodes of the first layer, "requirement change degree A1", "review effect A2", "development team level A3" and "software size A4", appear frequently in order of 6, 13, 13 and 5. The probability is estimated according to the frequency. And the prior probabilities of the four nodes are P(A1)=6/37, P(A2)=13/37, P(A3)=13/37 and P(A4)=5/37, respectively. "]</t>
  </si>
  <si>
    <t>["In order to figure out the propagation patterns of failures in the requirements, design, and code phases, we set some nodes as "evidence" type (as known conditions), and then observe the change of other nodes, which mainly paying close attention to the growth. The results are listed in Tables 6, 7, and 8. When state_0 of the node "code stage failure" is set as "evidence", as shown in figure 8, when additional evidence appears, the probability of occurrence of relevant events is updated according to Bayes' theorem, and the updated probability value can be propagated forward and backward through the whole Bayesian network, so that the whole Bayesian network can be updated. It can be found that the node with significantly increased probability values is the "code failure density" in this stage, indicating that this node is the main influencing factor of failures in coding stage. In the requirement analysis stage, the probability of “requirement stage failure” changed from 45% to 54%, it is increased by 9%, and the probability of “requirement failure density" is increased by 8%. It is observed that, some impact factor of the requirements phase have a great influence on the failure in coding phase failure, then it can be inferred that the fault can propagate to the coding phase and affect the failure rate to a large extent."]</t>
  </si>
  <si>
    <t>Learning from data using an automated tool (information theory-based algorithm)</t>
  </si>
  <si>
    <t>Expert-based structural constraints, learning from data using an automated tool (information theory-based algorithm)</t>
  </si>
  <si>
    <r>
      <rPr>
        <rFont val="Arial"/>
        <color theme="1"/>
        <sz val="10.0"/>
      </rPr>
      <t>["</t>
    </r>
    <r>
      <rPr>
        <rFont val="Arial"/>
        <b/>
        <color theme="1"/>
        <sz val="10.0"/>
      </rPr>
      <t xml:space="preserve">Information theory based approach </t>
    </r>
    <r>
      <rPr>
        <rFont val="Arial"/>
        <color theme="1"/>
        <sz val="10.0"/>
      </rPr>
      <t xml:space="preserve">allows us to incorporate </t>
    </r>
    <r>
      <rPr>
        <rFont val="Arial"/>
        <b/>
        <color theme="1"/>
        <sz val="10.0"/>
      </rPr>
      <t>prior expert information</t>
    </r>
    <r>
      <rPr>
        <rFont val="Arial"/>
        <color theme="1"/>
        <sz val="10.0"/>
      </rPr>
      <t xml:space="preserve">. In our case, </t>
    </r>
    <r>
      <rPr>
        <rFont val="Arial"/>
        <b/>
        <color theme="1"/>
        <sz val="10.0"/>
      </rPr>
      <t>we consider partial node ordering information is available</t>
    </r>
    <r>
      <rPr>
        <rFont val="Arial"/>
        <color theme="1"/>
        <sz val="10.0"/>
      </rPr>
      <t xml:space="preserve">. For example, several studies in the literature have established a causal relationship between development type (DT), development platform (DP) and programming language type (PLT) with software effort (SE) and project completion time (PCT), we assume that the variables development type, development platform and programming language type occur before project completion time and software effort [28,37]. For team size (TS) and software size in function points (FP) variables, we did not specify any particular node ordering. </t>
    </r>
    <r>
      <rPr>
        <rFont val="Arial"/>
        <b/>
        <color theme="1"/>
        <sz val="10.0"/>
      </rPr>
      <t>We use publicly available award winning software called Bayesian Network Power Constructor (http://www.cs.ualberta.ca/ jcheng/bnpc.htm) to construct our Bayesian network. Bayesian Network Power Constructor (BNPC) contains information theory based algorithms to construct a Bayesian network</t>
    </r>
    <r>
      <rPr>
        <rFont val="Arial"/>
        <color theme="1"/>
        <sz val="10.0"/>
      </rPr>
      <t xml:space="preserve"> and was given the best performing data mining algorithm award in 2001 ACM SIG Knowledge Discovery and Data Mining conference.(...) Since in our research we are discretizing variables without any prior class information, the supervised discretization approach is not suitable for our research.</t>
    </r>
    <r>
      <rPr>
        <rFont val="Arial"/>
        <b/>
        <color theme="1"/>
        <sz val="10.0"/>
      </rPr>
      <t xml:space="preserve"> We use equal frequency approach to create discrete classes</t>
    </r>
    <r>
      <rPr>
        <rFont val="Arial"/>
        <color theme="1"/>
        <sz val="10.0"/>
      </rPr>
      <t xml:space="preserve">. The BNPC software provides the functionality of equal frequency discretizing of continuous variables and we use this functionality to discretize continuous variables. The BNPC variable discretizing procedure discretized the FP variable into following four categories: low (0 _x0001_ FP &lt; 1773.75), medium (1773.75 _x0001_ FP &lt; 3512.5), high (3512.5 _x0001_ FP &lt; 5251.25) and very high (FP  5251.25). ... Using a default threshold value of ξ = 1, the BNPC  software, and our dataset of 244 projects; </t>
    </r>
    <r>
      <rPr>
        <rFont val="Arial"/>
        <b/>
        <color theme="1"/>
        <sz val="10.0"/>
      </rPr>
      <t>we learn the structure of the Bayesian network from data.</t>
    </r>
    <r>
      <rPr>
        <rFont val="Arial"/>
        <color theme="1"/>
        <sz val="10.0"/>
      </rPr>
      <t xml:space="preserve"> Fig. 8 illustrates the final structure of our Bayesian network."]</t>
    </r>
  </si>
  <si>
    <t>["While the BNPC software uses information on prior probability and conditional probabilities internally and provides the Bayesian network structure, it does not output values of prior probabilities and conditional probabilities. Since we need these values for our simulations, we obtain the prior and conditional probability tables, for the Bayesian network given in Fig. 8, using Microsoft Excel data filtering capabilities on the ISBSG dataset."]</t>
  </si>
  <si>
    <t>["6.3. Leave-one-out cross validation and analytical teams size comparison results We perform a holdout sample testing to gain confidence in team size prediction via use of posterior probability distribution. To minimize the likelihood of several missing conditional probability values in conditional probability tables, we used the leave-one-out sampling approach for holdout sample testing because it allows us to use maximum number of examples in training dataset. In a leave-one-out sampling, conditional probability tables are computed on 243 examples and posterior team size distribution is estimated for a “test” example not considered in the 243 training examples...Figure 10 illustrates the classification results of our leave-one-out holdout sample tests. In 244 tests, the simulation procedure correctly predicted team size category for 220 examples giving correct classification accuracy of slightly higher than 90%. Thus, our crossvalidation tests indicate that the simulation procedure identifies the team size posterior distribution very well."]</t>
  </si>
  <si>
    <t>["The principles assumptions for BAHAMAS are: (1) software failures can be traced to human errors in the SDLC, which may be modeled with HRA methods; (2) In the absence of test data, the reliability of a system can be predicted based on how its SDLC quality compares with existing systems of similar design and purpose; (3) So long as software failures can be attributed to faults within the system, the BBN in BAHAMAS can be structured as shown in Figure 1. Assumption 1 is supported by examples where the root causes of software failure are associate with errors in requirements specifications, or design defects which can be attributed to SDLC activities [4] [8] [22]. It is a natural extension to assume that design defects exist due to human errors. This work attempts to use existing methods to evaluate human actions and predict errors. Assumption 2 is based on [24] and [44] where a proportional relationship for a software’s predicted performance was generated based on the differences between its SDLC quality and the SDLC quality for existing systems. Lastly faults are commonly used as a metric for software failures [2] [8] [44]."] ["5.3. Step 3: Organize Potential Causes of the Failure into a Bayesian Network This step requires that the potential causes of the failure of interest be placed into a BBN following the format shown in Fig. 1. As discussed in Step 2, only SDLC causal factors are used in this BBN."]</t>
  </si>
  <si>
    <t>Probabilities calculated from data, lognormal distribution</t>
  </si>
  <si>
    <t>["4.4.3. Step 4.3: Assign Conditional Probabilities to the BBN To evaluate the probability of software failure, the BBN requires a conditional relationship between parent and child nodes. The network should be constructed such that there are binary, conditional relationships between each node. The conditional probability table for each node will be similar to the example shown by Table 1. Once the binary-style conditional probability tables have been created, the next step is to evaluate the marginal probability for the final node of the BBN."] ["Based on the assumptions, a lognormal distribution was chosen. By fixing the mode for the lognormal distribution to 1E4 and varying value of the r-parameter, a prior distribution was chosen with r-parameter = 1.8 and l-parameter = 5.97. Next, the update data was selected from operational experience of safety-related software protection systems recorded in NUREG/ CR-7233. The data showed 4457 demands for the safety-related systems, of which there were zero failures (Chu et al., 2018). The lognormal prior was updated using the data from (Chu et al., 2018) resulting in the SFP distribution shown in Table 3. The calculation was performed using the INL/NRC reliability calculator website (Idaho National Laboratory, 2020)."] ["5.4.3. Step 4.3: Assign Conditional Probabilities to the BBN The BBN is constructed to allow for the conditional probabilities to be assigned binary values and thereby limit the uncertainty sources of the model. Fig. 8 shows the conditional probabilities tables used for the analysis. Note that the root nodes do not have conditional probability tables; hence, they are not included in the figure."]</t>
  </si>
  <si>
    <r>
      <rPr>
        <rFont val="Arial"/>
        <color theme="1"/>
        <sz val="10.0"/>
      </rPr>
      <t>["6. Discussion The case study for the analysis of UCA-A of the BP provides a single failure probability of 1.778E4 and a CCF probability of  9.4E6. These results fit well with the range of software failure probabilities (i.e., 1E4 or less) associated with the IEC 61508 SIL 4, as mentioned by (Chu et al., 2010; Backstrom et al., 2014)."] ["This work demonstrated the potential of BAHAMAS for meeting many of the desirable attributes for a QSRM. By providing a clear method and allowing for flexibility in the use of HRA, the door has been opened to allow for reasonable assumptions and case-specific analyses. BAHAMAS accounts for lifecycle activities and provides consideration for CCFs. Uncertainty quantification, verification and</t>
    </r>
    <r>
      <rPr>
        <rFont val="Arial"/>
        <b/>
        <color theme="1"/>
        <sz val="10.0"/>
      </rPr>
      <t xml:space="preserve"> validation remain topics for future work.</t>
    </r>
    <r>
      <rPr>
        <rFont val="Arial"/>
        <color theme="1"/>
        <sz val="10.0"/>
      </rPr>
      <t>"]</t>
    </r>
  </si>
  <si>
    <t>Learning from data using an automated tool (algorithm that performs conditional independence tests (ICS)), expert refinement</t>
  </si>
  <si>
    <t>Expert-derived categories/thresholds, automatic discretization (equal-frequency binning)</t>
  </si>
  <si>
    <t>We only considered the model constructed using a combination of structure learning and expert review. ["(II.2) BBN generation: generation of the model, selecting first one of the algorithms provided by Weka. • (II.3) BBN revision: model refinement by a human expert, which needs two tasks performed manually: • To remove all relations not involving the class, as we want to identify direct causes of the class and these relations involve variables that are conditionally independent of it. • To analyze arcs (if any) issued from the class in order to determine whether to delete or reverse the arc. (...) The defined process is general in the sense it could be applied in any domain with temporal phases and using any machine learning tool providing the adequate algorithms. However, we have an specific domain (SE prediction) and an specific machine learning tool (Weka). Now, we explain how the steps involving the use of Weka have been instantiated for our domain. These steps are those marked with the Weka symbol in Figs. 4, 5 and 6. • Discretization (step I.1.3): some variables have been discretized manually (by GMV and Skysoft). The maximum number of bins allowed for the manual discretization was five, though finally most of them have four bins. Seventy-four of 126 variables were discretized manually. The remaining variables are automatically discretized using Weka. We chose an automatic discretization in three bins, in order to generate BBNs of a reasonable complexity and with bins of equal frequency, in order to obtain balanced intervals. • For the attribute selection method in step II.1.2 we used a evaluator based on the information gain (infoGainAttributeEval) with a Ranker search. With these parameters we can limit the number of selected attributes to six. This value limits the number of parents for each node in the BBNs. • For the generation of the model in step II.2 we chose an algorithm that performs conditional independence tests (ICS). 41 This algorithm identifies variables that are conditionally independent and builds a DAG that is consistent with these relations. Usually, this algorithm selects the class as final effect, instead of as initial cause, as the algorithm described in the previous section."]</t>
  </si>
  <si>
    <t>Statistical measures</t>
  </si>
  <si>
    <t>["To measure the performance of the obtained models we use the accuracy (ACC) defined by Eq. (1), and the Matthews correlation coefficient (MCC) for multiple classes, 29,23 defined in Eq. (2). This coefficient overcomes the weaknesses of the accuracy when the classes are not well balanced. These measures are defined in terms of the sample size, S, the number of classes, N, and the entries of the confusion matrix, denoted as C. Each Ci j is the number of instances with true class i that have been assigned to class j by the classifier."]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</si>
</sst>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3">
    <font>
      <sz val="10.0"/>
      <color rgb="FF000000"/>
      <name val="Arial"/>
      <scheme val="minor"/>
    </font>
    <font>
      <b/>
      <color theme="1"/>
      <name val="Arial"/>
      <scheme val="minor"/>
    </font>
    <font>
      <i/>
      <color theme="1"/>
      <name val="Arial"/>
      <scheme val="minor"/>
    </font>
    <font>
      <color theme="1"/>
      <name val="Arial"/>
      <scheme val="minor"/>
    </font>
    <font>
      <sz val="10.0"/>
      <color theme="1"/>
      <name val="Arial"/>
      <scheme val="minor"/>
    </font>
    <font>
      <color rgb="FFFF0000"/>
      <name val="Arial"/>
    </font>
    <font>
      <color theme="1"/>
      <name val="Arial"/>
    </font>
    <font>
      <sz val="10.0"/>
      <color rgb="FFFF0000"/>
      <name val="Arial"/>
      <scheme val="minor"/>
    </font>
    <font>
      <color rgb="FFFF0000"/>
      <name val="Arial"/>
      <scheme val="minor"/>
    </font>
    <font>
      <color rgb="FF222222"/>
      <name val="Arial"/>
    </font>
    <font>
      <sz val="10.0"/>
      <color rgb="FF222222"/>
      <name val="Arial"/>
      <scheme val="minor"/>
    </font>
    <font>
      <color rgb="FF000000"/>
      <name val="Monospace"/>
    </font>
    <font>
      <color rgb="FF000000"/>
      <name val="Arial"/>
    </font>
  </fonts>
  <fills count="8">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0E0E3"/>
        <bgColor rgb="FFD0E0E3"/>
      </patternFill>
    </fill>
    <fill>
      <patternFill patternType="solid">
        <fgColor rgb="FFD9EAD3"/>
        <bgColor rgb="FFD9EAD3"/>
      </patternFill>
    </fill>
    <fill>
      <patternFill patternType="solid">
        <fgColor rgb="FFCCCCCC"/>
        <bgColor rgb="FFCCCCCC"/>
      </patternFill>
    </fill>
    <fill>
      <patternFill patternType="solid">
        <fgColor rgb="FFEA9999"/>
        <bgColor rgb="FFEA9999"/>
      </patternFill>
    </fill>
  </fills>
  <borders count="2">
    <border/>
    <border>
      <bottom style="thin">
        <color rgb="FF000000"/>
      </bottom>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readingOrder="0"/>
    </xf>
    <xf borderId="1" fillId="0" fontId="3" numFmtId="0" xfId="0" applyBorder="1" applyFont="1"/>
    <xf borderId="0" fillId="0" fontId="3" numFmtId="0" xfId="0" applyAlignment="1" applyFont="1">
      <alignment readingOrder="0"/>
    </xf>
    <xf borderId="1" fillId="0" fontId="3" numFmtId="0" xfId="0" applyAlignment="1" applyBorder="1" applyFont="1">
      <alignment readingOrder="0"/>
    </xf>
    <xf borderId="0" fillId="0" fontId="3" numFmtId="0" xfId="0" applyAlignment="1" applyFont="1">
      <alignment horizontal="center" readingOrder="0"/>
    </xf>
    <xf borderId="0" fillId="0" fontId="3" numFmtId="4" xfId="0" applyAlignment="1" applyFont="1" applyNumberFormat="1">
      <alignment readingOrder="0"/>
    </xf>
    <xf borderId="0" fillId="0" fontId="3" numFmtId="0" xfId="0" applyAlignment="1" applyFont="1">
      <alignment readingOrder="0" shrinkToFit="0" wrapText="1"/>
    </xf>
    <xf borderId="0" fillId="0" fontId="3" numFmtId="164" xfId="0" applyAlignment="1" applyFont="1" applyNumberFormat="1">
      <alignment readingOrder="0"/>
    </xf>
    <xf borderId="0" fillId="0" fontId="4" numFmtId="0" xfId="0" applyAlignment="1" applyFont="1">
      <alignment readingOrder="0"/>
    </xf>
    <xf borderId="0" fillId="2" fontId="3" numFmtId="0" xfId="0" applyAlignment="1" applyFill="1" applyFont="1">
      <alignment readingOrder="0"/>
    </xf>
    <xf borderId="0" fillId="2" fontId="0" numFmtId="0" xfId="0" applyAlignment="1" applyFill="1" applyFont="1">
      <alignment readingOrder="0" shrinkToFit="0" vertical="bottom" wrapText="0"/>
    </xf>
    <xf borderId="0" fillId="3" fontId="4" numFmtId="0" xfId="0" applyAlignment="1" applyFill="1" applyFont="1">
      <alignment horizontal="center" readingOrder="0"/>
    </xf>
    <xf borderId="0" fillId="3" fontId="4" numFmtId="0" xfId="0" applyAlignment="1" applyFill="1" applyFont="1">
      <alignment readingOrder="0"/>
    </xf>
    <xf borderId="0" fillId="4" fontId="4" numFmtId="0" xfId="0" applyAlignment="1" applyFill="1" applyFont="1">
      <alignment horizontal="center" readingOrder="0"/>
    </xf>
    <xf borderId="0" fillId="4" fontId="4" numFmtId="0" xfId="0" applyAlignment="1" applyFill="1" applyFont="1">
      <alignment readingOrder="0"/>
    </xf>
    <xf borderId="0" fillId="0" fontId="3" numFmtId="165" xfId="0" applyAlignment="1" applyFont="1" applyNumberFormat="1">
      <alignment readingOrder="0"/>
    </xf>
    <xf borderId="0" fillId="5" fontId="4" numFmtId="0" xfId="0" applyAlignment="1" applyFill="1" applyFont="1">
      <alignment horizontal="center" readingOrder="0"/>
    </xf>
    <xf borderId="0" fillId="5" fontId="4" numFmtId="0" xfId="0" applyAlignment="1" applyFill="1" applyFont="1">
      <alignment readingOrder="0"/>
    </xf>
    <xf borderId="0" fillId="0" fontId="4" numFmtId="0" xfId="0" applyFont="1"/>
    <xf borderId="0" fillId="0" fontId="3" numFmtId="164" xfId="0" applyFont="1" applyNumberFormat="1"/>
    <xf borderId="0" fillId="4" fontId="4" numFmtId="0" xfId="0" applyAlignment="1" applyFill="1" applyFont="1">
      <alignment horizontal="left" readingOrder="0"/>
    </xf>
    <xf borderId="0" fillId="2" fontId="4" numFmtId="0" xfId="0" applyAlignment="1" applyFill="1" applyFont="1">
      <alignment readingOrder="0"/>
    </xf>
    <xf borderId="0" fillId="6" fontId="4" numFmtId="0" xfId="0" applyAlignment="1" applyFill="1" applyFont="1">
      <alignment readingOrder="0"/>
    </xf>
    <xf borderId="0" fillId="6" fontId="0" numFmtId="0" xfId="0" applyAlignment="1" applyFill="1" applyFont="1">
      <alignment readingOrder="0" shrinkToFit="0" vertical="bottom" wrapText="0"/>
    </xf>
    <xf borderId="0" fillId="0" fontId="3" numFmtId="4" xfId="0" applyFont="1" applyNumberFormat="1"/>
    <xf borderId="0" fillId="6" fontId="3" numFmtId="0" xfId="0" applyAlignment="1" applyFill="1" applyFont="1">
      <alignment readingOrder="0"/>
    </xf>
    <xf borderId="0" fillId="6" fontId="5" numFmtId="0" xfId="0" applyAlignment="1" applyFill="1" applyFont="1">
      <alignment vertical="bottom"/>
    </xf>
    <xf borderId="0" fillId="6" fontId="6" numFmtId="0" xfId="0" applyAlignment="1" applyFill="1" applyFont="1">
      <alignment readingOrder="0" vertical="bottom"/>
    </xf>
    <xf borderId="0" fillId="6" fontId="6" numFmtId="0" xfId="0" applyAlignment="1" applyFill="1" applyFont="1">
      <alignment vertical="bottom"/>
    </xf>
    <xf borderId="0" fillId="6" fontId="6" numFmtId="0" xfId="0" applyAlignment="1" applyFill="1" applyFont="1">
      <alignment horizontal="right" vertical="bottom"/>
    </xf>
    <xf borderId="0" fillId="0" fontId="3" numFmtId="165" xfId="0" applyFont="1" applyNumberFormat="1"/>
    <xf borderId="0" fillId="0" fontId="5" numFmtId="0" xfId="0" applyAlignment="1" applyFont="1">
      <alignment vertical="bottom"/>
    </xf>
    <xf borderId="0" fillId="2" fontId="4" numFmtId="0" xfId="0" applyAlignment="1" applyFill="1" applyFont="1">
      <alignment readingOrder="0" shrinkToFit="0" vertical="bottom" wrapText="0"/>
    </xf>
    <xf borderId="0" fillId="6" fontId="7" numFmtId="0" xfId="0" applyAlignment="1" applyFill="1" applyFont="1">
      <alignment vertical="bottom"/>
    </xf>
    <xf borderId="0" fillId="6" fontId="4" numFmtId="0" xfId="0" applyAlignment="1" applyFill="1" applyFont="1">
      <alignment readingOrder="0" vertical="bottom"/>
    </xf>
    <xf borderId="0" fillId="6" fontId="4" numFmtId="0" xfId="0" applyAlignment="1" applyFill="1" applyFont="1">
      <alignment vertical="bottom"/>
    </xf>
    <xf borderId="0" fillId="6" fontId="4" numFmtId="0" xfId="0" applyAlignment="1" applyFill="1" applyFont="1">
      <alignment horizontal="right" vertical="bottom"/>
    </xf>
    <xf borderId="0" fillId="3" fontId="7" numFmtId="0" xfId="0" applyAlignment="1" applyFill="1" applyFont="1">
      <alignment readingOrder="0" vertical="bottom"/>
    </xf>
    <xf borderId="0" fillId="3" fontId="7" numFmtId="0" xfId="0" applyAlignment="1" applyFill="1" applyFont="1">
      <alignment vertical="bottom"/>
    </xf>
    <xf borderId="0" fillId="4" fontId="7" numFmtId="0" xfId="0" applyAlignment="1" applyFill="1" applyFont="1">
      <alignment readingOrder="0" vertical="bottom"/>
    </xf>
    <xf borderId="0" fillId="0" fontId="8" numFmtId="0" xfId="0" applyFont="1"/>
    <xf borderId="0" fillId="4" fontId="7" numFmtId="0" xfId="0" applyAlignment="1" applyFill="1" applyFont="1">
      <alignment vertical="bottom"/>
    </xf>
    <xf borderId="0" fillId="5" fontId="7" numFmtId="0" xfId="0" applyAlignment="1" applyFill="1" applyFont="1">
      <alignment readingOrder="0" vertical="bottom"/>
    </xf>
    <xf borderId="0" fillId="5" fontId="7" numFmtId="0" xfId="0" applyAlignment="1" applyFill="1" applyFont="1">
      <alignment vertical="bottom"/>
    </xf>
    <xf borderId="0" fillId="0" fontId="7" numFmtId="0" xfId="0" applyAlignment="1" applyFont="1">
      <alignment vertical="bottom"/>
    </xf>
    <xf borderId="0" fillId="3" fontId="4" numFmtId="0" xfId="0" applyAlignment="1" applyFill="1" applyFont="1">
      <alignment horizontal="left" readingOrder="0" shrinkToFit="0" vertical="top" wrapText="0"/>
    </xf>
    <xf borderId="0" fillId="6" fontId="4" numFmtId="0" xfId="0" applyAlignment="1" applyFill="1" applyFont="1">
      <alignment readingOrder="0" shrinkToFit="0" vertical="bottom" wrapText="0"/>
    </xf>
    <xf borderId="0" fillId="0" fontId="7" numFmtId="0" xfId="0" applyFont="1"/>
    <xf borderId="0" fillId="3" fontId="7" numFmtId="0" xfId="0" applyAlignment="1" applyFill="1" applyFont="1">
      <alignment readingOrder="0"/>
    </xf>
    <xf borderId="0" fillId="4" fontId="7" numFmtId="0" xfId="0" applyAlignment="1" applyFill="1" applyFont="1">
      <alignment readingOrder="0"/>
    </xf>
    <xf borderId="0" fillId="4" fontId="7" numFmtId="0" xfId="0" applyAlignment="1" applyFill="1" applyFont="1">
      <alignment readingOrder="0" shrinkToFit="0" wrapText="0"/>
    </xf>
    <xf borderId="0" fillId="5" fontId="7" numFmtId="0" xfId="0" applyAlignment="1" applyFill="1" applyFont="1">
      <alignment readingOrder="0"/>
    </xf>
    <xf borderId="0" fillId="3" fontId="7" numFmtId="0" xfId="0" applyAlignment="1" applyFill="1" applyFont="1">
      <alignment horizontal="left" readingOrder="0"/>
    </xf>
    <xf borderId="0" fillId="3" fontId="4" numFmtId="0" xfId="0" applyAlignment="1" applyFill="1" applyFont="1">
      <alignment horizontal="left" readingOrder="0"/>
    </xf>
    <xf borderId="0" fillId="6" fontId="3" numFmtId="0" xfId="0" applyFill="1" applyFont="1"/>
    <xf borderId="0" fillId="6" fontId="6" numFmtId="0" xfId="0" applyAlignment="1" applyFill="1" applyFont="1">
      <alignment horizontal="left" readingOrder="0"/>
    </xf>
    <xf borderId="0" fillId="0" fontId="9" numFmtId="0" xfId="0" applyAlignment="1" applyFont="1">
      <alignment horizontal="left" readingOrder="0"/>
    </xf>
    <xf borderId="0" fillId="6" fontId="8" numFmtId="0" xfId="0" applyAlignment="1" applyFill="1" applyFont="1">
      <alignment readingOrder="0"/>
    </xf>
    <xf borderId="0" fillId="6" fontId="9" numFmtId="0" xfId="0" applyAlignment="1" applyFill="1" applyFont="1">
      <alignment horizontal="left" readingOrder="0"/>
    </xf>
    <xf borderId="0" fillId="2" fontId="6" numFmtId="0" xfId="0" applyAlignment="1" applyFill="1" applyFont="1">
      <alignment horizontal="left" readingOrder="0"/>
    </xf>
    <xf borderId="0" fillId="6" fontId="4" numFmtId="0" xfId="0" applyFill="1" applyFont="1"/>
    <xf borderId="0" fillId="6" fontId="4" numFmtId="0" xfId="0" applyAlignment="1" applyFill="1" applyFont="1">
      <alignment horizontal="left" readingOrder="0"/>
    </xf>
    <xf borderId="0" fillId="3" fontId="0" numFmtId="0" xfId="0" applyAlignment="1" applyFill="1" applyFont="1">
      <alignment horizontal="left" readingOrder="0"/>
    </xf>
    <xf borderId="0" fillId="0" fontId="0" numFmtId="0" xfId="0" applyAlignment="1" applyFont="1">
      <alignment readingOrder="0" shrinkToFit="0" vertical="bottom" wrapText="0"/>
    </xf>
    <xf borderId="0" fillId="0" fontId="4" numFmtId="0" xfId="0" applyAlignment="1" applyFont="1">
      <alignment readingOrder="0" shrinkToFit="0" vertical="bottom" wrapText="0"/>
    </xf>
    <xf borderId="0" fillId="6" fontId="7" numFmtId="0" xfId="0" applyAlignment="1" applyFill="1" applyFont="1">
      <alignment readingOrder="0"/>
    </xf>
    <xf borderId="0" fillId="0" fontId="10" numFmtId="0" xfId="0" applyAlignment="1" applyFont="1">
      <alignment horizontal="left" readingOrder="0"/>
    </xf>
    <xf borderId="0" fillId="6" fontId="10" numFmtId="0" xfId="0" applyAlignment="1" applyFill="1" applyFont="1">
      <alignment horizontal="left" readingOrder="0"/>
    </xf>
    <xf borderId="0" fillId="7" fontId="3" numFmtId="0" xfId="0" applyAlignment="1" applyFill="1" applyFont="1">
      <alignment readingOrder="0"/>
    </xf>
    <xf borderId="0" fillId="7" fontId="0" numFmtId="0" xfId="0" applyAlignment="1" applyFill="1" applyFont="1">
      <alignment readingOrder="0" shrinkToFit="0" vertical="bottom" wrapText="0"/>
    </xf>
    <xf borderId="0" fillId="7" fontId="3" numFmtId="4" xfId="0" applyFill="1" applyFont="1" applyNumberFormat="1"/>
    <xf borderId="0" fillId="2" fontId="4" numFmtId="0" xfId="0" applyAlignment="1" applyFill="1" applyFont="1">
      <alignment horizontal="left" readingOrder="0"/>
    </xf>
    <xf borderId="0" fillId="7" fontId="11" numFmtId="0" xfId="0" applyAlignment="1" applyFill="1" applyFont="1">
      <alignment readingOrder="0"/>
    </xf>
    <xf borderId="0" fillId="7" fontId="9" numFmtId="0" xfId="0" applyAlignment="1" applyFill="1" applyFont="1">
      <alignment horizontal="left" readingOrder="0"/>
    </xf>
    <xf borderId="0" fillId="7" fontId="4" numFmtId="0" xfId="0" applyAlignment="1" applyFill="1" applyFont="1">
      <alignment readingOrder="0"/>
    </xf>
    <xf borderId="0" fillId="0" fontId="6" numFmtId="0" xfId="0" applyAlignment="1" applyFont="1">
      <alignment horizontal="left" readingOrder="0"/>
    </xf>
    <xf borderId="0" fillId="4" fontId="0" numFmtId="0" xfId="0" applyAlignment="1" applyFill="1" applyFont="1">
      <alignment horizontal="left" readingOrder="0"/>
    </xf>
    <xf borderId="0" fillId="5" fontId="0" numFmtId="0" xfId="0" applyAlignment="1" applyFill="1" applyFont="1">
      <alignment horizontal="left" readingOrder="0"/>
    </xf>
    <xf borderId="0" fillId="4" fontId="0" numFmtId="0" xfId="0" applyAlignment="1" applyFill="1" applyFont="1">
      <alignment horizontal="left" readingOrder="0"/>
    </xf>
    <xf borderId="0" fillId="7" fontId="0" numFmtId="0" xfId="0" applyAlignment="1" applyFill="1" applyFont="1">
      <alignment readingOrder="0"/>
    </xf>
    <xf borderId="0" fillId="7" fontId="10" numFmtId="0" xfId="0" applyAlignment="1" applyFill="1" applyFont="1">
      <alignment horizontal="left" readingOrder="0"/>
    </xf>
    <xf borderId="0" fillId="2" fontId="9" numFmtId="0" xfId="0" applyAlignment="1" applyFill="1" applyFont="1">
      <alignment horizontal="left" readingOrder="0"/>
    </xf>
    <xf borderId="0" fillId="3" fontId="4" numFmtId="0" xfId="0" applyAlignment="1" applyFill="1" applyFont="1">
      <alignment readingOrder="0" shrinkToFit="0" wrapText="1"/>
    </xf>
    <xf borderId="0" fillId="3" fontId="4" numFmtId="0" xfId="0" applyAlignment="1" applyFill="1" applyFont="1">
      <alignment readingOrder="0" shrinkToFit="0" wrapText="0"/>
    </xf>
    <xf borderId="0" fillId="5" fontId="4" numFmtId="0" xfId="0" applyAlignment="1" applyFill="1" applyFont="1">
      <alignment readingOrder="0" vertical="bottom"/>
    </xf>
    <xf borderId="0" fillId="0" fontId="12" numFmtId="0" xfId="0" applyAlignment="1" applyFont="1">
      <alignment readingOrder="0"/>
    </xf>
    <xf borderId="0" fillId="0" fontId="12" numFmtId="0" xfId="0" applyAlignment="1" applyFont="1">
      <alignment horizontal="left" readingOrder="0" shrinkToFit="0" vertical="bottom" wrapText="0"/>
    </xf>
    <xf borderId="0" fillId="0" fontId="12" numFmtId="0" xfId="0" applyAlignment="1" applyFont="1">
      <alignment readingOrder="0" shrinkToFit="0" vertical="bottom" wrapText="0"/>
    </xf>
    <xf borderId="0" fillId="0" fontId="12" numFmtId="0" xfId="0" applyAlignment="1" applyFont="1">
      <alignment horizontal="right" readingOrder="0" shrinkToFit="0" vertical="bottom" wrapText="0"/>
    </xf>
    <xf borderId="0" fillId="6" fontId="12" numFmtId="0" xfId="0" applyAlignment="1" applyFill="1" applyFont="1">
      <alignment horizontal="left" readingOrder="0" shrinkToFit="0" vertical="bottom" wrapText="0"/>
    </xf>
    <xf borderId="0" fillId="6" fontId="12" numFmtId="0" xfId="0" applyAlignment="1" applyFill="1" applyFont="1">
      <alignment readingOrder="0" shrinkToFit="0" vertical="bottom" wrapText="0"/>
    </xf>
    <xf borderId="0" fillId="6" fontId="12" numFmtId="0" xfId="0" applyAlignment="1" applyFill="1" applyFont="1">
      <alignment horizontal="right" readingOrder="0" shrinkToFit="0" vertical="bottom" wrapText="0"/>
    </xf>
    <xf borderId="0" fillId="0" fontId="9" numFmtId="0" xfId="0" applyAlignment="1" applyFont="1">
      <alignment horizontal="left" readingOrder="0" shrinkToFit="0" vertical="bottom" wrapText="0"/>
    </xf>
    <xf borderId="0" fillId="0" fontId="4" numFmtId="0" xfId="0" applyAlignment="1" applyFont="1">
      <alignment horizontal="left" readingOrder="0"/>
    </xf>
    <xf borderId="0" fillId="5" fontId="0" numFmtId="0" xfId="0" applyAlignment="1" applyFill="1" applyFont="1">
      <alignment readingOrder="0" shrinkToFit="0" vertical="bottom" wrapText="0"/>
    </xf>
    <xf borderId="0" fillId="2" fontId="10" numFmtId="0" xfId="0" applyAlignment="1" applyFill="1" applyFont="1">
      <alignment horizontal="left" readingOrder="0"/>
    </xf>
    <xf borderId="0" fillId="7" fontId="6" numFmtId="0" xfId="0" applyAlignment="1" applyFill="1" applyFont="1">
      <alignment vertical="bottom"/>
    </xf>
    <xf borderId="0" fillId="7" fontId="9" numFmtId="0" xfId="0" applyAlignment="1" applyFill="1" applyFont="1">
      <alignment vertical="bottom"/>
    </xf>
    <xf borderId="0" fillId="7" fontId="6" numFmtId="0" xfId="0" applyAlignment="1" applyFill="1" applyFont="1">
      <alignment horizontal="right" vertical="bottom"/>
    </xf>
    <xf borderId="0" fillId="7" fontId="12" numFmtId="0" xfId="0" applyAlignment="1" applyFill="1" applyFont="1">
      <alignment horizontal="left" readingOrder="0" shrinkToFit="0" vertical="bottom" wrapText="0"/>
    </xf>
    <xf borderId="0" fillId="7" fontId="12" numFmtId="0" xfId="0" applyAlignment="1" applyFill="1" applyFont="1">
      <alignment readingOrder="0" shrinkToFit="0" vertical="bottom" wrapText="0"/>
    </xf>
    <xf borderId="0" fillId="7" fontId="12" numFmtId="0" xfId="0" applyAlignment="1" applyFill="1" applyFont="1">
      <alignment horizontal="right" readingOrder="0" shrinkToFit="0" vertical="bottom" wrapText="0"/>
    </xf>
    <xf borderId="0" fillId="5" fontId="0" numFmtId="0" xfId="0" applyAlignment="1" applyFill="1" applyFont="1">
      <alignment horizontal="left" readingOrder="0" shrinkToFit="0" vertical="bottom" wrapText="0"/>
    </xf>
    <xf borderId="0" fillId="7" fontId="9" numFmtId="0" xfId="0" applyAlignment="1" applyFill="1" applyFont="1">
      <alignment horizontal="left" readingOrder="0" shrinkToFit="0" vertical="bottom" wrapText="0"/>
    </xf>
    <xf borderId="0" fillId="6" fontId="9" numFmtId="0" xfId="0" applyAlignment="1" applyFill="1" applyFont="1">
      <alignment horizontal="left" readingOrder="0" shrinkToFit="0" vertical="bottom" wrapText="0"/>
    </xf>
    <xf borderId="0" fillId="7" fontId="4" numFmtId="0" xfId="0" applyAlignment="1" applyFill="1" applyFont="1">
      <alignment vertical="bottom"/>
    </xf>
    <xf borderId="0" fillId="7" fontId="10" numFmtId="0" xfId="0" applyAlignment="1" applyFill="1" applyFont="1">
      <alignment vertical="bottom"/>
    </xf>
    <xf borderId="0" fillId="7" fontId="4" numFmtId="0" xfId="0" applyAlignment="1" applyFill="1" applyFont="1">
      <alignment horizontal="right" vertical="bottom"/>
    </xf>
    <xf borderId="0" fillId="3" fontId="4" numFmtId="0" xfId="0" applyAlignment="1" applyFill="1" applyFont="1">
      <alignment readingOrder="0" vertical="bottom"/>
    </xf>
    <xf borderId="0" fillId="3" fontId="4" numFmtId="0" xfId="0" applyAlignment="1" applyFill="1" applyFont="1">
      <alignment vertical="bottom"/>
    </xf>
    <xf borderId="0" fillId="4" fontId="4" numFmtId="0" xfId="0" applyAlignment="1" applyFill="1" applyFont="1">
      <alignment readingOrder="0" vertical="bottom"/>
    </xf>
    <xf borderId="0" fillId="0" fontId="0" numFmtId="0" xfId="0" applyAlignment="1" applyFont="1">
      <alignment horizontal="left" readingOrder="0" shrinkToFit="0" vertical="bottom" wrapText="0"/>
    </xf>
    <xf borderId="0" fillId="0" fontId="0" numFmtId="0" xfId="0" applyAlignment="1" applyFont="1">
      <alignment horizontal="right" readingOrder="0" shrinkToFit="0" vertical="bottom" wrapText="0"/>
    </xf>
    <xf borderId="0" fillId="6" fontId="0" numFmtId="0" xfId="0" applyAlignment="1" applyFill="1" applyFont="1">
      <alignment horizontal="left" readingOrder="0" shrinkToFit="0" vertical="bottom" wrapText="0"/>
    </xf>
    <xf borderId="0" fillId="6" fontId="0" numFmtId="0" xfId="0" applyAlignment="1" applyFill="1" applyFont="1">
      <alignment horizontal="right" readingOrder="0" shrinkToFit="0" vertical="bottom" wrapText="0"/>
    </xf>
    <xf borderId="0" fillId="7" fontId="0" numFmtId="0" xfId="0" applyAlignment="1" applyFill="1" applyFont="1">
      <alignment horizontal="left" readingOrder="0" shrinkToFit="0" vertical="bottom" wrapText="0"/>
    </xf>
    <xf borderId="0" fillId="7" fontId="0" numFmtId="0" xfId="0" applyAlignment="1" applyFill="1" applyFont="1">
      <alignment horizontal="right" readingOrder="0" shrinkToFit="0" vertical="bottom" wrapText="0"/>
    </xf>
    <xf borderId="0" fillId="7" fontId="10" numFmtId="0" xfId="0" applyAlignment="1" applyFill="1" applyFont="1">
      <alignment horizontal="left" readingOrder="0" shrinkToFit="0" vertical="bottom" wrapText="0"/>
    </xf>
    <xf borderId="0" fillId="6" fontId="10" numFmtId="0" xfId="0" applyAlignment="1" applyFill="1" applyFont="1">
      <alignment horizontal="left" readingOrder="0" shrinkToFit="0" vertical="bottom" wrapText="0"/>
    </xf>
    <xf borderId="0" fillId="3" fontId="4" numFmtId="0" xfId="0" applyFill="1" applyFont="1"/>
    <xf borderId="0" fillId="4" fontId="4" numFmtId="0" xfId="0" applyFill="1" applyFont="1"/>
    <xf borderId="0" fillId="5" fontId="4"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iago Pereira Rique" id="{27149642-60fe-45cd-90b6-774a17d679a8}" providerId="google-sheets"/>
  <x18tc:person displayName="Mirko Perkusich" id="{06cf434e-9d47-4882-abad-106b68da7d8d}" providerId="google-sheets"/>
  <x18tc:person displayName="mperkusich@gmail.com" id="{94b8a664-3c75-47eb-8ec7-748c938250c6}" userId="mperkusich@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5-29T00:25:42.00" personId="{27149642-60fe-45cd-90b6-774a17d679a8}" id="{d1a48c41-3989-4263-8b70-2a8da91334d3}" done="0">
    <x18tc:text xml:space="preserve">Como a estrutura foi criada por uma algoritmo de structure learning + expert-based structural constraints, eu inferi que as CPTs foram criadas automaticamente com uma ferramenta a partir dos dados do survey (obtidos de experts). "5) Comparison with other risk analysis models: First, the causality knowledge in our model is learned from the data (objective) and not derived from the individual experience of project managers/ experts (subjective). Therefore, our model is more reliable than other BNs that incorporate subjective knowledge." Às vezes eu fico confuso quando os autores dizem que as relações causais não são obtidas de experts, sendo que os dados obtidos refletem a experiência de profissionais em projetos recentes. Tipo, o modelo foi construído baseado em dados, mas dados provenientes da cabeça dos experts.</x18tc:text>
  </x18tc:threadedComment>
  <x18tc:threadedComment ref="A1" dT="2025-06-28T03:10:30.00" personId="{27149642-60fe-45cd-90b6-774a17d679a8}" id="{b78da4b7-004f-442e-b1f3-636cd93adfc3}" done="0">
    <x18tc:text xml:space="preserve">Decidir se mantém (formal knowledge/model)</x18tc:text>
  </x18tc:threadedComment>
  <x18tc:threadedComment ref="A1" dT="2025-06-28T03:32:12.00" personId="{27149642-60fe-45cd-90b6-774a17d679a8}" id="{bae015c2-a8dd-4456-9e69-8a4c5ad09e45}" done="1">
    <x18tc:text xml:space="preserve">formal knowledge/model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 dT="2025-06-06T02:18:46.00" personId="{27149642-60fe-45cd-90b6-774a17d679a8}" id="{2c3d86bb-e44d-4ed1-8f2d-67052a31fc28}" done="1">
    <x18tc:text xml:space="preserve">Justificativa para 0.5: A única coisa explícita sobre relacionamentos é o seguinte: "Links are formed between these nodes to represent how they influence each other, leading to the acyclic graph shown in Fig. 3." Além disso, eles não dizem explicitamente que usaram focus group. Dada a definição abrangente que usamos no artigo do IST (abrangendo também workshops, brainstorming, knowledge elicitation sessions, etc), inferi que usaram focus group a partir de alguns trechos, por exemplo, "These factors were identified in our review of the literature and were evaluated by a Kanban project team at our industry partner Andersen Corporation (Bayport, Minnesota US)." e "The project team we worked with expressed that this was unusual..." Aqui me pareceu que houve uma discussão com experts para definir os relacionamentos. Caso achem que eu forcei demais a barra ao atribuir focus group, podemos deixar como not specified e atribuir 0.0.</x18tc:text>
  </x18tc:threadedComment>
  <x18tc:threadedComment ref="J4" dT="2025-06-07T14:44:07.00" personId="{06cf434e-9d47-4882-abad-106b68da7d8d}" id="{544c9d5e-19a4-4e31-a3c9-77444d2ed443}" parentId="{2c3d86bb-e44d-4ed1-8f2d-67052a31fc28}">
    <x18tc:text xml:space="preserve">Não necessariamente foi focus group, eles podem ter montando um questionário, mas enfim, pelo menos ele dizem daonde eles tiraram os fatores/relacoes iniciais (literatura) e que consultaram experts (só n dizem como). Acho que 0.5 ta ok</x18tc:text>
  </x18tc:threadedComment>
  <x18tc:threadedComment ref="N4" dT="2025-06-06T02:29:43.00" personId="{27149642-60fe-45cd-90b6-774a17d679a8}" id="{2c52b5b0-12a0-41c7-888f-a2ff6f5ed612}" done="1">
    <x18tc:text xml:space="preserve">Justificativa para 0.5: É difícil um artigo detalhar bem essa parte ou mencionar explicitamente. Atribuí 0.5 por conta desse trecho: " If a team finds that the estimates are not matching the actual lead time values, it will make sense for the team to gather better data for the Average Task Size node after the Average Team Daily Velocity node". Acredito que deve ter havido uma expert review para concluir que "estimates are not matching the actual lead time values".</x18tc:text>
  </x18tc:threadedComment>
  <x18tc:threadedComment ref="N4" dT="2025-06-07T14:47:33.00" personId="{06cf434e-9d47-4882-abad-106b68da7d8d}" id="{35a561da-998f-4b9f-8475-baf5df75fc27}" parentId="{2c52b5b0-12a0-41c7-888f-a2ff6f5ed612}">
    <x18tc:text xml:space="preserve">ok</x18tc:text>
  </x18tc:threadedComment>
  <x18tc:threadedComment ref="P28" dT="2025-06-06T02:33:26.00" personId="{27149642-60fe-45cd-90b6-774a17d679a8}" id="{7785c502-5470-4c0d-b7e5-d696fd12add3}" done="1">
    <x18tc:text xml:space="preserve">Justificativa para 0.5: O artigo só demonstra o uso do modelo, inserindo alguns dados e mostrando a respectiva saída do modelo, sem nenhuma discussão mais embasada. Considerei aqui "proof of concept".</x18tc:text>
  </x18tc:threadedComment>
  <x18tc:threadedComment ref="P28" dT="2025-06-07T14:47:47.00" personId="{06cf434e-9d47-4882-abad-106b68da7d8d}" id="{9347471c-b646-4970-87a2-9a306a01f0be}" parentId="{7785c502-5470-4c0d-b7e5-d696fd12add3}">
    <x18tc:text xml:space="preserve">ok</x18tc:text>
  </x18tc:threadedComment>
  <x18tc:threadedComment ref="M29" dT="2025-06-06T02:37:25.00" personId="{27149642-60fe-45cd-90b6-774a17d679a8}" id="{bfe4c43a-c04e-4d32-bdf9-a3da5a23b629}" done="1">
    <x18tc:text xml:space="preserve">Justificativa para 0.5: poucos detalhes do ranked nodes. Diz que usou wmin function, além do seguinte: "For each child-node, we defined a questionnaire composed by a set of combinations of its parent nodes. Due to space limitations, we limit ourselves to state that, to generate the probability functions, we applied the approach proposed by Laitila [17]."]"</x18tc:text>
  </x18tc:threadedComment>
  <x18tc:threadedComment ref="M29" dT="2025-06-07T14:46:49.00" personId="{06cf434e-9d47-4882-abad-106b68da7d8d}" id="{eee5b86c-3275-4463-bf08-1dca5a4b8819}" parentId="{bfe4c43a-c04e-4d32-bdf9-a3da5a23b629}">
    <x18tc:text xml:space="preserve">ok</x18tc:text>
  </x18tc:threadedComment>
  <x18tc:threadedComment ref="H30" dT="2025-06-06T02:41:11.00" personId="{27149642-60fe-45cd-90b6-774a17d679a8}" id="{4770eb9a-4730-4734-a80d-c96b33ccffa9}" done="1">
    <x18tc:text xml:space="preserve">Os detalhes de construção do modelo são abordados em um capítulo de livro (ficou de fora do nosso estudo). Este artigo foca mais na validação. Quanto à estrutura, diz o seguinte (por isso 0.5 em cada atividade): "3.1 Bayesian network Requisites BNs are very useful in SE, since the representation of causal relationships among variables is meaningful to software practitioners (Harman 2012; Misirli and Bener 2014). A specific case of this AI technique in requirements workflow is the Bayesian network Requisites (del Sagrado and del Aguila ´ 2010). This was built through interactions with experts and using several information sources. "] ["In order to build Requisites, the general BN construction process (Korb and Nicholson 2010) was applied manually, assisted by two software engineers in an interview-evaluation cycle (for more details, see (del Sagrado and del Aguila ´ 2010)). The steps followed were: 1. Structure elicitation. The network topology has to capture the relationships between variables (i.e., two variables should be connected by an arc if one affects the other). In general, any independence suggested by a lack of an arc should correspond to real independence in the knowledge domain. Table 1 shows the variables identified by the experts and the structure of Requisites (see Fig. 1) reflects the dependencies identified by experts in order to assess the goodness of the SRS."</x18tc:text>
  </x18tc:threadedComment>
  <x18tc:threadedComment ref="H30" dT="2025-06-07T14:42:35.00" personId="{06cf434e-9d47-4882-abad-106b68da7d8d}" id="{6023f472-6905-4fdd-b242-e0341a91e0e0}" parentId="{4770eb9a-4730-4734-a80d-c96b33ccffa9}">
    <x18tc:text xml:space="preserve">concordo com o 0.5</x18tc:text>
  </x18tc:threadedComment>
  <x18tc:threadedComment ref="K32" dT="2025-06-06T02:45:38.00" personId="{27149642-60fe-45cd-90b6-774a17d679a8}" id="{a53d7713-f319-4e31-b61a-93a4e9189a92}" done="1">
    <x18tc:text xml:space="preserve">Justificativa para 0.5: Inferi que foi expert review, mas não diz muita coisa: "All the values are checked for rank and accuracy. In some cases, it is necessary to go back to the first step and redefine the values of the nodes."</x18tc:text>
  </x18tc:threadedComment>
  <x18tc:threadedComment ref="K32" dT="2025-06-07T14:46:36.00" personId="{06cf434e-9d47-4882-abad-106b68da7d8d}" id="{139dc766-0fe8-4292-b2d5-7df109024315}" parentId="{a53d7713-f319-4e31-b61a-93a4e9189a92}">
    <x18tc:text xml:space="preserve">hm.. aqui eu fiquei entre 0 e 0.5... mas se no artigo ele deixou claro que isso foi feito pra validar a estrutura, o 0.5 é justo (dado que maioria nem comenta sobre isso)</x18tc:text>
  </x18tc:threadedComment>
  <x18tc:threadedComment ref="J33" dT="2025-06-06T02:48:39.00" personId="{27149642-60fe-45cd-90b6-774a17d679a8}" id="{810697a1-d97b-4629-bc4a-148ed9882f95}" done="1">
    <x18tc:text xml:space="preserve">Justificativa para 0.5: só diz isso sobre os relacionamentos: "Here, causal relationships among the software risk indicator metrics is constructed based on the software development risk Taxonomy 16"</x18tc:text>
  </x18tc:threadedComment>
  <x18tc:threadedComment ref="J33" dT="2025-06-07T14:45:07.00" personId="{06cf434e-9d47-4882-abad-106b68da7d8d}" id="{3cb80fe7-f24a-438b-995e-b306ab3845ce}" parentId="{810697a1-d97b-4629-bc4a-148ed9882f95}">
    <x18tc:text xml:space="preserve">pelo menos, eles deixam claro que usaram uma taxonomia como referencia.. concordo com o 0.5</x18tc:text>
  </x18tc:threadedComment>
  <x18tc:threadedComment ref="P35" dT="2025-06-06T02:54:37.00" personId="{27149642-60fe-45cd-90b6-774a17d679a8}" id="{35409557-1a25-4017-b4c1-a80900344ee4}" done="1">
    <x18tc:text xml:space="preserve">Justificativa para 0.5: me parece que usou predictive accuracy, comparando alguns dados de projetos com os resultados do modelo, mas sem grandes detalhes. "The actual faults and those obtained by implementing Bayesian Belief Networks for predicting the expected number of faults in 3 different projects before testing are illustrated in Table 4; The results above show better fault predicting accuracy of BBN model with around 81% correlation with the actual faults."</x18tc:text>
  </x18tc:threadedComment>
  <x18tc:threadedComment ref="P35" dT="2025-06-07T14:47:59.00" personId="{06cf434e-9d47-4882-abad-106b68da7d8d}" id="{cb88181f-a2d6-4680-b533-8b596a1a2947}" parentId="{35409557-1a25-4017-b4c1-a80900344ee4}">
    <x18tc:text xml:space="preserve">ok</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83" dT="2025-05-07T12:38:49.00" personId="{27149642-60fe-45cd-90b6-774a17d679a8}" id="{04961b4a-c65a-430b-80f8-a6408f5224ef}" done="1">
    <x18tc:text xml:space="preserve">Fiquei na dúvida se exclui ou não</x18tc:text>
  </x18tc:threadedComment>
  <x18tc:threadedComment ref="M101" dT="2025-05-14T03:07:15.00" personId="{27149642-60fe-45cd-90b6-774a17d679a8}" id="{9c2be1d7-5472-4916-bb20-59e0f7ecb98e}" done="1">
    <x18tc:text xml:space="preserve">Fiquei na dúvida se deveria extrair apenas "EM algorithm". Os dados coletados via survey com experts serviram como entrada para o EM algorithm calcular os parâmetros.</x18tc:text>
  </x18tc:threadedComment>
  <x18tc:threadedComment ref="N39" dT="2025-05-16T19:10:47.00" personId="{27149642-60fe-45cd-90b6-774a17d679a8}" id="{785f21bb-6009-4ac3-90f0-b9597290b5cd}" done="1">
    <x18tc:text xml:space="preserve">Na sua opinião, dá pra inferir que usou expert review pra CPT evaluation?</x18tc:text>
  </x18tc:threadedComment>
  <x18tc:threadedComment ref="K39" dT="2025-05-16T19:20:46.00" personId="{27149642-60fe-45cd-90b6-774a17d679a8}" id="{05e6caab-2d7d-4775-b18b-d4209f8c5e44}" done="1">
    <x18tc:text xml:space="preserve">Dá pra considerar "expert review" aqui?</x18tc:text>
  </x18tc:threadedComment>
  <x18tc:threadedComment ref="M39" dT="2025-05-16T19:27:27.00" personId="{27149642-60fe-45cd-90b6-774a17d679a8}" id="{e1dfa025-7e54-4e64-9ff0-7c6c74eed2e8}" done="1">
    <x18tc:text xml:space="preserve">Faz sentido de acordo com o trecho extraído?</x18tc:text>
  </x18tc:threadedComment>
  <x18tc:threadedComment ref="I41" dT="2025-05-16T19:34:23.00" personId="{27149642-60fe-45cd-90b6-774a17d679a8}" id="{c2d5c3c7-37d7-470e-93c3-75b464c3006b}" done="1">
    <x18tc:text xml:space="preserve">Dá pra inferir isso do texto ou força muito a barra?</x18tc:text>
  </x18tc:threadedComment>
  <x18tc:threadedComment ref="M41" dT="2025-05-16T19:36:00.00" personId="{27149642-60fe-45cd-90b6-774a17d679a8}" id="{194bee68-f522-4566-9727-5f19ee2e6030}" done="1">
    <x18tc:text xml:space="preserve">Faz sentido? Por ex., Gibbs sampling foca na parte de inferência em si, né? Tipo, entra com dados em algum nó (evidência) e as probabilidades são atualizadas usando Gibbs sampling. Talvez não esteja diretamente relacionado com a construção das CPTs em si. Acho que tem a ver com a parte de inferência mesmo. Melhor remover Gibbs sampling. O que você acha? Outra coisa: Fala que entrevistou experts para preencher o questionário. Por isso incluí "surveys" e "interviews", mas talvez o foco seja no questionário mesmo, né? Melhor remover "interviews"?</x18tc:text>
  </x18tc:threadedComment>
  <x18tc:threadedComment ref="J34" dT="2025-04-14T22:40:45.00" personId="{27149642-60fe-45cd-90b6-774a17d679a8}" id="{72af406b-a6c6-4919-9dfa-bec0999045ee}" done="1">
    <x18tc:text xml:space="preserve">O artigo já indica/explica os relacionamentos sem mencionar como foram identificados.</x18tc:text>
  </x18tc:threadedComment>
  <x18tc:threadedComment ref="M42" dT="2025-05-05T13:43:25.00" personId="{27149642-60fe-45cd-90b6-774a17d679a8}" id="{97538a8b-4186-4171-9995-ec50dd834380}" done="1">
    <x18tc:text xml:space="preserve">Faz sentido?</x18tc:text>
  </x18tc:threadedComment>
  <x18tc:threadedComment ref="P61" dT="2025-05-04T19:19:15.00" personId="{27149642-60fe-45cd-90b6-774a17d679a8}" id="{bfbe0b7d-e02b-4274-83b8-d59b0aef6e69}" done="1">
    <x18tc:text xml:space="preserve">Faz sentido?</x18tc:text>
  </x18tc:threadedComment>
  <x18tc:threadedComment ref="P78" dT="2025-05-04T19:24:12.00" personId="{27149642-60fe-45cd-90b6-774a17d679a8}" id="{00e6880a-5e32-4444-bfdf-c5f5ad2f3b0a}" done="1">
    <x18tc:text xml:space="preserve">Compara o outcome do modelo (nível de confiança quanto à interpretação da métrica) com o valor coletado para a métrica pelo expert. Como compara o outcome com expert judgment, achei que seria uma espécie de model walkthrough (pelo que entendi do EKEBN). Faz sentido ou você colocaria outro método de validação? @mperkusich@gmail.com</x18tc:text>
    <x18tc:mentions>
      <x18tc:mention mentionpersonId="{94b8a664-3c75-47eb-8ec7-748c938250c6}" mentionId="{566f1139-2b16-4cfe-a904-48bb315198a9}" startIndex="311" length="21"/>
    </x18tc:mentions>
  </x18tc:threadedComment>
  <x18tc:threadedComment ref="P78" dT="2025-08-10T15:39:41.00" personId="{06cf434e-9d47-4882-abad-106b68da7d8d}" id="{8facbfc1-6d72-42a5-946a-66a4fb494df1}" parentId="{00e6880a-5e32-4444-bfdf-c5f5ad2f3b0a}">
    <x18tc:text xml:space="preserve">Usou dados de projetos reais (3 sprints). Então, eu botaria como "predictive accuracy", mas com apoio de experts.. nesse projeto, eu lembro que o "model walktrough" foi feito antes.. so com simulacoes e tal, mas eu vi que isso n ta no artigo...Talvez, pra essse vc poderia botar "predictive accuracy" em "Data-driven validaton" e "expert review" em "Expert-based validation" &amp; "case study".... acho que seria a mesma coisa pra o S8.. ambos seguiram metodologia similar.. um case study pra envolver experts e coletar dados de projetos.. e fazer os dois: expert -e data-driven validation</x18tc:text>
  </x18tc:threadedComment>
  <x18tc:threadedComment ref="M82" dT="2025-05-05T17:53:24.00" personId="{27149642-60fe-45cd-90b6-774a17d679a8}" id="{50747c2f-ae00-4c36-9789-dfd03827b05c}" done="1">
    <x18tc:text xml:space="preserve">Dados foram coletados por meio de entrevistas com experts para compor um dataset para validação. Fiquei na dúvida se esses dados foram usados para as CPTs também. Caso não tenham sido usados pras CPTs, acho que esse artigo deveria ficar de fora (porque não aborda parameter estimation).</x18tc:text>
  </x18tc:threadedComment>
  <x18tc:threadedComment ref="M49" dT="2025-04-29T02:45:05.00" personId="{27149642-60fe-45cd-90b6-774a17d679a8}" id="{22d69ba8-ddd5-439b-aa34-be2d8c76e9b2}" done="1">
    <x18tc:text xml:space="preserve">Fiquei na dúvida. Dados são coletados para realizar a validação dos modelos. Quanto mais dados são coletados, esses modelos são recalibrados para obter melhores predições. Assim, embora não esteja explícito, acredito que esse questionário seja utilizado para construir as CPTs. @mperkusich@gmail.com</x18tc:text>
    <x18tc:mentions>
      <x18tc:mention mentionpersonId="{94b8a664-3c75-47eb-8ec7-748c938250c6}" mentionId="{ad5623ed-10dd-4b80-9e12-793761f59b55}" startIndex="278" length="21"/>
    </x18tc:mentions>
  </x18tc:threadedComment>
  <x18tc:threadedComment ref="M49" dT="2025-08-10T15:14:49.00" personId="{06cf434e-9d47-4882-abad-106b68da7d8d}" id="{7bfe8d0d-3ff6-4ea0-b6dc-6e6862d53451}" parentId="{22d69ba8-ddd5-439b-aa34-be2d8c76e9b2}">
    <x18tc:text xml:space="preserve">ok</x18tc:text>
  </x18tc:threadedComment>
  <x18tc:threadedComment ref="Q49" dT="2025-04-29T02:46:30.00" personId="{27149642-60fe-45cd-90b6-774a17d679a8}" id="{b4cd6b60-9b18-40a6-8651-f63ad05987bd}" done="1">
    <x18tc:text xml:space="preserve">Sempre que compara as predições do modelo (predicted distribution) com dados reais (actual distribution), eu considerei como sendo "predictive accuracy/outcome adequacy"</x18tc:text>
  </x18tc:threadedComment>
  <x18tc:threadedComment ref="M68" dT="2025-05-03T04:30:15.00" personId="{27149642-60fe-45cd-90b6-774a17d679a8}" id="{75874e86-76c8-464e-8f9e-d82464019a87}" done="1">
    <x18tc:text xml:space="preserve">O artigo não traz muitos detalhes sobre a construção das CPTs. Por isso, eu ia excluir este artigo por achar que não atendia aos critérios do quality assessment. No entanto, resolvi inferir que a construção das CPTs foi com base nos dados (frequency counts). O que vocês acham?</x18tc:text>
  </x18tc:threadedComment>
  <x18tc:threadedComment ref="I39" dT="2025-04-30T14:16:58.00" personId="{27149642-60fe-45cd-90b6-774a17d679a8}" id="{3f81fb9e-6729-4ee1-bfc9-f25e555d1867}" done="1">
    <x18tc:text xml:space="preserve">Faz sentido como método para identificar os estados/valores dos nós?</x18tc:text>
  </x18tc:threadedComment>
  <x18tc:threadedComment ref="I51" dT="2025-05-01T16:57:06.00" personId="{27149642-60fe-45cd-90b6-774a17d679a8}" id="{2cf7d86a-b63e-4b9e-83b4-00beaa045284}" done="1">
    <x18tc:text xml:space="preserve">Eu pensei em colocar aqui "weighted expressions", de acordo com o seguinte trecho: "The values for child nodes in these subnets are calculated using weighted expressions
(Fenton et al. 2007a):
&amp; weighted max—for ‘requirements creep’;
&amp; weighted min—for ‘spec and doc process effectiveness’;
&amp; weighted means—for all other child nodes." No entanto, esses conceitos fazem parte do Ranked Nodes method, inclusive cita o artigo do Fenton. Também pensei em colocar "ordinal values" porque outro trecho diz o seguinte: "Qualitative data are expressed on a five-point ordinal scale. The ordinal values used are:
Very High, High, Medium, Low, Very Low." Aqui já diz quais são os valores, mas não diz qual foi o método usado para identificá-los (ex. focus group, análise de dados históricos, etc.).
Assim, coloquei "not specified" pra identification of node values/states e "the Ranked Nodes method" pra CPT construction.</x18tc:text>
  </x18tc:threadedComment>
  <x18tc:threadedComment ref="M51" dT="2025-05-01T14:50:34.00" personId="{27149642-60fe-45cd-90b6-774a17d679a8}" id="{c4a7f5e5-66c8-41e1-a8fe-43d08dd96244}" done="1">
    <x18tc:text xml:space="preserve">Aqui eu incluí "survey with practitioners (questionnaire)" como método usado pra construir as CPTs, mas tem um trecho no artigo que diz que os dados reportados no artigo, coletado via questionários com experts, foram usados para validação do modelo apenas. "This causal model was not developed from the data reported in this paper. The data
presented here were available for us after the model was developed. Thus, we used them
only to validate the model."</x18tc:text>
  </x18tc:threadedComment>
  <x18tc:threadedComment ref="Q61" dT="2025-05-02T02:03:28.00" personId="{27149642-60fe-45cd-90b6-774a17d679a8}" id="{7deba15b-9b6d-42ac-b795-eee838ebd165}" done="1">
    <x18tc:text xml:space="preserve">"Fitness measures" pode ser considerado sinônimo de "statistical measures"???</x18tc:text>
  </x18tc:threadedComment>
  <x18tc:threadedComment ref="M70" dT="2025-05-03T15:25:31.00" personId="{27149642-60fe-45cd-90b6-774a17d679a8}" id="{2d5ef4e9-3765-4294-a0f7-970f9693b582}" done="1">
    <x18tc:text xml:space="preserve">Aqui eu fiquei na dúvida porque os autores usaram o dataset do COCOMO project pra construir as CPTs usando a ferramenta SERENE, mas originalmente os ratings e values foram derivados de experts (no estudo de Boehm). Fiquei na dúvida entre "expert elicitation" ou "learning from data using an automated tool". Como eles já pegaram o dataset pronto, optei pela segunda opção. @mperkusich@gmail.com</x18tc:text>
    <x18tc:mentions>
      <x18tc:mention mentionpersonId="{94b8a664-3c75-47eb-8ec7-748c938250c6}" mentionId="{52d58709-0936-461f-b42a-d270bf94db60}" startIndex="373" length="21"/>
    </x18tc:mentions>
  </x18tc:threadedComment>
  <x18tc:threadedComment ref="J68" dT="2025-05-03T13:02:45.00" personId="{27149642-60fe-45cd-90b6-774a17d679a8}" id="{6717d5aa-0ab7-4145-ac03-ae7627203143}" done="1">
    <x18tc:text xml:space="preserve">Market-basket analysis faz sentido, né?</x18tc:text>
  </x18tc:threadedComment>
  <x18tc:threadedComment ref="I122" dT="2025-05-22T14:49:36.00" personId="{27149642-60fe-45cd-90b6-774a17d679a8}" id="{f1ff2183-dc70-4928-b9de-8bd3dc9da219}" done="1">
    <x18tc:text xml:space="preserve">Embora fuzzy logic apareça na seção de parameter estimation, um dos objetivos é definir um número de clusters e a respectiva faixa de valores que os nós podem assumir. Eu não estou conseguindo mais baixar o artigo. Como ele diz que aplicou fuzzy logic para as probabilidades de directed measured input criteria e experts para os demais nós, então inferi que fuzzy logic foi uma abordagem automática para a definição dos estados. Pelos trechos que eu extraí do artigo, é razoável ? @mperkusich@gmail.com</x18tc:text>
    <x18tc:mentions>
      <x18tc:mention mentionpersonId="{94b8a664-3c75-47eb-8ec7-748c938250c6}" mentionId="{f112b395-d958-4714-86e6-aa0ad898a9d1}" startIndex="481" length="21"/>
    </x18tc:mentions>
  </x18tc:threadedComment>
  <x18tc:threadedComment ref="I122" dT="2025-08-10T17:38:59.00" personId="{06cf434e-9d47-4882-abad-106b68da7d8d}" id="{7df92199-6c01-4dd1-a537-5d12a636c28d}" parentId="{f1ff2183-dc70-4928-b9de-8bd3dc9da219}">
    <x18tc:text xml:space="preserve">Ta correto. isso aqui justifica: "To do so, we use an empirical approach that tries many clusterings with different number of clusters and measures the
quality of each clustering by means of Dunn’s partition coefficient. Trauwaert
[1988] shows that this coefficient helps determining the optimum number of
clusters. " os states/values aqui, ele chama de "clusters"</x18tc:text>
  </x18tc:threadedComment>
  <x18tc:threadedComment ref="P108" dT="2025-05-17T12:46:58.00" personId="{27149642-60fe-45cd-90b6-774a17d679a8}" id="{114c7b4e-6a25-48a1-b21c-a5a3f1219e8b}" done="1">
    <x18tc:text xml:space="preserve">Talvez aqui seja "simulated scenarios" (model walkthrough). Uma limitação da validação é o número reduzido de cenários, mas pelo menos fala algo relacionado à validação. Concorda com a extração de "simulated scenarios/model walkthrough" aqui? @mperkusich@gmail.com</x18tc:text>
    <x18tc:mentions>
      <x18tc:mention mentionpersonId="{94b8a664-3c75-47eb-8ec7-748c938250c6}" mentionId="{805847ad-e8ff-490c-87ca-8045538bce4d}" startIndex="243" length="21"/>
    </x18tc:mentions>
  </x18tc:threadedComment>
  <x18tc:threadedComment ref="P108" dT="2025-08-10T16:23:23.00" personId="{06cf434e-9d47-4882-abad-106b68da7d8d}" id="{ed7e2669-09e2-4a7a-8c44-eede28e0fb8a}" parentId="{114c7b4e-6a25-48a1-b21c-a5a3f1219e8b}">
    <x18tc:text xml:space="preserve">Marked as resolved</x18tc:text>
  </x18tc:threadedComment>
  <x18tc:threadedComment ref="P108" dT="2025-08-10T16:24:48.00" personId="{06cf434e-9d47-4882-abad-106b68da7d8d}" id="{a10e7685-96a0-4eec-9b0c-6a960c936a96}" parentId="{114c7b4e-6a25-48a1-b21c-a5a3f1219e8b}">
    <x18tc:text xml:space="preserve">Re-opened</x18tc:text>
  </x18tc:threadedComment>
  <x18tc:threadedComment ref="P108" dT="2025-08-10T16:24:57.00" personId="{06cf434e-9d47-4882-abad-106b68da7d8d}" id="{9d22c40d-add4-41ee-b6c4-f408443deb68}" parentId="{114c7b4e-6a25-48a1-b21c-a5a3f1219e8b}">
    <x18tc:text xml:space="preserve">Eu colocaria como "proof of concept" pq os cenarios (anti-patterns do Eloranta) vem da literatura</x18tc:text>
  </x18tc:threadedComment>
  <x18tc:threadedComment ref="H116" dT="2025-05-19T13:04:55.00" personId="{27149642-60fe-45cd-90b6-774a17d679a8}" id="{39138e39-bb6c-4c46-853a-d3c54275256f}" done="1">
    <x18tc:text xml:space="preserve">Este é o único estudo usando AHP para construção da estrutura; No entanto, parameter estimation e model validation praticamente não são bem detalhadas. CPTs (expert elitiation); validation (não há validação; apenas descreve uso do modelo)</x18tc:text>
  </x18tc:threadedComment>
  <x18tc:threadedComment ref="H117" dT="2025-05-20T01:09:17.00" personId="{27149642-60fe-45cd-90b6-774a17d679a8}" id="{b07c4d94-b819-4ec7-9fff-b990978301b8}" done="1">
    <x18tc:text xml:space="preserve">Aqui fiquei na dúvida se devia ou não excluir. Ao apresentar a abordagem proposta, alguns "possíveis" métodos que "poderiam" ser utilizados para construir a estrutura são mencionados, mas no case study, onde de fato o modelo é criado, não detalha que método foi usado. Apenas descreve a estrutura (por exemplo, que atributos foram considerados), que foi construída por experts/architects. As tabelas foram criadas a partir de dados gerados por simulation experiments e a validação pra mim não ficou clara. Concordam em excluir?</x18tc:text>
  </x18tc:threadedComment>
  <x18tc:threadedComment ref="H90" dT="2025-05-08T17:14:29.00" personId="{27149642-60fe-45cd-90b6-774a17d679a8}" id="{1ecfdafb-dccc-4ea9-afe7-a472980e0077}" done="1">
    <x18tc:text xml:space="preserve">Fiquei na dúvida se exclui ou não. Executa o modelo criando cenários e compara os resultados com a literatura. Seria uma validação? expert ou data-driven?</x18tc:text>
  </x18tc:threadedComment>
  <x18tc:threadedComment ref="K126" dT="2025-06-24T15:30:34.00" personId="{27149642-60fe-45cd-90b6-774a17d679a8}" id="{34591a1f-9064-45bd-98fe-e4fb448b19e5}" done="1">
    <x18tc:text xml:space="preserve">Você concorda que o survey aqui foi usado para structure evaluation?</x18tc:text>
  </x18tc:threadedComment>
  <x18tc:threadedComment ref="P129" dT="2025-06-24T17:04:00.00" personId="{27149642-60fe-45cd-90b6-774a17d679a8}" id="{5e2321f5-9975-40b1-9d1d-408ffe910ff7}" done="1">
    <x18tc:text xml:space="preserve">Aqui fiquei na dúvida entre "simulated scenarios/model walkthrough" ou "proof of concept". Não consegui enxergar uma discussão avaliando se os resultados do modelo são compatíveis com as expectativas dos experts. É avaliado se o modelo atende a alguns requisitos, o que me faz pensar muito mais em uma prova de conceito. O que você acha? @mperkusich@gmail.com</x18tc:text>
    <x18tc:mentions>
      <x18tc:mention mentionpersonId="{94b8a664-3c75-47eb-8ec7-748c938250c6}" mentionId="{297856fe-5bcf-43fa-b181-acef4198591c}" startIndex="338" length="21"/>
    </x18tc:mentions>
  </x18tc:threadedComment>
  <x18tc:threadedComment ref="P129" dT="2025-08-10T18:02:48.00" personId="{06cf434e-9d47-4882-abad-106b68da7d8d}" id="{2008b27c-3175-423f-95d2-7d0961949db3}" parentId="{5e2321f5-9975-40b1-9d1d-408ffe910ff7}">
    <x18tc:text xml:space="preserve">acho que proof of concept... os cenarios foram levantados da literatura ne..</x18tc:text>
  </x18tc:threadedComment>
  <x18tc:threadedComment ref="E132" dT="2025-06-24T17:46:30.00" personId="{27149642-60fe-45cd-90b6-774a17d679a8}" id="{1e5a946f-dd54-4ccb-ae1f-9ccf04ddeb93}" done="1">
    <x18tc:text xml:space="preserve">Você poderia só verificar rapidamente este artigo e ver se concorda com minhas extrações, por favor?</x18tc:text>
  </x18tc:threadedComment>
  <x18tc:threadedComment ref="E132" dT="2025-07-25T01:59:14.00" personId="{06cf434e-9d47-4882-abad-106b68da7d8d}" id="{a46ffaa7-1ae9-46e4-98b6-399bef135b14}" parentId="{1e5a946f-dd54-4ccb-ae1f-9ccf04ddeb93}">
    <x18tc:text xml:space="preserve">A estrtura é baseada num "quality model". Com relação a QA, eu acho que Q1.1, Q1.2 e Q1.3 deveriam ser 1.. ta bem explicado como a rede foi construída em cima de um modelo de qualidade simples... mudanças no codigo podem gerar faltas (e eles explicam o que pode influenciar a probabilidade de faltas).. e essas faltas podem ser detectadas por testes.. essa é a base pra priorização deles. Inclusive, eles falam dos estados "indiretamente" qndo dizem que P(ce) pode ser 0 ou 1, ou então pode ser definido por meio de uma função (ChangeIntensity(e))</x18tc:text>
  </x18tc:threadedComment>
  <x18tc:threadedComment ref="Q137" dT="2025-06-25T00:07:29.00" personId="{27149642-60fe-45cd-90b6-774a17d679a8}" id="{eb18084e-98cf-4339-9590-56e70626e571}" done="1">
    <x18tc:text xml:space="preserve">Concorda com a informação extraída? @mperkusich@gmail.com</x18tc:text>
    <x18tc:mentions>
      <x18tc:mention mentionpersonId="{94b8a664-3c75-47eb-8ec7-748c938250c6}" mentionId="{46d1a285-446d-456a-bd22-f5568026f3d3}" startIndex="36" length="21"/>
    </x18tc:mentions>
  </x18tc:threadedComment>
  <x18tc:threadedComment ref="M137" dT="2025-06-25T00:07:48.00" personId="{27149642-60fe-45cd-90b6-774a17d679a8}" id="{e487e892-1467-49f0-95dc-4103950f670d}" done="1">
    <x18tc:text xml:space="preserve">Concorda com a informação extraída? @mperkusich@gmail.com</x18tc:text>
    <x18tc:mentions>
      <x18tc:mention mentionpersonId="{94b8a664-3c75-47eb-8ec7-748c938250c6}" mentionId="{58467552-eb12-40c1-8082-1ba586c7f13c}" startIndex="36" length="21"/>
    </x18tc:mentions>
  </x18tc:threadedComment>
  <x18tc:threadedComment ref="M137" dT="2025-08-10T18:18:24.00" personId="{06cf434e-9d47-4882-abad-106b68da7d8d}" id="{84957d44-53df-4471-b110-f98f50c3bce4}" parentId="{e487e892-1467-49f0-95dc-4103950f670d}">
    <x18tc:text xml:space="preserve">ok</x18tc:text>
  </x18tc:threadedComment>
  <x18tc:threadedComment ref="M19" dT="2025-05-12T19:40:28.00" personId="{27149642-60fe-45cd-90b6-774a17d679a8}" id="{cca1dce1-57ae-4644-96bf-03ae8c36f8a0}" done="1">
    <x18tc:text xml:space="preserve">Vou deixar aqui "expert elicitation", mas acredito que a gente não vai listar isso entre os métodos pra construção de CPTs por ser vago demais</x18tc:text>
  </x18tc:threadedComment>
  <x18tc:threadedComment ref="N3" dT="2025-05-12T18:20:25.00" personId="{27149642-60fe-45cd-90b6-774a17d679a8}" id="{8eea2306-50c3-4597-a5fd-7c8b1bd2055a}" done="1">
    <x18tc:text xml:space="preserve">Ou dá pra inferir que foi "expert review"?</x18tc:text>
  </x18tc:threadedComment>
  <x18tc:threadedComment ref="M102" dT="2025-05-14T14:41:37.00" personId="{27149642-60fe-45cd-90b6-774a17d679a8}" id="{6419c633-a31d-47b2-8cf6-5ec6e0fd6874}" done="1">
    <x18tc:text xml:space="preserve">Às vezes é complicado dizer se o processo é expert ou data-driven (ver coluna "justification"). "These probabilities can come from empirical data and/or expert opinion. Our model was populated with empirical data (provided by respondents of our survey), but as noted previously, its structure is based on expert opinion (i.e., literature review)."</x18tc:text>
  </x18tc:threadedComment>
  <x18tc:threadedComment ref="P101" dT="2025-05-14T03:31:44.00" personId="{27149642-60fe-45cd-90b6-774a17d679a8}" id="{aa85731d-d568-4908-83e2-7c8286c8398f}" done="1">
    <x18tc:text xml:space="preserve">O artigo não menciona validação de forma explícita. Assim, fiquei na dúvida se a informação que extraí de fato representa uma validação do modelo. Caso NÃO, o artigo deve ser excluído por não ter abordado a fase de "model validation".</x18tc:text>
  </x18tc:threadedComment>
  <x18tc:threadedComment ref="M4" dT="2025-05-16T11:58:27.00" personId="{27149642-60fe-45cd-90b6-774a17d679a8}" id="{f4ec8d8e-4843-4721-a34a-89a09ca9a765}" done="1">
    <x18tc:text xml:space="preserve">Dá a entender que as CPTs foram contruídas manualmente a partir dos dados coletados de experts, por isso coloquei frequency quantification."This dataset was collected by recording the backlog each day after
a meeting. The dataset was used to calculate conditional probabilities."  Além disso, existem algumas fórmulas para as probabilidades de alguns nós, por isso coloquei "direct function (e.g., sum, formula). Não sei se seria necessário extrair isso. O que vocês acham?</x18tc:text>
  </x18tc:threadedComment>
  <x18tc:threadedComment ref="M4" dT="2025-07-25T00:06:09.00" personId="{06cf434e-9d47-4882-abad-106b68da7d8d}" id="{04ef949e-2d7d-4564-aeeb-9d1bf041241f}" parentId="{f4ec8d8e-4843-4721-a34a-89a09ca9a765}">
    <x18tc:text xml:space="preserve">Não consegui acessar o artigo. Tu tem aí?</x18tc:text>
  </x18tc:threadedComment>
  <x18tc:threadedComment ref="H30" dT="2025-05-16T15:13:47.00" personId="{27149642-60fe-45cd-90b6-774a17d679a8}" id="{20d204e0-336f-47be-83fd-081fa2e5d1cc}" done="1">
    <x18tc:text xml:space="preserve">Diz que usou uma interview-evaluation approach, mas não dá pra identificar minimamente para que partes da estrutura. Inferi que as entrevistas poderiam ser usadas para variáveis e relacionamentos.</x18tc:text>
  </x18tc:threadedComment>
  <x18tc:threadedComment ref="M32" dT="2025-05-16T15:21:56.00" personId="{27149642-60fe-45cd-90b6-774a17d679a8}" id="{35cfefef-a2eb-45c8-b4ef-9163136ef822}" done="1">
    <x18tc:text xml:space="preserve">É suficiente mencionar isso como método? Ou exclui o artigo porque não aborda um pouco melhor a construção das tabelas?</x18tc:text>
  </x18tc:threadedComment>
  <x18tc:threadedComment ref="M33" dT="2025-05-16T15:25:22.00" personId="{27149642-60fe-45cd-90b6-774a17d679a8}" id="{53a10dc2-6473-4f36-917a-642a3fa7d722}" done="1">
    <x18tc:text xml:space="preserve">Só extrair "expert elicitation" é suficiente?</x18tc:text>
  </x18tc:threadedComment>
  <x18tc:threadedComment ref="M34" dT="2025-05-16T15:29:49.00" personId="{27149642-60fe-45cd-90b6-774a17d679a8}" id="{6c2aafd0-bbf2-4498-a55f-cf4f7f47dd95}" done="1">
    <x18tc:text xml:space="preserve">É suficiente extrair apenas "expert elicitation" como método? Excluir paper?</x18tc:text>
  </x18tc:threadedComment>
  <x18tc:threadedComment ref="P126" dT="2025-05-22T21:30:53.00" personId="{27149642-60fe-45cd-90b6-774a17d679a8}" id="{a0f04f41-43d1-40d0-bdef-8a3246eb9bdb}" done="1">
    <x18tc:text xml:space="preserve">Caberia proof of concept aqui? O texto a seguir está na coluna que justifica a extração e fui eu que escrevi resumindo meu entendimento: The model was evaluated through a case study involving students and review by project managers: students identified risks on a web project; their risk data was input into the BN model; the inferred results from the BN were compared against: risks students had identified; risks identified by project managers. The BN helped surface additional risks, which were judged to be meaningful by experts. The goal is to check plausibility, usefulness, and completeness - not numerical accuracy. Eu fiquei na dúvida entre colocar proof of concept ou case study (evaluation of model usefulness/usability). O que acha? @mperkusich@gmail.com</x18tc:text>
    <x18tc:mentions>
      <x18tc:mention mentionpersonId="{94b8a664-3c75-47eb-8ec7-748c938250c6}" mentionId="{26807c69-f70b-489c-b4fa-32dcdd4dc0c6}" startIndex="745" length="21"/>
    </x18tc:mentions>
  </x18tc:threadedComment>
  <x18tc:threadedComment ref="P126" dT="2025-08-10T17:58:50.00" personId="{06cf434e-9d47-4882-abad-106b68da7d8d}" id="{67959306-8509-4c47-b0fc-39e4147f5108}" parentId="{a0f04f41-43d1-40d0-bdef-8a3246eb9bdb}">
    <x18tc:text xml:space="preserve">eu acho que o foco foi mais no resultado final... eu tinha ficado na duvida entre "proof of concept" e "model walkthrough"... esqueça os estduantes (eu vejo como "acessório" aqui.. é uma QP adicional sobre utilidade pratica comparando BN x iniciantes, pra reforçar o argumento de que BN pode apoiar quem tem pouca experiência. mas n ajuda a validar calibrar/validar a RB)... eu ficaria com "proof of concept" so pq, pelo que entendi, os gerents de projeto n participaram da definição dos cenarios...</x18tc:text>
  </x18tc:threadedComment>
  <x18tc:threadedComment ref="P126" dT="2025-08-10T18:00:15.00" personId="{06cf434e-9d47-4882-abad-106b68da7d8d}" id="{c9087747-b264-4e08-bfb2-987069b5f326}" parentId="{a0f04f41-43d1-40d0-bdef-8a3246eb9bdb}">
    <x18tc:text xml:space="preserve">e acho que faz sentido vc botar " case study (evaluation of model usefulness/usability)" tambem.. por causa do lance com os alunos/iniciantes</x18tc:text>
  </x18tc:threadedComment>
  <x18tc:threadedComment ref="M129" dT="2025-05-23T00:14:03.00" personId="{27149642-60fe-45cd-90b6-774a17d679a8}" id="{4970ece3-3154-4205-9320-a1c973bee349}" done="1">
    <x18tc:text xml:space="preserve">Não ficou muito claro que as CPTs foram construídas com base nas entrevistas. Inferi por conta dos "weights" para cada fator e seus relacionamentos. Concorda? @mperkusich@gmail.com</x18tc:text>
    <x18tc:mentions>
      <x18tc:mention mentionpersonId="{94b8a664-3c75-47eb-8ec7-748c938250c6}" mentionId="{f485d65a-46a5-4da3-a14b-c2e68d466450}" startIndex="159" length="21"/>
    </x18tc:mentions>
  </x18tc:threadedComment>
  <x18tc:threadedComment ref="M129" dT="2025-08-10T18:06:53.00" personId="{06cf434e-9d47-4882-abad-106b68da7d8d}" id="{673b3195-f914-4f99-bdae-a5b7cf1afaac}" parentId="{4970ece3-3154-4205-9320-a1c973bee349}">
    <x18tc:text xml:space="preserve">concordo, apesar de n ter detalhes de como saíram dos pesos para as CPTs</x18tc:text>
  </x18tc:threadedComment>
  <x18tc:threadedComment ref="P139" dT="2025-05-24T03:41:24.00" personId="{27149642-60fe-45cd-90b6-774a17d679a8}" id="{af474961-7973-4c8b-b514-61650d618dae}" done="1">
    <x18tc:text xml:space="preserve">Podemos considerar a validação como "model walkthrough"? Compara os resultados da BN com reports avaliados por experts. @mperkusich@gmail.com</x18tc:text>
    <x18tc:mentions>
      <x18tc:mention mentionpersonId="{94b8a664-3c75-47eb-8ec7-748c938250c6}" mentionId="{976105ba-88c7-4de1-88ee-983e8f90d086}" startIndex="120" length="21"/>
    </x18tc:mentions>
  </x18tc:threadedComment>
  <x18tc:threadedComment ref="P139" dT="2025-08-10T18:22:05.00" personId="{06cf434e-9d47-4882-abad-106b68da7d8d}" id="{15dd4d16-3995-46d0-82f2-9cc6b7ffb92d}" parentId="{af474961-7973-4c8b-b514-61650d618dae}">
    <x18tc:text xml:space="preserve">como usa dados de projeto real, eu classificaria como "predictive accuracy".. e como experts validaram, eu botaria nessa coluna "Expert review".. tem cara de um estudo de caso que envolveu ambos os tipos de validação, como o S8</x18tc:text>
  </x18tc:threadedComment>
  <x18tc:threadedComment ref="K139" dT="2025-05-24T03:13:29.00" personId="{27149642-60fe-45cd-90b6-774a17d679a8}" id="{1015b5d9-93a5-419b-8f4a-534eabfc2521}" done="1">
    <x18tc:text xml:space="preserve">relationships or structure evaluation?</x18tc:text>
  </x18tc:threadedComment>
  <x18tc:threadedComment ref="J137" dT="2025-05-23T22:40:15.00" personId="{27149642-60fe-45cd-90b6-774a17d679a8}" id="{8fde6491-e166-49b0-97e3-d5357bfb10c6}" done="1">
    <x18tc:text xml:space="preserve">Acabei considerando literature review para os relacionamentos também, mas não fica explícito no texto.</x18tc:text>
  </x18tc:threadedComment>
  <x18tc:threadedComment ref="E136" dT="2025-05-23T19:06:22.00" personId="{27149642-60fe-45cd-90b6-774a17d679a8}" id="{14527950-0a17-4e9a-84b1-c57ef90ee826}" done="1">
    <x18tc:text xml:space="preserve">Mesmo que eu tenha excluído, pedir para Mirko verificar se as informações extraídas estão ok. @mperkusich@gmail.com</x18tc:text>
    <x18tc:mentions>
      <x18tc:mention mentionpersonId="{94b8a664-3c75-47eb-8ec7-748c938250c6}" mentionId="{b1cfcf30-668a-425f-9c4f-c64fda492236}" startIndex="94" length="21"/>
    </x18tc:mentions>
  </x18tc:threadedComment>
  <x18tc:threadedComment ref="E136" dT="2025-08-10T18:13:02.00" personId="{06cf434e-9d47-4882-abad-106b68da7d8d}" id="{ab9f2b11-eb5b-4d65-8ad7-b32fc6922046}" parentId="{14527950-0a17-4e9a-84b1-c57ef90ee826}">
    <x18tc:text xml:space="preserve">eu so tiraria o "statistical" da identificação de nós.. parece que a analise da base do ISBSG não foi "formal"/estatistica...</x18tc:text>
  </x18tc:threadedComment>
  <x18tc:threadedComment ref="E144" dT="2025-05-25T00:42:40.00" personId="{27149642-60fe-45cd-90b6-774a17d679a8}" id="{9b7f5ea3-5bc9-4088-ae03-5d24b4143789}" done="1">
    <x18tc:text xml:space="preserve">Pra mim não ficou claro como as CPTs foram construídas. Os autores mencionam o uso de um survey para coletar dados de fatores ausentes nas metrics databases. Também falam que desenvolveram um método e ferramenta para a construção das CPTs (parecido com o WSA na minha opinião), mas não são fornecidos mais detalhes. Por isso, resolvi excluir o artigo, uma vez que falha ao abordar as CPTs.</x18tc:text>
  </x18tc:threadedComment>
  <x18tc:threadedComment ref="E146" dT="2025-05-26T13:36:38.00" personId="{27149642-60fe-45cd-90b6-774a17d679a8}" id="{f4bd8f21-f680-4aec-9a95-121281b4455a}" done="1">
    <x18tc:text xml:space="preserve">Pra mim, só descreve um exemplo de aplicação para fins de demonstração do modelo. Não consegui enxergar se os resultados do modelo são comparados com expert judgment ou dados. Por isso exclui. Se puderem confirmar...</x18tc:text>
  </x18tc:threadedComment>
  <x18tc:threadedComment ref="J152" dT="2025-05-28T12:17:21.00" personId="{27149642-60fe-45cd-90b6-774a17d679a8}" id="{b284ca9b-7db9-4a7b-8a11-ad6b0f8836b6}" done="1">
    <x18tc:text xml:space="preserve">Aqui eu incluí "survey with practitioners" porque os dados coletados para structure learning e parameter estimation se referem a outsourced projects. Pelo que entendi, ao invés de dados históricos, são dados provenientes de respondentes, então aqui o survey configura como um expert-based método pra construção da estrutura. Confirmar também se "risk-centric modeling" se encaixa aqui (nas variáveis e relacionamentos).</x18tc:text>
  </x18tc:threadedComment>
  <x18tc:threadedComment ref="J152" dT="2025-07-25T00:19:07.00" personId="{06cf434e-9d47-4882-abad-106b68da7d8d}" id="{7d6d9451-524d-4c59-a6b9-99dc73bebc5a}" parentId="{b284ca9b-7db9-4a7b-8a11-ad6b0f8836b6}">
    <x18tc:text xml:space="preserve">OK, mas pq vc não botou "interviews" também? Na seção IV B., diz "Meanwhile, our interviews with experts indicate that therequirement complexity risks of project will affect
customer risks and software engineering risks will affect
the project outcome.
"</x18tc:text>
  </x18tc:threadedComment>
  <x18tc:threadedComment ref="M152" dT="2025-05-28T12:24:21.00" personId="{27149642-60fe-45cd-90b6-774a17d679a8}" id="{3639abf3-2392-4375-91c4-993151542dad}" done="1">
    <x18tc:text xml:space="preserve">Como a estrutura foi criada por uma algoritmo de structure learning + expert-based structural constraints, eu inferi que as CPTs foram criadas automaticamente com uma ferramenta a partir dos dados do survey (obtidos de experts)</x18tc:text>
  </x18tc:threadedComment>
  <x18tc:threadedComment ref="P148" dT="2025-05-27T15:09:26.00" personId="{27149642-60fe-45cd-90b6-774a17d679a8}" id="{211d9b29-e62a-43f1-bafa-1d832481df16}" done="1">
    <x18tc:text xml:space="preserve">Não menciona explicitamente "model walkthrough", mas acho que caberia aqui. Ou então extrairia case study. O que acha? @mperkusich@gmail.com</x18tc:text>
    <x18tc:mentions>
      <x18tc:mention mentionpersonId="{94b8a664-3c75-47eb-8ec7-748c938250c6}" mentionId="{4b453a6b-d1d2-4f58-9f72-2f0de026bf5a}" startIndex="119" length="21"/>
    </x18tc:mentions>
  </x18tc:threadedComment>
  <x18tc:threadedComment ref="P148" dT="2025-08-10T18:24:35.00" personId="{06cf434e-9d47-4882-abad-106b68da7d8d}" id="{7bec92a4-e259-4b36-9f0d-14551665dc6d}" parentId="{211d9b29-e62a-43f1-bafa-1d832481df16}">
    <x18tc:text xml:space="preserve">igual o de cima.. predictive accuracy + expert review..  e caberia a classificação de case study (usability/usefulness) também</x18tc:text>
  </x18tc:threadedComment>
  <x18tc:threadedComment ref="P149" dT="2025-05-27T18:05:26.00" personId="{27149642-60fe-45cd-90b6-774a17d679a8}" id="{d243b10a-bb9e-4e5c-88e3-4639e0c889a9}" done="1">
    <x18tc:text xml:space="preserve">Aqui tenho dúvida que método extrair. O modelo é usado para auxiliar DCA sessions (diagnostic inference). Pelo que entendi, na validação feita na indústria, os experts identificam as causas dos problemas e verificam as causas apontadas pelo modelo. Como envolveu experts achei que caberia model walkthrough. Podem confirmar se é isso mesmo? Outra coisa: não sei se "usability/usefulness evaluation" caberia como expert-based validation com base no TAM. O que acham?</x18tc:text>
  </x18tc:threadedComment>
  <x18tc:threadedComment ref="E150" dT="2025-05-27T22:40:41.00" personId="{27149642-60fe-45cd-90b6-774a17d679a8}" id="{e2f55088-8dd0-4563-a53b-c16e85930484}" done="1">
    <x18tc:text xml:space="preserve">Não diz como o DAG foi construído, só apresenta a estrutura pronta. Não detalha nenhum método de data gathering &amp; analysis para variáveis e relacionamentos, só consta"lifecycle model" como reasoning mechanisms. Assim, considerei como insatisfatória a parte de structure building. Dá pra ver que parameter estimation foi usando dados, mas não tem nenhuma outra informação. Também considerei insatisfatória a parte das CPTs.</x18tc:text>
  </x18tc:threadedComment>
  <x18tc:threadedComment ref="E151" dT="2025-05-27T22:57:14.00" personId="{27149642-60fe-45cd-90b6-774a17d679a8}" id="{98a7ea4e-dc98-4715-b5db-d1cabd6663e3}" done="1">
    <x18tc:text xml:space="preserve">Acho que a estrutura e a validação dariam pra passar, mas sobre as tabelas só diz que usou experts + dados.</x18tc:text>
  </x18tc:threadedComment>
  <x18tc:threadedComment ref="P154" dT="2025-05-29T15:09:02.00" personId="{27149642-60fe-45cd-90b6-774a17d679a8}" id="{3f39731f-a2e3-476e-8683-c18008f29d62}" done="1">
    <x18tc:text xml:space="preserve">Eu tentei não excluir esse pq traz K2 como novo algoritmo para CPTs, mas confesso que a validação deixa a desejar. Forçaria muito a barra dizer que a BN foi validada usando model walkthrough (expert-based) Talvez proof of concept então?</x18tc:text>
  </x18tc:threadedComment>
  <x18tc:threadedComment ref="J11" dT="2025-06-01T19:24:21.00" personId="{27149642-60fe-45cd-90b6-774a17d679a8}" id="{f9de9a83-fd77-43e0-9d11-c28b63bf63fe}" done="1">
    <x18tc:text xml:space="preserve">Não menciona explicitamente focus group. Extraí por inferência e porque muitos dos artigos de Emilia usam focus group.</x18tc:text>
  </x18tc:threadedComment>
  <x18tc:threadedComment ref="N19" dT="2025-06-01T20:12:55.00" personId="{27149642-60fe-45cd-90b6-774a17d679a8}" id="{309670e4-24d6-4921-a08d-e628c872021d}" done="1">
    <x18tc:text xml:space="preserve">Acho que fica implícito que foi expert review. Extraí aqui mas coloquei "zero" no quality assessment.</x18tc:text>
  </x18tc:threadedComment>
  <x18tc:threadedComment ref="K48" dT="2025-06-09T01:41:14.00" personId="{27149642-60fe-45cd-90b6-774a17d679a8}" id="{8ed6295c-2d33-4a62-a589-48561eb22c21}" done="1">
    <x18tc:text xml:space="preserve">Coloquei expert review, já que a estrutura foi modificada, mas poderia estar forçando demais a barra. O que acha?</x18tc:text>
  </x18tc:threadedComment>
  <x18tc:threadedComment ref="N48" dT="2025-06-09T01:41:45.00" personId="{27149642-60fe-45cd-90b6-774a17d679a8}" id="{45c99d30-95dd-4271-a685-01d6c3730129}" done="1">
    <x18tc:text xml:space="preserve">Expert review? Modificou as CPTs</x18tc:text>
  </x18tc:threadedComment>
  <x18tc:threadedComment ref="Q48" dT="2025-06-09T01:42:36.00" personId="{27149642-60fe-45cd-90b6-774a17d679a8}" id="{15a2ae46-424e-40cc-abe8-937964a8328a}" done="1">
    <x18tc:text xml:space="preserve">Entraria como model validation mesmo? Essas técnicas são apresentadas numa seção chamada "Validating the BN models", por isso considerei como sendo uma validação do modelo completo. No entanto, fiquei na dúvida se poderia ser "structure evaluation" e "CPT evaluation", porque cada técnica parece focar em uma parte do modelo (structure ou CPT)? Outra coisa: coloquei essas técnicas como data-driven validation por conta deste trecho: "We simulated all
possible permutations of the input model variables and
created a database of reliability and performance time
predictions for these runs". @mperkusich@gmail.com</x18tc:text>
    <x18tc:mentions>
      <x18tc:mention mentionpersonId="{94b8a664-3c75-47eb-8ec7-748c938250c6}" mentionId="{decd5357-a577-4b41-8cc4-c930edb52a92}" startIndex="591" length="21"/>
    </x18tc:mentions>
  </x18tc:threadedComment>
  <x18tc:threadedComment ref="Q48" dT="2025-08-10T15:12:06.00" personId="{06cf434e-9d47-4882-abad-106b68da7d8d}" id="{c4595a44-98cf-46a2-a9e4-676ce0b7e329}" parentId="{15a2ae46-424e-40cc-abe8-937964a8328a}">
    <x18tc:text xml:space="preserve">Eu acho que esse artigo não fez "model validation." no sentido de avaliação do modelo completo. Trata-se de uma avaliação interna separada da DAG e CPTs, ambas baseadas em dados sintéticos gerados por simulação... foi mais uma validação interna da RB...
1. DAG evaluation 
- verificou se as relações causais codificadas no DAG correspondiam às influências esperadas pelos especialistas e pela teoria.
Evidência no texto:
- “... association rules ... were employed to check the causal associations in our model.”
- “... classification ... was used to provide a further check on the structure of the BN models.”
- “... it was necessary to alter the BN causal diagram.”
2. CPT evaluation
- verificou se as CPTs refletiam adequadamente a força das influências esperadas, ajustando-as quando necessário.
Evidência no texto:
- “... altering the BN’s NPTs to increase the prior probability influence for poor maintenance...”
- “... we altered the NPT settings to reduce the weighting of these nodes...”
Como dado extraído, poderia ser:
- DAG evaluation: Simulated Association Rules
- CPT evaluation: Simulated Relevance Analysis</x18tc:text>
  </x18tc:threadedComment>
  <x18tc:threadedComment ref="H46" dT="2025-06-09T01:44:57.00" personId="{27149642-60fe-45cd-90b6-774a17d679a8}" id="{3e167498-9f68-4828-8628-eb23e78d5321}" done="1">
    <x18tc:text xml:space="preserve">Focus group vai também? "Discussions" with experts.</x18tc:text>
  </x18tc:threadedComment>
  <x18tc:threadedComment ref="E96" dT="2025-07-14T16:49:49.00" personId="{27149642-60fe-45cd-90b6-774a17d679a8}" id="{cbb02280-b9a0-4391-835f-3ddd87ddc542}" done="1">
    <x18tc:text xml:space="preserve">Pedir para Mirko verificar as extrações/avaliações.</x18tc:text>
  </x18tc:threadedComment>
  <x18tc:threadedComment ref="E96" dT="2025-07-24T23:09:17.00" personId="{06cf434e-9d47-4882-abad-106b68da7d8d}" id="{f2852135-494b-4d74-bf07-966f9d6afe24}" parentId="{cbb02280-b9a0-4391-835f-3ddd87ddc542}">
    <x18tc:text xml:space="preserve">ok</x18tc:text>
  </x18tc:threadedComment>
  <x18tc:threadedComment ref="E116" dT="2025-07-14T17:29:50.00" personId="{27149642-60fe-45cd-90b6-774a17d679a8}" id="{57ea6cf1-a6fe-430e-8c1a-55813d4ff256}" done="1">
    <x18tc:text xml:space="preserve">Verificar se concorda com minha avaliação/extração em todas as atividades. Este foi o único artigo usando AHP para construir a estrutura, mas ficou de fora pelo quality assessment. Talvez você consiga "salvar" esse artigo. Pode ser que AHP tenha alguma influência nas CPTs e eu não consegui enxergar isso e atribuí 0.0.</x18tc:text>
  </x18tc:threadedComment>
  <x18tc:threadedComment ref="E116" dT="2025-07-24T23:07:29.00" personId="{06cf434e-9d47-4882-abad-106b68da7d8d}" id="{28e170ae-dedf-487f-923c-762295a484f2}" parentId="{57ea6cf1-a6fe-430e-8c1a-55813d4ff256}">
    <x18tc:text xml:space="preserve">Ele só fala que "The NPT probability entries are specified by:· Applying Bayes’ theorem.· Utilizing domain experts’ knowledge.· Using historical and empirical data about COTS products." e apresenta um exemplo na Tabela 7. De acordo com os critérios que a gente definiu, tem que ficar 0 mesmo. Ou seja, esse artigo é excluído pelo QA. Concordo com os dados extraídos.</x18tc:text>
  </x18tc:threadedComment>
  <x18tc:threadedComment ref="J4" dT="2025-06-01T03:57:50.00" personId="{27149642-60fe-45cd-90b6-774a17d679a8}" id="{2c0522f4-9139-47da-8759-15b8547c37b1}" done="1">
    <x18tc:text xml:space="preserve">Aqui foi por inferência. Apliquei a mesma definição de focus group do artigo do IST (que é ampla): abrange workshops, expert-panels, brainstorming sessions, knowledge elicitation sessions, discussion meetings, etc).</x18tc:text>
  </x18tc:threadedComment>
  <x18tc:threadedComment ref="M32" dT="2025-06-03T16:28:32.00" personId="{27149642-60fe-45cd-90b6-774a17d679a8}" id="{921ca7a0-9da1-468d-acd0-0610fc765706}" done="1">
    <x18tc:text xml:space="preserve">Coloquei zero no quality assessment. Pra mim, expert elicitation ou automated learning não acrescenta nada sobre a construção das tabelas.</x18tc:text>
  </x18tc:threadedComment>
  <x18tc:threadedComment ref="M26" dT="2025-06-02T13:05:16.00" personId="{27149642-60fe-45cd-90b6-774a17d679a8}" id="{79181cfa-f675-4983-be86-b6f9e62a7d11}" done="1">
    <x18tc:text xml:space="preserve">Pelo que entendi, a entrevista foi uma "forma de aplicar/definir as funções" para o ranked nodes. Fiquei na dúvida se extraia "interviews" ou se apenas "ranked nodes method" seria suficiente.</x18tc:text>
  </x18tc:threadedComment>
  <x18tc:threadedComment ref="P26" dT="2025-06-02T13:29:23.00" personId="{27149642-60fe-45cd-90b6-774a17d679a8}" id="{98ac2697-d268-4b0a-b1cb-711e95a63c04}" done="1">
    <x18tc:text xml:space="preserve">Como a RQ1 do case study pergunta se os resultados do modelo são aceitáveis a partir da visão dos sujeitos envolvidos no estudo (experts), classifiquei como model walkthrough(simulated scenarios). Também extraí case study como método e destaquei entre parênteses o foco em "evaluation of model usefulness/usability". Considerei como uma avaliação de utilidade/usabilidade que pode ser considerada uma forma de validação baseada em experts. O que acha? @mperkusich@gmail.com</x18tc:text>
    <x18tc:mentions>
      <x18tc:mention mentionpersonId="{94b8a664-3c75-47eb-8ec7-748c938250c6}" mentionId="{b3b7b2b4-6d3e-428f-8496-d6143f5eda92}" startIndex="452" length="21"/>
    </x18tc:mentions>
  </x18tc:threadedComment>
  <x18tc:threadedComment ref="P26" dT="2025-08-10T14:47:13.00" personId="{06cf434e-9d47-4882-abad-106b68da7d8d}" id="{4ff59941-ec07-4631-a011-0d40b8a10def}" parentId="{98ac2697-d268-4b0a-b1cb-711e95a63c04}">
    <x18tc:text xml:space="preserve">Model walkthrough não se encaixa nesse artigo, pois foram usados dados de projetos reais no case study. Então, seria predictive accuracy. Olha a definição par a "model waltrough" e "predictive accuracy" tiradas do livro de Emilia: "Model walk-through is a calibration that is done subjectively, where domain
experts use several hypothetical scenarios to check, for each of these scenarios,
whether the effort category that the model shows with the highest probability
matches the category they would have selected if estimating effort subjectively.
We see this activity as a way to enable domain experts to get a feel for the model,
and therefore we do not recommend that companies rely solely on this activity in
order to decide whether the model is ready for use.
Predictive accuracy entails the use of past data from completed projects, for
which total development effort is known, in order to check the model’s calibration.
We recommend that most of these completed projects—called the validation set—
be representative of the typical projects developed by the company
"</x18tc:text>
  </x18tc:threadedComment>
  <x18tc:threadedComment ref="H4" dT="2025-06-02T19:02:53.00" personId="{27149642-60fe-45cd-90b6-774a17d679a8}" id="{f6bb5505-700f-45c3-936a-92c9b555d8aa}" done="1">
    <x18tc:text xml:space="preserve">Adotei um conceito amplo para literature review (como no artigo do IST), podendo significar que os pesquisadores realizaram uma abordagem sistemática (SLR), ou apenas usaram como suporte a literatura sobre o domínio em questão (e.g., findings/information from empirical studies) ou standards/reports/guidelines.</x18tc:text>
  </x18tc:threadedComment>
  <x18tc:threadedComment ref="P30" dT="2025-06-02T19:34:47.00" personId="{27149642-60fe-45cd-90b6-774a17d679a8}" id="{58fefe61-0bf8-4009-82a5-8fee2f2077c3}" done="1">
    <x18tc:text xml:space="preserve">Pra mim, pareceu proof of concept, mas fiquei na dúvida.</x18tc:text>
  </x18tc:threadedComment>
  <x18tc:threadedComment ref="P30" dT="2025-08-06T14:32:28.00" personId="{27149642-60fe-45cd-90b6-774a17d679a8}" id="{bbaf8673-35bc-414b-be6b-22817319128a}" parentId="{58fefe61-0bf8-4009-82a5-8fee2f2077c3}">
    <x18tc:text xml:space="preserve">@mperkusich@gmail.com</x18tc:text>
    <x18tc:mentions>
      <x18tc:mention mentionpersonId="{94b8a664-3c75-47eb-8ec7-748c938250c6}" mentionId="{cf07af92-cc50-4609-b4b9-f77c084ccff8}" startIndex="0" length="21"/>
    </x18tc:mentions>
  </x18tc:threadedComment>
  <x18tc:threadedComment ref="P30" dT="2025-08-10T14:57:06.00" personId="{06cf434e-9d47-4882-abad-106b68da7d8d}" id="{9e8de068-9caf-4272-9010-0f32db77091e}" parentId="{58fefe61-0bf8-4009-82a5-8fee2f2077c3}">
    <x18tc:text xml:space="preserve">o que vc ta definindo como "proof of concept"? de qquer forma, com ctz naõ teve model walkthrough"</x18tc:text>
  </x18tc:threadedComment>
  <x18tc:threadedComment ref="M37" dT="2025-06-06T23:34:43.00" personId="{27149642-60fe-45cd-90b6-774a17d679a8}" id="{96a0306a-782d-4d89-9e85-a8603bfc3fbf}" done="1">
    <x18tc:text xml:space="preserve">Aqui fiquei na dúvida se focus group poderia entrar como método para CPTs. Fala em workshop no qual experts avaliam cenários e expert domain assessments a respeito desses cenários são usados para popular os BN nodes.</x18tc:text>
  </x18tc:threadedComment>
  <x18tc:threadedComment ref="P51" dT="2025-06-14T14:16:45.00" personId="{27149642-60fe-45cd-90b6-774a17d679a8}" id="{741d62ca-6671-4a37-9aff-b0ba56ff6034}" done="1">
    <x18tc:text xml:space="preserve">Ele valida com dados, mas também tem uma seção detalhada sobre como o modelo seria usado, por isso incluí aqui proof of concept; também menciona sensitivity analysis. @mperkusich@gmail.com</x18tc:text>
    <x18tc:mentions>
      <x18tc:mention mentionpersonId="{94b8a664-3c75-47eb-8ec7-748c938250c6}" mentionId="{91b5faea-2beb-4c4a-a4ee-9b1e40d868c4}" startIndex="167" length="21"/>
    </x18tc:mentions>
  </x18tc:threadedComment>
  <x18tc:threadedComment ref="P63" dT="2025-06-19T23:59:29.00" personId="{27149642-60fe-45cd-90b6-774a17d679a8}" id="{25628042-3269-4918-818c-05decc1e59bf}" done="1">
    <x18tc:text xml:space="preserve">Acredito que tudo isso pode ser considerado como proof of concept. De acordo? @mperkusich@gmail.com</x18tc:text>
    <x18tc:mentions>
      <x18tc:mention mentionpersonId="{94b8a664-3c75-47eb-8ec7-748c938250c6}" mentionId="{59413770-5e57-4cad-a300-d9aab723ecbd}" startIndex="78" length="21"/>
    </x18tc:mentions>
  </x18tc:threadedComment>
  <x18tc:threadedComment ref="P63" dT="2025-08-10T15:20:08.00" personId="{06cf434e-9d47-4882-abad-106b68da7d8d}" id="{a49c9dcd-a06d-4bc1-a084-4a84797696d9}" parentId="{25628042-3269-4918-818c-05decc1e59bf}">
    <x18tc:text xml:space="preserve">Não tem model walkthrough, nem predictive accuracy.. só simulação... mas nesse caso, quem seria "expert", dado que ta classificando como "expert-based validation"? acho que isso entra na pergunta que fiz acima de deixar claro o que ta sendo considerado como "proof of concept"... como n teve expert, seria um "author-as-expert" e a prova de conceito foi "simulations".</x18tc:text>
  </x18tc:threadedComment>
  <x18tc:threadedComment ref="E63" dT="2025-06-20T00:01:30.00" personId="{27149642-60fe-45cd-90b6-774a17d679a8}" id="{1b5ff622-b985-4247-931d-475cef57234a}" done="1">
    <x18tc:text xml:space="preserve">Ver se Mirko concorda com a validação</x18tc:text>
  </x18tc:threadedComment>
  <x18tc:threadedComment ref="P65" dT="2025-06-20T01:42:31.00" personId="{27149642-60fe-45cd-90b6-774a17d679a8}" id="{49088a31-8272-416d-9464-b3e8d8a2773a}" done="1">
    <x18tc:text xml:space="preserve">Inicialmente, eu pensei em colocar predicitive accuracy, mas não há uma comparação entre os resultados do modelo e dados reais/históricos. Pelo que entendi há uma verificação dos resultados do modelo com os resultados da análise de um estudante. Daí acabei considerando como proof of concept (mostra resultados do modelo). Concorda? @mperkusich@gmail.com</x18tc:text>
    <x18tc:mentions>
      <x18tc:mention mentionpersonId="{94b8a664-3c75-47eb-8ec7-748c938250c6}" mentionId="{edbfb056-99e4-43ed-8811-b81eb9c27af2}" startIndex="333" length="21"/>
    </x18tc:mentions>
  </x18tc:threadedComment>
  <x18tc:threadedComment ref="P65" dT="2025-08-10T15:26:53.00" personId="{06cf434e-9d47-4882-abad-106b68da7d8d}" id="{72eb6246-ee65-4ac8-8cf2-75e9b04cda5b}" parentId="{49088a31-8272-416d-9464-b3e8d8a2773a}">
    <x18tc:text xml:space="preserve">Sim, esse até mais simples que o S33... esse foi apenas uma "demonstração conceitual"</x18tc:text>
  </x18tc:threadedComment>
  <x18tc:threadedComment ref="E59" dT="2025-06-19T22:49:50.00" personId="{27149642-60fe-45cd-90b6-774a17d679a8}" id="{cb0a3e97-2a2f-47e6-8817-a0e37721cd1a}" done="1">
    <x18tc:text xml:space="preserve">Acredito que seria bom Mirko analisar esse paper e ver se concorda com minha avaliação/extração (é um artigo da TSE que ficou de fora de acordo com a minha avaliação)</x18tc:text>
  </x18tc:threadedComment>
  <x18tc:threadedComment ref="P66" dT="2025-06-20T13:02:09.00" personId="{27149642-60fe-45cd-90b6-774a17d679a8}" id="{946efdd9-898b-41fc-924c-bcb0605e138e}" done="1">
    <x18tc:text xml:space="preserve">Essa foi a denominação que usei para a validação usada. Você concorda, faz sentido? @mperkusich@gmail.com</x18tc:text>
    <x18tc:mentions>
      <x18tc:mention mentionpersonId="{94b8a664-3c75-47eb-8ec7-748c938250c6}" mentionId="{bd96ba42-248b-4254-b1dd-4907cb1fe45b}" startIndex="84" length="21"/>
    </x18tc:mentions>
  </x18tc:threadedComment>
  <x18tc:threadedComment ref="P66" dT="2025-08-10T15:32:07.00" personId="{06cf434e-9d47-4882-abad-106b68da7d8d}" id="{485f0dde-2099-4d0b-8ce7-2115d4050bec}" parentId="{946efdd9-898b-41fc-924c-bcb0605e138e}">
    <x18tc:text xml:space="preserve">ok</x18tc:text>
  </x18tc:threadedComment>
  <x18tc:threadedComment ref="M67" dT="2025-06-20T15:02:58.00" personId="{27149642-60fe-45cd-90b6-774a17d679a8}" id="{5704a4d2-1341-44e4-aa0d-04a8a4d7f345}" done="1">
    <x18tc:text xml:space="preserve">O artigo cita AHP para parameter estimation, que seria um método novo até então. No entanto, AHP foi usado para root parents, ou seja, não é para conditional probability tables (CPTs). Alguns artigos explicam como as tabelas de root nodes foram criadas e como as CPTs de child/dependent nodes foram criadas. Eu acabei extraindo tudo, tanto para independent (unconditional) quanto para dependent (conditional). Tá ok, né? @mperkusich@gmail.com</x18tc:text>
    <x18tc:mentions>
      <x18tc:mention mentionpersonId="{94b8a664-3c75-47eb-8ec7-748c938250c6}" mentionId="{dfba3749-a77d-48d5-9706-5d6b4942e5b2}" startIndex="421" length="21"/>
    </x18tc:mentions>
  </x18tc:threadedComment>
  <x18tc:threadedComment ref="M67" dT="2025-08-10T15:33:50.00" personId="{06cf434e-9d47-4882-abad-106b68da7d8d}" id="{ebf81205-4d8b-4cbe-a131-7e1e0650cff8}" parentId="{5704a4d2-1341-44e4-aa0d-04a8a4d7f345}">
    <x18tc:text xml:space="preserve">ok</x18tc:text>
  </x18tc:threadedComment>
  <x18tc:threadedComment ref="E73" dT="2025-06-20T21:52:16.00" personId="{27149642-60fe-45cd-90b6-774a17d679a8}" id="{eca8a36f-42e7-4397-b202-1f3f063cf361}" done="1">
    <x18tc:text xml:space="preserve">Este artigo da TSE pra mim foi complexo. Não consegui identificar bem os métodos utilizados; é como se eles tivessem partido sempre de "assumptions", por isso coloquei not specified pra várias atividades da construção da BN. Por exemplo, eles já fornecem uma lista pronta de variáveis sem dizer como foram identificadas e definem todas como Boolean por uma questão de simplificação. Você pode verificar este artigo e ver se concorda com minha extração, por favor?</x18tc:text>
  </x18tc:threadedComment>
  <x18tc:threadedComment ref="E73" dT="2025-07-25T01:24:01.00" personId="{06cf434e-9d47-4882-abad-106b68da7d8d}" id="{6ce659d2-0d1d-43b2-8e76-4a5e09ab0ce3}" parentId="{eca8a36f-42e7-4397-b202-1f3f063cf361}">
    <x18tc:text xml:space="preserve">Denso pra caramba mesmo o artigo. Eles usam a BN pra modelar a confiança dado que vc tem duas fontes de conhecimento. Por exemplo, se eu tenho um sistema e eu quero saber se a qualidade ta OK. Para isso, eu tenho dois "legs": teste e prova formal. Daí, o ponto é, por exemplo, dado que eu já fiz a prova formal, se eu testar, eu aumento a confiança da declaração "o sistema está OK"? Pra mim, surge um novo tipo de reasoning model aqui... seria "argumentation model", e isso define a topologia da rede (nos + relacionamentos), deixando o QA para Q1.1 e 1.3 = 1.0. Sobre os estados, eu entendi que eles foram só de boolean... e a explicação foi "simplificar"... acho que 0.5 na Q1.2 (0 seria se n falassem nada sobre os estados...). e as TPNs tao bem detalhadas, mas eles não se basearam em dados... foi baseado em modelagem teórica (sem experts, sem literatura).. enfim, o Q2.1 seria 1.0. É um artigo fora da curva e complexo de ler mesmo</x18tc:text>
  </x18tc:threadedComment>
  <x18tc:threadedComment ref="M86" dT="2025-06-22T00:06:50.00" personId="{27149642-60fe-45cd-90b6-774a17d679a8}" id="{aedd350f-015e-4d4e-98f0-09809b35c2f5}" done="1">
    <x18tc:text xml:space="preserve">Eu vi num artigo da Misirli que ela se referia a GLM para a estrutura, mas lendo esse artigo acho que aí tem a ver com as CPTs. Pelo que entendi, GLM pode ser considerado um framework estatístico genérico, que, pelo que entendi no estudo em questão, se trata de um modelo de regressão linear múltipla. Por isso que extraí GLM como método e na tese vou dizer que usaram análise de regressão linear (instância do GLM). Outra coisa: eu também incluí o MLE. O artigo menciona o termo maximum likelihood estimation; não ficou descrito explicitamente como um método para CPTs, mas apenas para determinar coeficientes. Classifiquei MLE como automatic method e GLM como semi-automatic (o estudo usou MLE para determinar os coeficientes, mas menciona que na ausência de dados podem ser determinados pelos experts). Concorda? @mperkusich@gmail.com</x18tc:text>
    <x18tc:mentions>
      <x18tc:mention mentionpersonId="{94b8a664-3c75-47eb-8ec7-748c938250c6}" mentionId="{9f4c7f8a-a30a-4234-b5ae-0dd65f82fa77}" startIndex="816" length="21"/>
    </x18tc:mentions>
  </x18tc:threadedComment>
  <x18tc:threadedComment ref="M86" dT="2025-08-10T15:48:22.00" personId="{06cf434e-9d47-4882-abad-106b68da7d8d}" id="{96e8c146-e8bc-4c52-90f3-f914be914efa}" parentId="{aedd350f-015e-4d4e-98f0-09809b35c2f5}">
    <x18tc:text xml:space="preserve">Concordo. Um ponto é que GLM pode ser usado pra estrutura tambem... nesse artigo, foi so pra CPT</x18tc:text>
  </x18tc:threadedComment>
  <x18tc:threadedComment ref="E83" dT="2025-06-21T15:36:44.00" personId="{27149642-60fe-45cd-90b6-774a17d679a8}" id="{978e8cfa-045c-4469-8d6f-a655f91c0a02}" done="1">
    <x18tc:text xml:space="preserve">Acredito que seja bom analisar este paper da TSE e ver se você concorda com minha extração e avaliação.</x18tc:text>
  </x18tc:threadedComment>
  <x18tc:threadedComment ref="E86" dT="2025-06-21T16:08:32.00" personId="{27149642-60fe-45cd-90b6-774a17d679a8}" id="{c912fd29-df63-438d-b60e-dedf1ac0412c}" done="1">
    <x18tc:text xml:space="preserve">Fiquei com dúvida neste artigo, principalmente nas CPTs. Dá uma verificada e vê se concorda comigo, por favor. @mperkusich@gmail.com</x18tc:text>
    <x18tc:mentions>
      <x18tc:mention mentionpersonId="{94b8a664-3c75-47eb-8ec7-748c938250c6}" mentionId="{7312b143-8864-4c1c-b80d-fae364babfbe}" startIndex="111" length="21"/>
    </x18tc:mentions>
  </x18tc:threadedComment>
  <x18tc:threadedComment ref="E88" dT="2025-06-22T01:10:22.00" personId="{27149642-60fe-45cd-90b6-774a17d679a8}" id="{192cd7fe-f90f-467b-82ef-192a47ebebb7}" done="1">
    <x18tc:text xml:space="preserve">Perguntar a Mirko se ele concorda com os 0.5 (com essa pontuação, o artigo fica de fora e "extension of existing models" não aparece mais em nenhum artigo como método pra construção do DAG; não me parece um método tão relevante, então não veria problema em não incluir)</x18tc:text>
  </x18tc:threadedComment>
  <x18tc:threadedComment ref="P101" dT="2025-06-22T23:04:45.00" personId="{27149642-60fe-45cd-90b6-774a17d679a8}" id="{45b1a5fc-e76a-45b6-91b4-b5d41113d98c}" done="1">
    <x18tc:text xml:space="preserve">Você acha que aqui poderia ser algo como proof of concept?</x18tc:text>
  </x18tc:threadedComment>
  <x18tc:threadedComment ref="P101" dT="2025-08-10T16:19:52.00" personId="{06cf434e-9d47-4882-abad-106b68da7d8d}" id="{948a01a4-3a50-4597-90b6-8ed0175f4513}" parentId="{45b1a5fc-e76a-45b6-91b4-b5d41113d98c}">
    <x18tc:text xml:space="preserve">ok</x18tc:text>
  </x18tc:threadedComment>
  <x18tc:threadedComment ref="E101" dT="2025-06-22T23:24:50.00" personId="{27149642-60fe-45cd-90b6-774a17d679a8}" id="{35166287-9976-4d90-832d-6eb87a458286}" done="1">
    <x18tc:text xml:space="preserve">Aqui entraria risk-centric modeling (variáveis e relacionamentos)? Na planilha do IST não entrou, mas fiquei com a impressão de que poderia... @mperkusich@gmail.com</x18tc:text>
    <x18tc:mentions>
      <x18tc:mention mentionpersonId="{94b8a664-3c75-47eb-8ec7-748c938250c6}" mentionId="{5e93e3a1-a507-4fb2-b66a-fe2ed3f6d623}" startIndex="143" length="21"/>
    </x18tc:mentions>
  </x18tc:threadedComment>
  <x18tc:threadedComment ref="E101" dT="2025-08-10T16:10:02.00" personId="{06cf434e-9d47-4882-abad-106b68da7d8d}" id="{2affa09a-c6c2-4cbb-95e0-193c86587a61}" parentId="{35166287-9976-4d90-832d-6eb87a458286}">
    <x18tc:text xml:space="preserve">sim, até pelo titulo do artigo..  e a fig 3 deixa isso bem claro.. OK</x18tc:text>
  </x18tc:threadedComment>
  <x18tc:threadedComment ref="K107" dT="2025-06-23T03:40:47.00" personId="{27149642-60fe-45cd-90b6-774a17d679a8}" id="{1ae8ea43-4170-42a8-93ba-eef685430480}" done="1">
    <x18tc:text xml:space="preserve">Confirmar com Mirko se survey é relacionamento ou evaluation.</x18tc:text>
  </x18tc:threadedComment>
  <x18tc:threadedComment ref="M107" dT="2025-06-23T03:41:09.00" personId="{27149642-60fe-45cd-90b6-774a17d679a8}" id="{66360691-8f1d-41f5-9c0c-7e6c20121c8b}" done="1">
    <x18tc:text xml:space="preserve">Confirmar com Mirko se é isso mesmo.</x18tc:text>
  </x18tc:threadedComment>
  <x18tc:threadedComment ref="E115" dT="2025-06-23T20:24:34.00" personId="{27149642-60fe-45cd-90b6-774a17d679a8}" id="{21e1f605-4d2f-454a-ab65-dc4bb71eb9c4}" done="1">
    <x18tc:text xml:space="preserve">Perguntar a Mirko se entra risk-centric modeling nas variáveis e relacionamentos. @mperkusich@gmail.com</x18tc:text>
    <x18tc:mentions>
      <x18tc:mention mentionpersonId="{94b8a664-3c75-47eb-8ec7-748c938250c6}" mentionId="{00f8a67b-8637-4cdd-b277-e3b468a9b7e9}" startIndex="82" length="21"/>
    </x18tc:mentions>
  </x18tc:threadedComment>
  <x18tc:threadedComment ref="E115" dT="2025-08-10T16:30:07.00" personId="{06cf434e-9d47-4882-abad-106b68da7d8d}" id="{9fb87ea9-9bf1-4483-a55a-47c4ac45e501}" parentId="{21e1f605-4d2f-454a-ab65-dc4bb71eb9c4}">
    <x18tc:text xml:space="preserve">sim, faz sentido</x18tc:text>
  </x18tc:threadedComment>
  <x18tc:threadedComment ref="K114" dT="2025-06-23T16:15:16.00" personId="{27149642-60fe-45cd-90b6-774a17d679a8}" id="{f7ba5ba8-0787-4dff-ad4b-a8575608e225}" done="1">
    <x18tc:text xml:space="preserve">Verificar com Mirko se esses métodos funcionam como structure evaluation ou relationships</x18tc:text>
  </x18tc:threadedComment>
  <x18tc:threadedComment ref="M114" dT="2025-06-23T16:33:08.00" personId="{27149642-60fe-45cd-90b6-774a17d679a8}" id="{f5a4d69d-86c2-4cba-a560-e591129d7f02}" done="1">
    <x18tc:text xml:space="preserve">O algoritmo proposto na página 8 deveria entrar como método para construção das CPTs? Pelo que entendi, ele pega os valores das probabilidades da BN e utiliza para outra finalidade, por isso não incluí aqui. Caso você ache que deveria entrar, como você denominaria o método? @mperkusich@gmail.com</x18tc:text>
    <x18tc:mentions>
      <x18tc:mention mentionpersonId="{94b8a664-3c75-47eb-8ec7-748c938250c6}" mentionId="{195b7fd0-3360-41a0-9a28-9a30b986dd3c}" startIndex="275" length="21"/>
    </x18tc:mentions>
  </x18tc:threadedComment>
  <x18tc:threadedComment ref="M114" dT="2025-08-10T16:29:14.00" personId="{06cf434e-9d47-4882-abad-106b68da7d8d}" id="{8be9acdc-fbd0-4403-aa8f-e78d2c91474b}" parentId="{f5a4d69d-86c2-4cba-a560-e591129d7f02}">
    <x18tc:text xml:space="preserve">OK. Esse método de "variable elimination" eu n sei nem pra que eles botaram no artigo.. ate onde sei, qquer ferramenta de BN implementa isso.. é um metodo de inferencia</x18tc:text>
  </x18tc:threadedComment>
  <x18tc:threadedComment ref="P117" dT="2025-06-24T13:50:19.00" personId="{27149642-60fe-45cd-90b6-774a17d679a8}" id="{4fde394c-a144-4ab7-a92d-0bbf663a7108}" done="1">
    <x18tc:text xml:space="preserve">Aqui coloquei "Proof of concept (experimental evaluation)", mas fiquei na dúvida se deveria ser expert-driven ou data-driven validation. Incluí em expert-driven pq no final do artigo diz que o método foi avaliado por seus autores/experts e eles não tinham dados reais. Extraí proof of concept (expert-based) com base nesse trecho: "Regarding the proposed methodological support, the level of automation generally varies between steps. For instance, the qualitative analysis depends on the human capabilities (stakeholders’ input and architects’ decision), which is different from the automated reasoning during runtime. Though extensive effort has been taken to ensure re-reproducibility of the method by providing systematic guidance, this would be subject to further empirical studies to determine the practicality of the method, where factors, such as availability of information, stakeholders’ experience would be examined. Though, we believe that the presented case study for evaluation exemplifies the working procedure of the approach and reflect the potential usability". Reflect the potential usability é uma opinião dos autores do modelo, portanto expert-based faz sentido aqui. O que acha? @mperkusich@gmail.com</x18tc:text>
    <x18tc:mentions>
      <x18tc:mention mentionpersonId="{94b8a664-3c75-47eb-8ec7-748c938250c6}" mentionId="{c69c6c68-1f78-435b-a668-414388639748}" startIndex="1201" length="21"/>
    </x18tc:mentions>
  </x18tc:threadedComment>
  <x18tc:threadedComment ref="P117" dT="2025-08-10T16:32:29.00" personId="{06cf434e-9d47-4882-abad-106b68da7d8d}" id="{b4037277-5360-4894-b7f0-67ee3961f169}" parentId="{4fde394c-a144-4ab7-a92d-0bbf663a7108}">
    <x18tc:text xml:space="preserve">concordo</x18tc:text>
  </x18tc:threadedComment>
  <x18tc:threadedComment ref="M122" dT="2025-06-24T14:10:37.00" personId="{27149642-60fe-45cd-90b6-774a17d679a8}" id="{8f7b7b4c-00b8-4155-a55b-c142351f2520}" done="1">
    <x18tc:text xml:space="preserve">Verificar com Mirko</x18tc:text>
  </x18tc:threadedComment>
  <x18tc:threadedComment ref="E117" dT="2025-06-24T02:09:35.00" personId="{27149642-60fe-45cd-90b6-774a17d679a8}" id="{9f86e879-1894-4093-88e9-b496cdf67e4f}" done="1">
    <x18tc:text xml:space="preserve">Pedir para Mirko analisar. Usou simulação para coletar dados para construir as CPTs, mas não consegui identificar como esses dados são usados (parameter learning algorithm, frequency quantification from data using an automated tool...). Por isso atribuí 0.5 na construção das CPTs e extraí como método simulation experiments. O que você acha?</x18tc:text>
  </x18tc:threadedComment>
  <x18tc:threadedComment ref="E121" dT="2025-06-24T03:33:03.00" personId="{27149642-60fe-45cd-90b6-774a17d679a8}" id="{fe28bfc0-652b-436f-8371-38f847f08fa0}" done="1">
    <x18tc:text xml:space="preserve">Eu achei complexo o problema ao qual a BN foi aplicada. Você pode só olhar rapidamente pra ver se concorda com as avaliações/extrações, por favor?</x18tc:text>
  </x18tc:threadedComment>
  <x18tc:threadedComment ref="E121" dT="2025-07-25T01:45:53.00" personId="{06cf434e-9d47-4882-abad-106b68da7d8d}" id="{7d25f4d9-82a5-4597-b8b9-465420e192e4}" parentId="{fe28bfc0-652b-436f-8371-38f847f08fa0}">
    <x18tc:text xml:space="preserve">Pelo que entendi, o modelo foi baseado no KWIC problem que foi discutido em [25], [11] e [33]. E pelo que entendi, foi baseado nesses estudos que eles extraíram as variáveis, estados e relacionamentos. Eles citam alguns exemplos ao final da sec. 3.2 de como decisões de design influenciam atributos de qualidade (eu entendi que eles tiraram isso de uma análise de [25], [11], [33]). Agora, com relação às probabilidades, eles explicaram que adaptaram o método de Boehm pra risk mgmt [3], mas não dizem da onde tiraram os valores para as sentenças ao final da pg. 704. Dado isso, eu diria que Identification of nodes, values e relationships, seria "literature review" com valor 0.5 (não ta explícito). Para as probabilidades, eu deixaria como vc fez.</x18tc:text>
  </x18tc:threadedComment>
  <x18tc:threadedComment ref="E122" dT="2025-06-24T15:00:50.00" personId="{27149642-60fe-45cd-90b6-774a17d679a8}" id="{c2ba8518-71c2-4aea-aa3e-b6c30f36791b}" done="1">
    <x18tc:text xml:space="preserve">Você poderia verificar se concorda com minha extração em todas as atividades, por favor?</x18tc:text>
  </x18tc:threadedComment>
  <x18tc:threadedComment ref="J153" dT="2025-06-26T15:18:04.00" personId="{27149642-60fe-45cd-90b6-774a17d679a8}" id="{aeedb14d-5f36-4701-b6ed-5ec43e82174d}" done="1">
    <x18tc:text xml:space="preserve">Aplicou um structure learning algorithm usando dados de projetos coletados de experts. Assim, considerei survey with practitioners como método. Aqui caberia também risk-centric modeling nas variáveis e relacionamentos?</x18tc:text>
  </x18tc:threadedComment>
  <x18tc:threadedComment ref="J153" dT="2025-07-25T00:09:29.00" personId="{06cf434e-9d47-4882-abad-106b68da7d8d}" id="{d8b90501-a076-443f-b971-be45395e1f2a}" parentId="{aeedb14d-5f36-4701-b6ed-5ec43e82174d}">
    <x18tc:text xml:space="preserve">OK</x18tc:text>
  </x18tc:threadedComment>
  <x18tc:threadedComment ref="E154" dT="2025-06-26T22:27:37.00" personId="{27149642-60fe-45cd-90b6-774a17d679a8}" id="{d038c861-04a1-4b7d-a526-27894702d720}" done="1">
    <x18tc:text xml:space="preserve">Verificar possibilidade de incluir (K2 para CPTs)</x18tc:text>
  </x18tc:threadedComment>
  <x18tc:threadedComment ref="N25" dT="2025-06-30T14:35:54.00" personId="{27149642-60fe-45cd-90b6-774a17d679a8}" id="{8bee9b78-5c5d-457b-85d1-68821a218c3d}" done="1">
    <x18tc:text xml:space="preserve">Ver opinião de mirko</x18tc:text>
  </x18tc:threadedComment>
  <x18tc:threadedComment ref="P4" dT="2025-06-30T14:08:16.00" personId="{27149642-60fe-45cd-90b6-774a17d679a8}" id="{c1e2a5c3-4eea-4102-9e33-2cd8f02df754}" done="1">
    <x18tc:text xml:space="preserve">Concorda com os métodos extraídos?</x18tc:text>
  </x18tc:threadedComment>
  <x18tc:threadedComment ref="P4" dT="2025-07-25T00:06:15.00" personId="{06cf434e-9d47-4882-abad-106b68da7d8d}" id="{4e6cc840-0913-4d26-8995-8d3c2000ed2c}" parentId="{c1e2a5c3-4eea-4102-9e33-2cd8f02df754}">
    <x18tc:text xml:space="preserve">Não consegui acessar o artigo. Tu tem aí?</x18tc:text>
  </x18tc:threadedComment>
  <x18tc:threadedComment ref="M54" dT="2025-07-07T01:32:50.00" personId="{27149642-60fe-45cd-90b6-774a17d679a8}" id="{d087e6af-a0dd-4f0a-a0eb-e6475e284226}" done="1">
    <x18tc:text xml:space="preserve">Aqui eu fiquei na dúvida em que método extrair, por isso incluí "extrapolating the distributions based on expert samples". Faz sentido extrair isso como método pras CPTs? Tem outro nome pra isso?</x18tc:text>
  </x18tc:threadedComment>
  <x18tc:threadedComment ref="M54" dT="2025-07-24T23:59:52.00" personId="{06cf434e-9d47-4882-abad-106b68da7d8d}" id="{8503c4f6-a95b-402b-946e-ef8170af0406}" parentId="{d087e6af-a0dd-4f0a-a0eb-e6475e284226}">
    <x18tc:text xml:space="preserve">Eu botaria "Probabilities Extrapolation".. algo do tipo.. E eu acho que vale a pena fazer uma classificacao mais cuidados aqui e agrupar algumas tecnicas.. por exemplo, isso aqui se encixaria como "semi-automatic method" (ou "filling-up method") junto com ranked nodes method e Weighted Sum Algorithm (WSA)</x18tc:text>
  </x18tc:threadedComment>
  <x18tc:threadedComment ref="P83" dT="2025-07-11T14:32:52.00" personId="{27149642-60fe-45cd-90b6-774a17d679a8}" id="{926aec11-d42b-4ddb-b28d-7415c2103068}" done="1">
    <x18tc:text xml:space="preserve">Apresenta alguns case studies mas, a meu ver, tem o objetivo de mostrar o uso da abordagem ao invés de ter uma validação rigorosa. Por isso coloquei proof of concept.</x18tc:text>
  </x18tc:threadedComment>
  <x18tc:threadedComment ref="P83" dT="2025-07-24T23:45:02.00" personId="{06cf434e-9d47-4882-abad-106b68da7d8d}" id="{693648ab-fa77-4a37-866b-97e022c7af13}" parentId="{926aec11-d42b-4ddb-b28d-7415c2103068}">
    <x18tc:text xml:space="preserve">Concordo.</x18tc:text>
  </x18tc:threadedComment>
  <x18tc:threadedComment ref="E93" dT="2025-07-11T14:56:37.00" personId="{27149642-60fe-45cd-90b6-774a17d679a8}" id="{cfc6d4b7-f644-4593-9142-54b9a8bcb623}" done="1">
    <x18tc:text xml:space="preserve">Artigo da Expert Systems que ficou de fora porque já mostra a rede pronta sem dar muitos detalhes de como chegou nela (mostra fatores incluídos, estados possíveis de alguns fatores, mas não fica claro como foi feito). Caso queria dar uma conferida</x18tc:text>
  </x18tc:threadedComment>
  <x18tc:threadedComment ref="E93" dT="2025-07-24T23:41:48.00" personId="{06cf434e-9d47-4882-abad-106b68da7d8d}" id="{4041ca3a-e16e-4821-96a1-d1cc5fd166a3}" parentId="{cfc6d4b7-f644-4593-9142-54b9a8bcb623}">
    <x18tc:text xml:space="preserve">Eu acho que o QA foi muito rigoroso aqui. Eu acho que com relação a estrutura, ta razoavel a explicação. Eles dizem que se basearam na IEEE Std 1219-1993 , mas que tinha ficado com muitas varíaveis (60+). Então, eles simplificaram pra focar nas macrofases. Concordo que eles foram muito vagos e não explicaram bem como foi o processo de "classificação" das infos do padrão IEEE pra rede nem da interação com um especialista. Na estrutura, ficou claro que se basearam no padrão IEEE e parece que consulturam um specialist (qndo ele dizem que "In the present work, we have confined
ourselves to a set of factors that can be measured and
pointed out as minimum by specialists".. faz soar que eles consultaram alguém). Com relação às probabilidades, eles indiretamente dizem que elicitaram de 1 specialist ("the probabilities above were denoted by specialists from a single company")</x18tc:text>
  </x18tc:threadedComment>
  <x18tc:threadedComment ref="E93" dT="2025-07-24T23:43:42.00" personId="{06cf434e-9d47-4882-abad-106b68da7d8d}" id="{999d3ecc-5bb3-4b09-9b57-c8b56ef29f35}" parentId="{cfc6d4b7-f644-4593-9142-54b9a8bcb623}">
    <x18tc:text xml:space="preserve">eu botaria 0.5 em Q1.1, Q1.2, Q1.3 e Q2.1. No resto, zero. No final das contas, acabou sendo excluído</x18tc:text>
  </x18tc:threadedComment>
  <x18tc:threadedComment ref="M117" dT="2025-07-12T17:39:04.00" personId="{27149642-60fe-45cd-90b6-774a17d679a8}" id="{dad9b8a0-55ac-491c-90aa-49e6cc05d9ed}" done="1">
    <x18tc:text xml:space="preserve">Usou simulação para coletar dados para construir as CPTs, mas não consegui identificar como esses dados são usados (parameter learning algorithm, frequency quantification from data using an automated tool...). Por isso atribuí 0.5 na construção das CPTs e extraí como método simulation experiments. O que você acha?</x18tc:text>
  </x18tc:threadedComment>
  <x18tc:threadedComment ref="M117" dT="2025-07-24T23:29:08.00" personId="{06cf434e-9d47-4882-abad-106b68da7d8d}" id="{b04b2268-1971-43bf-8f8b-7613dd7b278f}" parentId="{dad9b8a0-55ac-491c-90aa-49e6cc05d9ed}">
    <x18tc:text xml:space="preserve">eu acho que seria 1.0. Eles não tinham dados, então usaram modelos para ter uma simulação realista e rodaram várias vezes pra gerar os dados. Depois, eles não usaram estatística e sim contagem simples de frequência. Eu usaria aqui outro termo, como e.g., "Frequency Estimation from Simulated Data"</x18tc:text>
  </x18tc:threadedComment>
  <x18tc:threadedComment ref="M144" dT="2025-07-13T23:07:01.00" personId="{27149642-60fe-45cd-90b6-774a17d679a8}" id="{943bc753-33f4-4817-883c-6ca7b871a81f}" done="1">
    <x18tc:text xml:space="preserve">Pra mim não ficou claro como as CPTs foram construídas. Os autores mencionam o uso de um survey para coletar dados de fatores ausentes nas metrics databases. Também falam que desenvolveram um método e ferramenta para a construção das CPTs, mas não são fornecidos mais detalhes. Por isso, avaliei como 0.0, uma vez que falha ao abordar as CPTs. Você pode só confirmar se realmente nenhum detalhe é fornecido sobre esse método?</x18tc:text>
  </x18tc:threadedComment>
  <x18tc:threadedComment ref="H59" dT="2025-07-25T00:56:22.00" personId="{06cf434e-9d47-4882-abad-106b68da7d8d}" id="{02c6947f-a6dc-4efc-aac0-8ec8507d04e2}" done="1">
    <x18tc:text xml:space="preserve">eu acho que seria razoável colocar aqui "lifecycle model", dado que foi baseado no XP.. usou DBN por causa das iterações do XP, mostra como representar as práticas XP no modelo (como indicator nodes).. o mesmo vale para "Identification of relationships"... inclusive, no QA, eu colocara 1.0 pra identification ode variables e relaitonships... pros estados, realmente n ficou mto claro, mas ele explcia alguns.. eu deixaria 0.5</x18tc:text>
  </x18tc:threadedComment>
  <x18tc:threadedComment ref="M59" dT="2025-07-25T01:00:31.00" personId="{06cf434e-9d47-4882-abad-106b68da7d8d}" id="{1b2f5051-c2ce-4bbe-9e5f-0b0091adfb2e}" done="1">
    <x18tc:text xml:space="preserve">Eu adicionaria aqui "Literature Review", dado que eles se baseiam em outros estudos pra definir as probabilidades... por exemplo, eles apontam pra brahamsson and Koskela [8], Little [13] e Jørgensen
et al. [39], [40], [41]. Além disso, eles não usaram só o RNM method, eles usaram outros tipos de distribuição de probabilidade como normal distribution e lognormal</x18tc:text>
  </x18tc:threadedComment>
  <x18tc:threadedComment ref="M59" dT="2025-07-25T01:01:14.00" personId="{06cf434e-9d47-4882-abad-106b68da7d8d}" id="{87e5d298-c733-428a-9e83-a31c68494562}" parentId="{1b2f5051-c2ce-4bbe-9e5f-0b0091adfb2e}">
    <x18tc:text xml:space="preserve">E eu colocaria a Q2.1 como 1.0 pra esse artigo</x18tc:text>
  </x18tc:threadedComment>
  <x18tc:threadedComment ref="M59" dT="2025-07-25T01:02:07.00" personId="{06cf434e-9d47-4882-abad-106b68da7d8d}" id="{0b495d80-3f31-4157-88d2-e5aec3e02c84}" parentId="{1b2f5051-c2ce-4bbe-9e5f-0b0091adfb2e}">
    <x18tc:text xml:space="preserve">que pode acabar incluindo o artigo...</x18tc:text>
  </x18tc:threadedComment>
  <x18tc:threadedComment ref="I155" dT="2025-08-06T21:13:01.00" personId="{27149642-60fe-45cd-90b6-774a17d679a8}" id="{35e9550d-6c8d-4482-a7fe-8498d9e00cad}" done="1">
    <x18tc:text xml:space="preserve">Aqui também considerei Sturge's rule como discretização automática. Concorda?</x18tc:text>
  </x18tc:threadedComment>
  <x18tc:threadedComment ref="I155" dT="2025-08-10T18:37:09.00" personId="{06cf434e-9d47-4882-abad-106b68da7d8d}" id="{6eeb0482-49f9-4a42-8c18-0e10cb02dcd5}" parentId="{35e9550d-6c8d-4482-a7fe-8498d9e00cad}">
    <x18tc:text xml:space="preserve">ok</x18tc:text>
  </x18tc:threadedComment>
  <x18tc:threadedComment ref="I91" dT="2025-08-06T15:39:23.00" personId="{27149642-60fe-45cd-90b6-774a17d679a8}" id="{29ba9d28-0dd0-48ef-8c10-7cef16e83b80}" done="1">
    <x18tc:text xml:space="preserve">Três estudos mencionaram fuzzy logic para definir os estados. Considerei aqui que a discretização foi automática, mas isso não ficou muito claro pra mim nos três estudos. Aqui, o número de bins foi determinado estatisticamente pelo coeficient de Dunt; houve uma ponderação se seria melhor usar 2 ou 3 grupos, o que sugere a intervenção de experts; pensei em definir o método como semi-automatic/automatic discretization, mas no final acabei considerando automatic nos três estudos. A gente pode deixar assim e dizer que o nível de automatização pode variar entre os estudos. O que acha? @mperkusich@gmail.com</x18tc:text>
    <x18tc:mentions>
      <x18tc:mention mentionpersonId="{94b8a664-3c75-47eb-8ec7-748c938250c6}" mentionId="{025c8d58-0b82-4f4c-b3d8-57c6fa022abf}" startIndex="587" length="21"/>
    </x18tc:mentions>
  </x18tc:threadedComment>
  <x18tc:threadedComment ref="I91" dT="2025-08-10T16:07:20.00" personId="{06cf434e-9d47-4882-abad-106b68da7d8d}" id="{8f10ccf0-2f09-4d0b-b6d3-6e10b410422d}" parentId="{29ba9d28-0dd0-48ef-8c10-7cef16e83b80}">
    <x18tc:text xml:space="preserve">concordo</x18tc:text>
  </x18tc:threadedComment>
  <x18tc:threadedComment ref="M91" dT="2025-08-06T15:42:05.00" personId="{27149642-60fe-45cd-90b6-774a17d679a8}" id="{931eae02-491c-4acc-b283-121f5ecd8624}" done="1">
    <x18tc:text xml:space="preserve">Aqui considerei fuzzy logic como um método semiautomático pras probabilidades dos entry nodes. Concorda? @mperkusich@gmail.com</x18tc:text>
    <x18tc:mentions>
      <x18tc:mention mentionpersonId="{94b8a664-3c75-47eb-8ec7-748c938250c6}" mentionId="{12335d5f-2101-481e-b1e8-45fc38c79992}" startIndex="105" length="21"/>
    </x18tc:mentions>
  </x18tc:threadedComment>
  <x18tc:threadedComment ref="M91" dT="2025-08-10T16:08:22.00" personId="{06cf434e-9d47-4882-abad-106b68da7d8d}" id="{e908ae17-657e-48ed-b5f0-7fb7c8ac9367}" parentId="{931eae02-491c-4acc-b283-121f5ecd8624}">
    <x18tc:text xml:space="preserve">ok</x18tc:text>
  </x18tc:threadedComment>
  <x18tc:threadedComment ref="I153" dT="2025-08-06T17:05:06.00" personId="{27149642-60fe-45cd-90b6-774a17d679a8}" id="{762b1e38-add4-421c-8471-afef2ec94b98}" done="1">
    <x18tc:text xml:space="preserve">Eu busquei o artigo de Lauria pra entender a metodologia. Acabei considerando como uma discretização automática, mas fiquei na dúvida. @mperkusich@gmail.com</x18tc:text>
    <x18tc:mentions>
      <x18tc:mention mentionpersonId="{94b8a664-3c75-47eb-8ec7-748c938250c6}" mentionId="{c7a4e35f-6c50-4a0f-84ee-2e80f046173c}" startIndex="135" length="21"/>
    </x18tc:mentions>
  </x18tc:threadedComment>
  <x18tc:threadedComment ref="I153" dT="2025-08-10T18:35:00.00" personId="{06cf434e-9d47-4882-abad-106b68da7d8d}" id="{8da101da-ab92-4edd-9f3f-72574a2cb584}" parentId="{762b1e38-add4-421c-8471-afef2ec94b98}">
    <x18tc:text xml:space="preserve">Rapaz, Lauria et al. usou analise estatistica, mas esse aqui nao.. eu entendi que eles apontaram pra Lauria so pra justificar usar nós booleanos.. eu deixaria como "literature review"</x18tc:text>
  </x18tc:threadedComment>
  <x18tc:threadedComment ref="P132" dT="2025-08-04T14:25:27.00" personId="{27149642-60fe-45cd-90b6-774a17d679a8}" id="{56dc4c2b-2b35-4607-9fed-3b42e1e88add}" done="1">
    <x18tc:text xml:space="preserve">Usa uma métrica de avaliação, o que sugere o uso de dados, mas o próprio artigo afirma que usou uma proof of concept e no final dá a entender que os autores avaliaram os resultados da avaliação experimental e acreditam que o modelo produzirá bons resultados em cenários reais. Por isso, vejo como uma abordagem expert-based. Faz sentido minha extração? @mperkusich@gmail.com</x18tc:text>
    <x18tc:mentions>
      <x18tc:mention mentionpersonId="{94b8a664-3c75-47eb-8ec7-748c938250c6}" mentionId="{d230592c-a1e7-4bd7-a81b-148daffd8a6b}" startIndex="353" length="21"/>
    </x18tc:mentions>
  </x18tc:threadedComment>
  <x18tc:threadedComment ref="M122" dT="2025-08-07T15:23:07.00" personId="{27149642-60fe-45cd-90b6-774a17d679a8}" id="{70178d15-0835-41dd-ab19-7703858cbf11}" done="1">
    <x18tc:text xml:space="preserve">Também considerei fuzzy logic como semiautomático aqui. Os estudos, a meu ver, não deixam muito claro se a automatização foi 100%, então eu optei por um meio termo. O que acha?</x18tc:text>
  </x18tc:threadedComment>
  <x18tc:threadedComment ref="M122" dT="2025-08-10T17:46:19.00" personId="{06cf434e-9d47-4882-abad-106b68da7d8d}" id="{9ca5a49b-9c53-4480-85ba-9a31b6f7305e}" parentId="{70178d15-0835-41dd-ab19-7703858cbf11}">
    <x18tc:text xml:space="preserve">eu deixaria como automatico, apesar de n ta claro no texto.. mas parece-me que eles saíram dos dados até as CPTs automaticamente.. eu até pensei que as membership functions tinham sido elicitadas por experts, mas eles n falam isso</x18tc:text>
  </x18tc:threadedComment>
  <x18tc:threadedComment ref="R108" dT="2025-08-10T16:21:42.00" personId="{06cf434e-9d47-4882-abad-106b68da7d8d}" id="{80c56dfc-4c3d-48ed-86a3-8f96036eb5a6}" done="1">
    <x18tc:text xml:space="preserve">isso aqui ta errado.. é de outro artigo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2.38"/>
    <col customWidth="1" min="3" max="4" width="50.75"/>
    <col customWidth="1" min="5" max="5" width="63.25"/>
  </cols>
  <sheetData>
    <row r="1">
      <c r="A1" s="1" t="s">
        <v>0</v>
      </c>
    </row>
    <row r="2">
      <c r="A2" s="2" t="s">
        <v>1</v>
      </c>
      <c r="B2" s="3"/>
    </row>
    <row r="3">
      <c r="A3" s="4" t="s">
        <v>2</v>
      </c>
      <c r="B3" s="4" t="s">
        <v>3</v>
      </c>
    </row>
    <row r="4">
      <c r="A4" s="4" t="s">
        <v>4</v>
      </c>
      <c r="B4" s="4" t="s">
        <v>5</v>
      </c>
    </row>
    <row r="5">
      <c r="A5" s="4" t="s">
        <v>6</v>
      </c>
      <c r="B5" s="4" t="s">
        <v>7</v>
      </c>
    </row>
    <row r="6">
      <c r="A6" s="4" t="s">
        <v>8</v>
      </c>
      <c r="B6" s="4" t="s">
        <v>9</v>
      </c>
    </row>
    <row r="7">
      <c r="A7" s="4" t="s">
        <v>10</v>
      </c>
      <c r="B7" s="4" t="s">
        <v>11</v>
      </c>
    </row>
    <row r="8">
      <c r="A8" s="2" t="s">
        <v>12</v>
      </c>
      <c r="B8" s="3"/>
    </row>
    <row r="9">
      <c r="A9" s="4" t="s">
        <v>13</v>
      </c>
      <c r="B9" s="4" t="s">
        <v>14</v>
      </c>
    </row>
    <row r="10">
      <c r="A10" s="4" t="s">
        <v>15</v>
      </c>
      <c r="B10" s="4" t="s">
        <v>17</v>
      </c>
    </row>
    <row r="11">
      <c r="A11" s="4" t="s">
        <v>18</v>
      </c>
      <c r="B11" s="4" t="s">
        <v>19</v>
      </c>
    </row>
    <row r="12">
      <c r="A12" s="2" t="s">
        <v>20</v>
      </c>
      <c r="B12" s="3"/>
    </row>
    <row r="13">
      <c r="A13" s="4" t="s">
        <v>21</v>
      </c>
      <c r="B13" s="4" t="s">
        <v>22</v>
      </c>
    </row>
    <row r="14">
      <c r="A14" s="4" t="s">
        <v>23</v>
      </c>
      <c r="B14" s="4" t="s">
        <v>24</v>
      </c>
    </row>
    <row r="17">
      <c r="A17" s="1" t="s">
        <v>26</v>
      </c>
    </row>
    <row r="18">
      <c r="A18" s="5" t="s">
        <v>28</v>
      </c>
      <c r="B18" s="5" t="s">
        <v>30</v>
      </c>
    </row>
    <row r="19">
      <c r="A19" s="4" t="s">
        <v>32</v>
      </c>
      <c r="B19" s="4" t="s">
        <v>33</v>
      </c>
    </row>
    <row r="20">
      <c r="A20" s="4" t="s">
        <v>35</v>
      </c>
      <c r="B20" s="4" t="s">
        <v>36</v>
      </c>
    </row>
    <row r="21">
      <c r="A21" s="4" t="s">
        <v>37</v>
      </c>
      <c r="B21" s="4" t="s">
        <v>39</v>
      </c>
    </row>
    <row r="23">
      <c r="A23" s="4" t="s">
        <v>41</v>
      </c>
    </row>
    <row r="24">
      <c r="B24" s="4" t="s">
        <v>42</v>
      </c>
    </row>
    <row r="25">
      <c r="B25" s="4" t="s">
        <v>43</v>
      </c>
    </row>
    <row r="26">
      <c r="B26" s="4" t="s">
        <v>44</v>
      </c>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8.38"/>
    <col customWidth="1" min="5" max="5" width="41.88"/>
    <col customWidth="1" min="6" max="6" width="28.75"/>
  </cols>
  <sheetData>
    <row r="1">
      <c r="A1" s="4" t="s">
        <v>16</v>
      </c>
      <c r="B1" s="4" t="s">
        <v>25</v>
      </c>
      <c r="C1" s="4" t="s">
        <v>27</v>
      </c>
      <c r="D1" s="4" t="s">
        <v>29</v>
      </c>
      <c r="E1" s="4" t="s">
        <v>31</v>
      </c>
      <c r="F1" s="4" t="s">
        <v>34</v>
      </c>
      <c r="G1" s="4" t="s">
        <v>38</v>
      </c>
      <c r="H1" s="6" t="s">
        <v>40</v>
      </c>
      <c r="M1" s="6" t="s">
        <v>45</v>
      </c>
      <c r="P1" s="6" t="s">
        <v>47</v>
      </c>
      <c r="R1" s="7" t="s">
        <v>48</v>
      </c>
    </row>
    <row r="2">
      <c r="H2" s="4" t="s">
        <v>4</v>
      </c>
      <c r="I2" s="4" t="s">
        <v>6</v>
      </c>
      <c r="J2" s="4" t="s">
        <v>8</v>
      </c>
      <c r="K2" s="4" t="s">
        <v>10</v>
      </c>
      <c r="L2" s="9" t="s">
        <v>2</v>
      </c>
      <c r="M2" s="4" t="s">
        <v>15</v>
      </c>
      <c r="N2" s="4" t="s">
        <v>18</v>
      </c>
      <c r="O2" s="9" t="s">
        <v>13</v>
      </c>
      <c r="P2" s="4" t="s">
        <v>23</v>
      </c>
      <c r="Q2" s="9" t="s">
        <v>21</v>
      </c>
    </row>
    <row r="3">
      <c r="A3" s="11" t="s">
        <v>49</v>
      </c>
      <c r="B3" s="11" t="s">
        <v>50</v>
      </c>
      <c r="C3" s="12" t="s">
        <v>51</v>
      </c>
      <c r="D3" s="12" t="s">
        <v>52</v>
      </c>
      <c r="E3" s="12" t="s">
        <v>53</v>
      </c>
      <c r="F3" s="12" t="s">
        <v>54</v>
      </c>
      <c r="G3" s="12">
        <v>2017.0</v>
      </c>
      <c r="H3" s="17">
        <v>1.0</v>
      </c>
      <c r="I3" s="17">
        <v>0.0</v>
      </c>
      <c r="J3" s="17">
        <v>1.0</v>
      </c>
      <c r="K3" s="17">
        <v>0.0</v>
      </c>
      <c r="L3" s="21">
        <f t="shared" ref="L3:L163" si="1">SUM(H3:K3)</f>
        <v>2</v>
      </c>
      <c r="M3" s="17">
        <v>1.0</v>
      </c>
      <c r="N3" s="17">
        <v>0.0</v>
      </c>
      <c r="O3" s="21">
        <f t="shared" ref="O3:O163" si="2">SUM(M3:N3)</f>
        <v>1</v>
      </c>
      <c r="P3" s="17">
        <v>1.0</v>
      </c>
      <c r="Q3" s="21">
        <f t="shared" ref="Q3:Q163" si="3">SUM(P3)</f>
        <v>1</v>
      </c>
      <c r="R3" s="26">
        <f t="shared" ref="R3:R163" si="4">SUM(0.25*L3,0.5*O3,Q3)</f>
        <v>2</v>
      </c>
    </row>
    <row r="4">
      <c r="A4" s="27" t="s">
        <v>75</v>
      </c>
      <c r="B4" s="27" t="s">
        <v>76</v>
      </c>
      <c r="C4" s="25" t="s">
        <v>77</v>
      </c>
      <c r="D4" s="25" t="s">
        <v>78</v>
      </c>
      <c r="E4" s="25" t="s">
        <v>79</v>
      </c>
      <c r="F4" s="25" t="s">
        <v>80</v>
      </c>
      <c r="G4" s="25">
        <v>2022.0</v>
      </c>
      <c r="H4" s="17">
        <v>1.0</v>
      </c>
      <c r="I4" s="17">
        <v>1.0</v>
      </c>
      <c r="J4" s="17">
        <v>0.5</v>
      </c>
      <c r="K4" s="17">
        <v>0.0</v>
      </c>
      <c r="L4" s="21">
        <f t="shared" si="1"/>
        <v>2.5</v>
      </c>
      <c r="M4" s="17">
        <v>1.0</v>
      </c>
      <c r="N4" s="17">
        <v>0.5</v>
      </c>
      <c r="O4" s="21">
        <f t="shared" si="2"/>
        <v>1.5</v>
      </c>
      <c r="P4" s="17">
        <v>0.5</v>
      </c>
      <c r="Q4" s="21">
        <f t="shared" si="3"/>
        <v>0.5</v>
      </c>
      <c r="R4" s="26">
        <f t="shared" si="4"/>
        <v>1.875</v>
      </c>
    </row>
    <row r="5" hidden="1">
      <c r="A5" s="28"/>
      <c r="B5" s="29" t="s">
        <v>87</v>
      </c>
      <c r="C5" s="30" t="s">
        <v>51</v>
      </c>
      <c r="D5" s="30" t="s">
        <v>88</v>
      </c>
      <c r="E5" s="30" t="s">
        <v>89</v>
      </c>
      <c r="F5" s="30" t="s">
        <v>90</v>
      </c>
      <c r="G5" s="31">
        <v>2018.0</v>
      </c>
      <c r="H5" s="32"/>
      <c r="I5" s="32"/>
      <c r="J5" s="32"/>
      <c r="K5" s="32"/>
      <c r="L5" s="21">
        <f t="shared" si="1"/>
        <v>0</v>
      </c>
      <c r="M5" s="32"/>
      <c r="N5" s="32"/>
      <c r="O5" s="21">
        <f t="shared" si="2"/>
        <v>0</v>
      </c>
      <c r="P5" s="32"/>
      <c r="Q5" s="21">
        <f t="shared" si="3"/>
        <v>0</v>
      </c>
      <c r="R5" s="26">
        <f t="shared" si="4"/>
        <v>0</v>
      </c>
      <c r="S5" s="33"/>
      <c r="T5" s="33"/>
      <c r="U5" s="33"/>
      <c r="V5" s="33"/>
      <c r="W5" s="33"/>
      <c r="X5" s="33"/>
      <c r="Y5" s="33"/>
      <c r="Z5" s="33"/>
      <c r="AA5" s="33"/>
      <c r="AB5" s="33"/>
      <c r="AC5" s="33"/>
    </row>
    <row r="6">
      <c r="A6" s="11" t="s">
        <v>93</v>
      </c>
      <c r="B6" s="11" t="s">
        <v>94</v>
      </c>
      <c r="C6" s="34" t="s">
        <v>77</v>
      </c>
      <c r="D6" s="34" t="s">
        <v>96</v>
      </c>
      <c r="E6" s="34" t="s">
        <v>97</v>
      </c>
      <c r="F6" s="34" t="s">
        <v>98</v>
      </c>
      <c r="G6" s="34">
        <v>2018.0</v>
      </c>
      <c r="H6" s="17">
        <v>1.0</v>
      </c>
      <c r="I6" s="17">
        <v>1.0</v>
      </c>
      <c r="J6" s="17">
        <v>1.0</v>
      </c>
      <c r="K6" s="17">
        <v>1.0</v>
      </c>
      <c r="L6" s="21">
        <f t="shared" si="1"/>
        <v>4</v>
      </c>
      <c r="M6" s="17">
        <v>1.0</v>
      </c>
      <c r="N6" s="17">
        <v>1.0</v>
      </c>
      <c r="O6" s="21">
        <f t="shared" si="2"/>
        <v>2</v>
      </c>
      <c r="P6" s="17">
        <v>1.0</v>
      </c>
      <c r="Q6" s="21">
        <f t="shared" si="3"/>
        <v>1</v>
      </c>
      <c r="R6" s="26">
        <f t="shared" si="4"/>
        <v>3</v>
      </c>
      <c r="S6" s="42"/>
      <c r="T6" s="42"/>
      <c r="U6" s="42"/>
      <c r="V6" s="42"/>
      <c r="W6" s="42"/>
      <c r="X6" s="42"/>
      <c r="Y6" s="42"/>
      <c r="Z6" s="42"/>
      <c r="AA6" s="42"/>
      <c r="AB6" s="42"/>
      <c r="AC6" s="42"/>
    </row>
    <row r="7" hidden="1">
      <c r="A7" s="11"/>
      <c r="B7" s="11" t="s">
        <v>99</v>
      </c>
      <c r="C7" s="34" t="s">
        <v>51</v>
      </c>
      <c r="D7" s="34" t="s">
        <v>100</v>
      </c>
      <c r="E7" s="34" t="s">
        <v>101</v>
      </c>
      <c r="F7" s="34" t="s">
        <v>102</v>
      </c>
      <c r="G7" s="34">
        <v>2015.0</v>
      </c>
      <c r="H7" s="32"/>
      <c r="I7" s="32"/>
      <c r="J7" s="32"/>
      <c r="K7" s="32"/>
      <c r="L7" s="21">
        <f t="shared" si="1"/>
        <v>0</v>
      </c>
      <c r="M7" s="32"/>
      <c r="N7" s="32"/>
      <c r="O7" s="21">
        <f t="shared" si="2"/>
        <v>0</v>
      </c>
      <c r="P7" s="32"/>
      <c r="Q7" s="21">
        <f t="shared" si="3"/>
        <v>0</v>
      </c>
      <c r="R7" s="26">
        <f t="shared" si="4"/>
        <v>0</v>
      </c>
      <c r="S7" s="42"/>
      <c r="T7" s="42"/>
      <c r="U7" s="42"/>
      <c r="V7" s="42"/>
      <c r="W7" s="42"/>
      <c r="X7" s="42"/>
      <c r="Y7" s="42"/>
      <c r="Z7" s="42"/>
      <c r="AA7" s="42"/>
      <c r="AB7" s="42"/>
      <c r="AC7" s="42"/>
    </row>
    <row r="8" hidden="1">
      <c r="A8" s="11"/>
      <c r="B8" s="11" t="s">
        <v>107</v>
      </c>
      <c r="C8" s="34" t="s">
        <v>51</v>
      </c>
      <c r="D8" s="34" t="s">
        <v>108</v>
      </c>
      <c r="E8" s="34" t="s">
        <v>109</v>
      </c>
      <c r="F8" s="34" t="s">
        <v>110</v>
      </c>
      <c r="G8" s="34">
        <v>2018.0</v>
      </c>
      <c r="H8" s="32"/>
      <c r="I8" s="32"/>
      <c r="J8" s="32"/>
      <c r="K8" s="32"/>
      <c r="L8" s="21">
        <f t="shared" si="1"/>
        <v>0</v>
      </c>
      <c r="M8" s="32"/>
      <c r="N8" s="32"/>
      <c r="O8" s="21">
        <f t="shared" si="2"/>
        <v>0</v>
      </c>
      <c r="P8" s="32"/>
      <c r="Q8" s="21">
        <f t="shared" si="3"/>
        <v>0</v>
      </c>
      <c r="R8" s="26">
        <f t="shared" si="4"/>
        <v>0</v>
      </c>
      <c r="S8" s="42"/>
      <c r="T8" s="42"/>
      <c r="U8" s="42"/>
      <c r="V8" s="42"/>
      <c r="W8" s="42"/>
      <c r="X8" s="42"/>
      <c r="Y8" s="42"/>
      <c r="Z8" s="42"/>
      <c r="AA8" s="42"/>
      <c r="AB8" s="42"/>
      <c r="AC8" s="42"/>
    </row>
    <row r="9" hidden="1">
      <c r="A9" s="11"/>
      <c r="B9" s="11" t="s">
        <v>111</v>
      </c>
      <c r="C9" s="34" t="s">
        <v>77</v>
      </c>
      <c r="D9" s="34" t="s">
        <v>112</v>
      </c>
      <c r="E9" s="34" t="s">
        <v>113</v>
      </c>
      <c r="F9" s="34" t="s">
        <v>114</v>
      </c>
      <c r="G9" s="34">
        <v>2019.0</v>
      </c>
      <c r="H9" s="32"/>
      <c r="I9" s="32"/>
      <c r="J9" s="32"/>
      <c r="K9" s="32"/>
      <c r="L9" s="21">
        <f t="shared" si="1"/>
        <v>0</v>
      </c>
      <c r="M9" s="32"/>
      <c r="N9" s="32"/>
      <c r="O9" s="21">
        <f t="shared" si="2"/>
        <v>0</v>
      </c>
      <c r="P9" s="32"/>
      <c r="Q9" s="21">
        <f t="shared" si="3"/>
        <v>0</v>
      </c>
      <c r="R9" s="26">
        <f t="shared" si="4"/>
        <v>0</v>
      </c>
    </row>
    <row r="10" hidden="1">
      <c r="A10" s="27" t="s">
        <v>117</v>
      </c>
      <c r="B10" s="27" t="s">
        <v>118</v>
      </c>
      <c r="C10" s="48" t="s">
        <v>51</v>
      </c>
      <c r="D10" s="48" t="s">
        <v>119</v>
      </c>
      <c r="E10" s="48" t="s">
        <v>120</v>
      </c>
      <c r="F10" s="48" t="s">
        <v>110</v>
      </c>
      <c r="G10" s="48">
        <v>2009.0</v>
      </c>
      <c r="H10" s="32"/>
      <c r="I10" s="32"/>
      <c r="J10" s="32"/>
      <c r="K10" s="32"/>
      <c r="L10" s="21">
        <f t="shared" si="1"/>
        <v>0</v>
      </c>
      <c r="M10" s="32"/>
      <c r="N10" s="32"/>
      <c r="O10" s="21">
        <f t="shared" si="2"/>
        <v>0</v>
      </c>
      <c r="P10" s="32"/>
      <c r="Q10" s="21">
        <f t="shared" si="3"/>
        <v>0</v>
      </c>
      <c r="R10" s="26">
        <f t="shared" si="4"/>
        <v>0</v>
      </c>
      <c r="S10" s="42"/>
      <c r="T10" s="42"/>
      <c r="U10" s="42"/>
      <c r="V10" s="42"/>
      <c r="W10" s="42"/>
      <c r="X10" s="42"/>
    </row>
    <row r="11">
      <c r="A11" s="27" t="s">
        <v>117</v>
      </c>
      <c r="B11" s="27" t="s">
        <v>124</v>
      </c>
      <c r="C11" s="48" t="s">
        <v>51</v>
      </c>
      <c r="D11" s="48" t="s">
        <v>125</v>
      </c>
      <c r="E11" s="48" t="s">
        <v>126</v>
      </c>
      <c r="F11" s="48" t="s">
        <v>127</v>
      </c>
      <c r="G11" s="48">
        <v>2012.0</v>
      </c>
      <c r="H11" s="17">
        <v>1.0</v>
      </c>
      <c r="I11" s="17">
        <v>1.0</v>
      </c>
      <c r="J11" s="17">
        <v>1.0</v>
      </c>
      <c r="K11" s="17">
        <v>1.0</v>
      </c>
      <c r="L11" s="21">
        <f t="shared" si="1"/>
        <v>4</v>
      </c>
      <c r="M11" s="17">
        <v>0.0</v>
      </c>
      <c r="N11" s="17">
        <v>0.0</v>
      </c>
      <c r="O11" s="21">
        <f t="shared" si="2"/>
        <v>0</v>
      </c>
      <c r="P11" s="17">
        <v>1.0</v>
      </c>
      <c r="Q11" s="21">
        <f t="shared" si="3"/>
        <v>1</v>
      </c>
      <c r="R11" s="26">
        <f t="shared" si="4"/>
        <v>2</v>
      </c>
      <c r="S11" s="42"/>
      <c r="T11" s="42"/>
      <c r="U11" s="42"/>
      <c r="V11" s="42"/>
      <c r="W11" s="42"/>
      <c r="X11" s="42"/>
    </row>
    <row r="12" hidden="1">
      <c r="A12" s="27"/>
      <c r="B12" s="27" t="s">
        <v>129</v>
      </c>
      <c r="C12" s="48" t="s">
        <v>77</v>
      </c>
      <c r="D12" s="48" t="s">
        <v>130</v>
      </c>
      <c r="E12" s="48" t="s">
        <v>131</v>
      </c>
      <c r="F12" s="48" t="s">
        <v>132</v>
      </c>
      <c r="G12" s="48">
        <v>2008.0</v>
      </c>
      <c r="H12" s="32"/>
      <c r="I12" s="32"/>
      <c r="J12" s="32"/>
      <c r="K12" s="32"/>
      <c r="L12" s="21">
        <f t="shared" si="1"/>
        <v>0</v>
      </c>
      <c r="M12" s="32"/>
      <c r="N12" s="32"/>
      <c r="O12" s="21">
        <f t="shared" si="2"/>
        <v>0</v>
      </c>
      <c r="P12" s="32"/>
      <c r="Q12" s="21">
        <f t="shared" si="3"/>
        <v>0</v>
      </c>
      <c r="R12" s="26">
        <f t="shared" si="4"/>
        <v>0</v>
      </c>
      <c r="S12" s="42"/>
      <c r="T12" s="42"/>
      <c r="U12" s="42"/>
      <c r="V12" s="42"/>
      <c r="W12" s="42"/>
      <c r="X12" s="42"/>
    </row>
    <row r="13" hidden="1">
      <c r="A13" s="27"/>
      <c r="B13" s="27" t="s">
        <v>133</v>
      </c>
      <c r="C13" s="27" t="s">
        <v>51</v>
      </c>
      <c r="D13" s="27" t="s">
        <v>134</v>
      </c>
      <c r="E13" s="27" t="s">
        <v>135</v>
      </c>
      <c r="F13" s="27" t="s">
        <v>136</v>
      </c>
      <c r="G13" s="27">
        <v>2011.0</v>
      </c>
      <c r="H13" s="32"/>
      <c r="I13" s="32"/>
      <c r="J13" s="32"/>
      <c r="K13" s="32"/>
      <c r="L13" s="21">
        <f t="shared" si="1"/>
        <v>0</v>
      </c>
      <c r="M13" s="32"/>
      <c r="N13" s="32"/>
      <c r="O13" s="21">
        <f t="shared" si="2"/>
        <v>0</v>
      </c>
      <c r="P13" s="32"/>
      <c r="Q13" s="21">
        <f t="shared" si="3"/>
        <v>0</v>
      </c>
      <c r="R13" s="26">
        <f t="shared" si="4"/>
        <v>0</v>
      </c>
      <c r="S13" s="42"/>
      <c r="T13" s="42"/>
      <c r="U13" s="42"/>
      <c r="V13" s="42"/>
      <c r="W13" s="42"/>
      <c r="X13" s="42"/>
    </row>
    <row r="14" hidden="1">
      <c r="A14" s="27"/>
      <c r="B14" s="27" t="s">
        <v>137</v>
      </c>
      <c r="C14" s="27" t="s">
        <v>51</v>
      </c>
      <c r="D14" s="27" t="s">
        <v>138</v>
      </c>
      <c r="E14" s="27" t="s">
        <v>139</v>
      </c>
      <c r="F14" s="27" t="s">
        <v>140</v>
      </c>
      <c r="G14" s="27">
        <v>2008.0</v>
      </c>
      <c r="H14" s="32"/>
      <c r="I14" s="32"/>
      <c r="J14" s="32"/>
      <c r="K14" s="32"/>
      <c r="L14" s="21">
        <f t="shared" si="1"/>
        <v>0</v>
      </c>
      <c r="M14" s="32"/>
      <c r="N14" s="32"/>
      <c r="O14" s="21">
        <f t="shared" si="2"/>
        <v>0</v>
      </c>
      <c r="P14" s="32"/>
      <c r="Q14" s="21">
        <f t="shared" si="3"/>
        <v>0</v>
      </c>
      <c r="R14" s="26">
        <f t="shared" si="4"/>
        <v>0</v>
      </c>
      <c r="S14" s="42"/>
      <c r="T14" s="42"/>
      <c r="U14" s="42"/>
      <c r="V14" s="42"/>
      <c r="W14" s="42"/>
      <c r="X14" s="42"/>
    </row>
    <row r="15" hidden="1">
      <c r="A15" s="27"/>
      <c r="B15" s="27" t="s">
        <v>143</v>
      </c>
      <c r="C15" s="27" t="s">
        <v>51</v>
      </c>
      <c r="D15" s="27" t="s">
        <v>144</v>
      </c>
      <c r="E15" s="27" t="s">
        <v>145</v>
      </c>
      <c r="F15" s="27" t="s">
        <v>147</v>
      </c>
      <c r="G15" s="27">
        <v>2012.0</v>
      </c>
      <c r="H15" s="32"/>
      <c r="I15" s="32"/>
      <c r="J15" s="32"/>
      <c r="K15" s="32"/>
      <c r="L15" s="21">
        <f t="shared" si="1"/>
        <v>0</v>
      </c>
      <c r="M15" s="32"/>
      <c r="N15" s="32"/>
      <c r="O15" s="21">
        <f t="shared" si="2"/>
        <v>0</v>
      </c>
      <c r="P15" s="32"/>
      <c r="Q15" s="21">
        <f t="shared" si="3"/>
        <v>0</v>
      </c>
      <c r="R15" s="26">
        <f t="shared" si="4"/>
        <v>0</v>
      </c>
      <c r="S15" s="42"/>
      <c r="T15" s="42"/>
      <c r="U15" s="42"/>
      <c r="V15" s="42"/>
      <c r="W15" s="42"/>
      <c r="X15" s="42"/>
    </row>
    <row r="16" hidden="1">
      <c r="A16" s="27"/>
      <c r="B16" s="27" t="s">
        <v>148</v>
      </c>
      <c r="C16" s="27" t="s">
        <v>51</v>
      </c>
      <c r="D16" s="27" t="s">
        <v>149</v>
      </c>
      <c r="E16" s="27" t="s">
        <v>150</v>
      </c>
      <c r="F16" s="27" t="s">
        <v>151</v>
      </c>
      <c r="G16" s="27">
        <v>2011.0</v>
      </c>
      <c r="H16" s="32"/>
      <c r="I16" s="32"/>
      <c r="J16" s="32"/>
      <c r="K16" s="32"/>
      <c r="L16" s="21">
        <f t="shared" si="1"/>
        <v>0</v>
      </c>
      <c r="M16" s="32"/>
      <c r="N16" s="32"/>
      <c r="O16" s="21">
        <f t="shared" si="2"/>
        <v>0</v>
      </c>
      <c r="P16" s="32"/>
      <c r="Q16" s="21">
        <f t="shared" si="3"/>
        <v>0</v>
      </c>
      <c r="R16" s="26">
        <f t="shared" si="4"/>
        <v>0</v>
      </c>
      <c r="S16" s="42"/>
      <c r="T16" s="42"/>
      <c r="U16" s="42"/>
      <c r="V16" s="42"/>
      <c r="W16" s="42"/>
      <c r="X16" s="42"/>
    </row>
    <row r="17" hidden="1">
      <c r="A17" s="56"/>
      <c r="B17" s="27" t="s">
        <v>156</v>
      </c>
      <c r="C17" s="27" t="s">
        <v>51</v>
      </c>
      <c r="D17" s="57" t="s">
        <v>138</v>
      </c>
      <c r="E17" s="57" t="s">
        <v>160</v>
      </c>
      <c r="F17" s="27" t="s">
        <v>161</v>
      </c>
      <c r="G17" s="27">
        <v>2012.0</v>
      </c>
      <c r="H17" s="32"/>
      <c r="I17" s="32"/>
      <c r="J17" s="32"/>
      <c r="K17" s="32"/>
      <c r="L17" s="21">
        <f t="shared" si="1"/>
        <v>0</v>
      </c>
      <c r="M17" s="32"/>
      <c r="N17" s="32"/>
      <c r="O17" s="21">
        <f t="shared" si="2"/>
        <v>0</v>
      </c>
      <c r="P17" s="32"/>
      <c r="Q17" s="21">
        <f t="shared" si="3"/>
        <v>0</v>
      </c>
      <c r="R17" s="26">
        <f t="shared" si="4"/>
        <v>0</v>
      </c>
    </row>
    <row r="18" hidden="1">
      <c r="A18" s="59"/>
      <c r="B18" s="27" t="s">
        <v>167</v>
      </c>
      <c r="C18" s="27" t="s">
        <v>51</v>
      </c>
      <c r="D18" s="57" t="s">
        <v>138</v>
      </c>
      <c r="E18" s="57" t="s">
        <v>168</v>
      </c>
      <c r="F18" s="27" t="s">
        <v>169</v>
      </c>
      <c r="G18" s="27">
        <v>2012.0</v>
      </c>
      <c r="H18" s="32"/>
      <c r="I18" s="32"/>
      <c r="J18" s="32"/>
      <c r="K18" s="32"/>
      <c r="L18" s="21">
        <f t="shared" si="1"/>
        <v>0</v>
      </c>
      <c r="M18" s="32"/>
      <c r="N18" s="32"/>
      <c r="O18" s="21">
        <f t="shared" si="2"/>
        <v>0</v>
      </c>
      <c r="P18" s="32"/>
      <c r="Q18" s="21">
        <f t="shared" si="3"/>
        <v>0</v>
      </c>
      <c r="R18" s="26">
        <f t="shared" si="4"/>
        <v>0</v>
      </c>
    </row>
    <row r="19">
      <c r="A19" s="4" t="s">
        <v>158</v>
      </c>
      <c r="B19" s="4" t="s">
        <v>159</v>
      </c>
      <c r="C19" s="4" t="s">
        <v>51</v>
      </c>
      <c r="D19" s="58" t="s">
        <v>162</v>
      </c>
      <c r="E19" s="58" t="s">
        <v>164</v>
      </c>
      <c r="F19" s="4" t="s">
        <v>165</v>
      </c>
      <c r="G19" s="4">
        <v>2016.0</v>
      </c>
      <c r="H19" s="17">
        <v>1.0</v>
      </c>
      <c r="I19" s="17">
        <v>1.0</v>
      </c>
      <c r="J19" s="17">
        <v>1.0</v>
      </c>
      <c r="K19" s="17">
        <v>1.0</v>
      </c>
      <c r="L19" s="21">
        <f t="shared" si="1"/>
        <v>4</v>
      </c>
      <c r="M19" s="17">
        <v>0.0</v>
      </c>
      <c r="N19" s="17">
        <v>0.0</v>
      </c>
      <c r="O19" s="21">
        <f t="shared" si="2"/>
        <v>0</v>
      </c>
      <c r="P19" s="17">
        <v>1.0</v>
      </c>
      <c r="Q19" s="21">
        <f t="shared" si="3"/>
        <v>1</v>
      </c>
      <c r="R19" s="26">
        <f t="shared" si="4"/>
        <v>2</v>
      </c>
    </row>
    <row r="20">
      <c r="A20" s="27" t="s">
        <v>171</v>
      </c>
      <c r="B20" s="27" t="s">
        <v>172</v>
      </c>
      <c r="C20" s="27" t="s">
        <v>51</v>
      </c>
      <c r="D20" s="60" t="s">
        <v>138</v>
      </c>
      <c r="E20" s="60" t="s">
        <v>174</v>
      </c>
      <c r="F20" s="27" t="s">
        <v>175</v>
      </c>
      <c r="G20" s="27">
        <v>2013.0</v>
      </c>
      <c r="H20" s="17">
        <v>1.0</v>
      </c>
      <c r="I20" s="17">
        <v>1.0</v>
      </c>
      <c r="J20" s="17">
        <v>1.0</v>
      </c>
      <c r="K20" s="17">
        <v>1.0</v>
      </c>
      <c r="L20" s="21">
        <f t="shared" si="1"/>
        <v>4</v>
      </c>
      <c r="M20" s="17">
        <v>0.0</v>
      </c>
      <c r="N20" s="17">
        <v>0.0</v>
      </c>
      <c r="O20" s="21">
        <f t="shared" si="2"/>
        <v>0</v>
      </c>
      <c r="P20" s="17">
        <v>1.0</v>
      </c>
      <c r="Q20" s="21">
        <f t="shared" si="3"/>
        <v>1</v>
      </c>
      <c r="R20" s="26">
        <f t="shared" si="4"/>
        <v>2</v>
      </c>
    </row>
    <row r="21" hidden="1">
      <c r="A21" s="4" t="s">
        <v>178</v>
      </c>
      <c r="B21" s="4" t="s">
        <v>187</v>
      </c>
      <c r="C21" s="4" t="s">
        <v>51</v>
      </c>
      <c r="D21" s="61" t="s">
        <v>189</v>
      </c>
      <c r="E21" s="61" t="s">
        <v>192</v>
      </c>
      <c r="F21" s="4" t="s">
        <v>54</v>
      </c>
      <c r="G21" s="4">
        <v>2021.0</v>
      </c>
      <c r="H21" s="32"/>
      <c r="I21" s="32"/>
      <c r="J21" s="32"/>
      <c r="K21" s="32"/>
      <c r="L21" s="21">
        <f t="shared" si="1"/>
        <v>0</v>
      </c>
      <c r="M21" s="32"/>
      <c r="N21" s="32"/>
      <c r="O21" s="21">
        <f t="shared" si="2"/>
        <v>0</v>
      </c>
      <c r="P21" s="32"/>
      <c r="Q21" s="21">
        <f t="shared" si="3"/>
        <v>0</v>
      </c>
      <c r="R21" s="26">
        <f t="shared" si="4"/>
        <v>0</v>
      </c>
    </row>
    <row r="22" hidden="1">
      <c r="B22" s="4" t="s">
        <v>197</v>
      </c>
      <c r="C22" s="66" t="s">
        <v>51</v>
      </c>
      <c r="D22" s="66" t="s">
        <v>198</v>
      </c>
      <c r="E22" s="66" t="s">
        <v>200</v>
      </c>
      <c r="F22" s="66" t="s">
        <v>54</v>
      </c>
      <c r="G22" s="66">
        <v>2017.0</v>
      </c>
      <c r="H22" s="32"/>
      <c r="I22" s="32"/>
      <c r="J22" s="32"/>
      <c r="K22" s="32"/>
      <c r="L22" s="21">
        <f t="shared" si="1"/>
        <v>0</v>
      </c>
      <c r="M22" s="32"/>
      <c r="N22" s="32"/>
      <c r="O22" s="21">
        <f t="shared" si="2"/>
        <v>0</v>
      </c>
      <c r="P22" s="32"/>
      <c r="Q22" s="21">
        <f t="shared" si="3"/>
        <v>0</v>
      </c>
      <c r="R22" s="26">
        <f t="shared" si="4"/>
        <v>0</v>
      </c>
    </row>
    <row r="23" hidden="1">
      <c r="B23" s="4" t="s">
        <v>202</v>
      </c>
      <c r="C23" s="4" t="s">
        <v>51</v>
      </c>
      <c r="D23" s="4" t="s">
        <v>203</v>
      </c>
      <c r="E23" s="4" t="s">
        <v>204</v>
      </c>
      <c r="F23" s="4" t="s">
        <v>205</v>
      </c>
      <c r="G23" s="4">
        <v>2013.0</v>
      </c>
      <c r="H23" s="32"/>
      <c r="I23" s="32"/>
      <c r="J23" s="32"/>
      <c r="K23" s="32"/>
      <c r="L23" s="21">
        <f t="shared" si="1"/>
        <v>0</v>
      </c>
      <c r="M23" s="32"/>
      <c r="N23" s="32"/>
      <c r="O23" s="21">
        <f t="shared" si="2"/>
        <v>0</v>
      </c>
      <c r="P23" s="32"/>
      <c r="Q23" s="21">
        <f t="shared" si="3"/>
        <v>0</v>
      </c>
      <c r="R23" s="26">
        <f t="shared" si="4"/>
        <v>0</v>
      </c>
    </row>
    <row r="24" hidden="1">
      <c r="B24" s="4" t="s">
        <v>212</v>
      </c>
      <c r="C24" s="4" t="s">
        <v>77</v>
      </c>
      <c r="D24" s="4" t="s">
        <v>214</v>
      </c>
      <c r="E24" s="4" t="s">
        <v>215</v>
      </c>
      <c r="F24" s="4" t="s">
        <v>80</v>
      </c>
      <c r="G24" s="4">
        <v>2015.0</v>
      </c>
      <c r="H24" s="32"/>
      <c r="I24" s="32"/>
      <c r="J24" s="32"/>
      <c r="K24" s="32"/>
      <c r="L24" s="21">
        <f t="shared" si="1"/>
        <v>0</v>
      </c>
      <c r="M24" s="32"/>
      <c r="N24" s="32"/>
      <c r="O24" s="21">
        <f t="shared" si="2"/>
        <v>0</v>
      </c>
      <c r="P24" s="32"/>
      <c r="Q24" s="21">
        <f t="shared" si="3"/>
        <v>0</v>
      </c>
      <c r="R24" s="26">
        <f t="shared" si="4"/>
        <v>0</v>
      </c>
    </row>
    <row r="25">
      <c r="A25" s="4" t="s">
        <v>178</v>
      </c>
      <c r="B25" s="4" t="s">
        <v>179</v>
      </c>
      <c r="C25" s="4" t="s">
        <v>77</v>
      </c>
      <c r="D25" s="4" t="s">
        <v>180</v>
      </c>
      <c r="E25" s="4" t="s">
        <v>181</v>
      </c>
      <c r="F25" s="4" t="s">
        <v>182</v>
      </c>
      <c r="G25" s="4">
        <v>2016.0</v>
      </c>
      <c r="H25" s="17">
        <v>1.0</v>
      </c>
      <c r="I25" s="17">
        <v>1.0</v>
      </c>
      <c r="J25" s="17">
        <v>1.0</v>
      </c>
      <c r="K25" s="17">
        <v>1.0</v>
      </c>
      <c r="L25" s="21">
        <f t="shared" si="1"/>
        <v>4</v>
      </c>
      <c r="M25" s="17">
        <v>1.0</v>
      </c>
      <c r="N25" s="17">
        <v>1.0</v>
      </c>
      <c r="O25" s="21">
        <f t="shared" si="2"/>
        <v>2</v>
      </c>
      <c r="P25" s="17">
        <v>1.0</v>
      </c>
      <c r="Q25" s="21">
        <f t="shared" si="3"/>
        <v>1</v>
      </c>
      <c r="R25" s="26">
        <f t="shared" si="4"/>
        <v>3</v>
      </c>
    </row>
    <row r="26">
      <c r="A26" s="27" t="s">
        <v>185</v>
      </c>
      <c r="B26" s="27" t="s">
        <v>186</v>
      </c>
      <c r="C26" s="27" t="s">
        <v>77</v>
      </c>
      <c r="D26" s="27" t="s">
        <v>188</v>
      </c>
      <c r="E26" s="27" t="s">
        <v>190</v>
      </c>
      <c r="F26" s="27" t="s">
        <v>191</v>
      </c>
      <c r="G26" s="27">
        <v>2018.0</v>
      </c>
      <c r="H26" s="17">
        <v>1.0</v>
      </c>
      <c r="I26" s="17">
        <v>1.0</v>
      </c>
      <c r="J26" s="17">
        <v>1.0</v>
      </c>
      <c r="K26" s="17">
        <v>0.0</v>
      </c>
      <c r="L26" s="21">
        <f t="shared" si="1"/>
        <v>3</v>
      </c>
      <c r="M26" s="17">
        <v>1.0</v>
      </c>
      <c r="N26" s="17">
        <v>0.0</v>
      </c>
      <c r="O26" s="21">
        <f t="shared" si="2"/>
        <v>1</v>
      </c>
      <c r="P26" s="17">
        <v>1.0</v>
      </c>
      <c r="Q26" s="21">
        <f t="shared" si="3"/>
        <v>1</v>
      </c>
      <c r="R26" s="26">
        <f t="shared" si="4"/>
        <v>2.25</v>
      </c>
    </row>
    <row r="27" hidden="1">
      <c r="A27" s="27"/>
      <c r="B27" s="27" t="s">
        <v>233</v>
      </c>
      <c r="C27" s="48" t="s">
        <v>51</v>
      </c>
      <c r="D27" s="48" t="s">
        <v>234</v>
      </c>
      <c r="E27" s="48" t="s">
        <v>235</v>
      </c>
      <c r="F27" s="48" t="s">
        <v>236</v>
      </c>
      <c r="G27" s="48">
        <v>2015.0</v>
      </c>
      <c r="H27" s="32"/>
      <c r="I27" s="32"/>
      <c r="J27" s="32"/>
      <c r="K27" s="32"/>
      <c r="L27" s="21">
        <f t="shared" si="1"/>
        <v>0</v>
      </c>
      <c r="M27" s="32"/>
      <c r="N27" s="32"/>
      <c r="O27" s="21">
        <f t="shared" si="2"/>
        <v>0</v>
      </c>
      <c r="P27" s="32"/>
      <c r="Q27" s="21">
        <f t="shared" si="3"/>
        <v>0</v>
      </c>
      <c r="R27" s="26">
        <f t="shared" si="4"/>
        <v>0</v>
      </c>
    </row>
    <row r="28">
      <c r="A28" s="70" t="s">
        <v>238</v>
      </c>
      <c r="B28" s="70" t="s">
        <v>244</v>
      </c>
      <c r="C28" s="71" t="s">
        <v>51</v>
      </c>
      <c r="D28" s="71" t="s">
        <v>245</v>
      </c>
      <c r="E28" s="71" t="s">
        <v>247</v>
      </c>
      <c r="F28" s="71" t="s">
        <v>248</v>
      </c>
      <c r="G28" s="71">
        <v>2015.0</v>
      </c>
      <c r="H28" s="17">
        <v>1.0</v>
      </c>
      <c r="I28" s="17">
        <v>0.0</v>
      </c>
      <c r="J28" s="17">
        <v>0.0</v>
      </c>
      <c r="K28" s="17">
        <v>0.0</v>
      </c>
      <c r="L28" s="21">
        <f t="shared" si="1"/>
        <v>1</v>
      </c>
      <c r="M28" s="17">
        <v>0.0</v>
      </c>
      <c r="N28" s="17">
        <v>0.0</v>
      </c>
      <c r="O28" s="21">
        <f t="shared" si="2"/>
        <v>0</v>
      </c>
      <c r="P28" s="17">
        <v>0.5</v>
      </c>
      <c r="Q28" s="21">
        <f t="shared" si="3"/>
        <v>0.5</v>
      </c>
      <c r="R28" s="72">
        <f t="shared" si="4"/>
        <v>0.75</v>
      </c>
    </row>
    <row r="29">
      <c r="A29" s="27" t="s">
        <v>195</v>
      </c>
      <c r="B29" s="27" t="s">
        <v>196</v>
      </c>
      <c r="C29" s="25" t="s">
        <v>51</v>
      </c>
      <c r="D29" s="25" t="s">
        <v>199</v>
      </c>
      <c r="E29" s="25" t="s">
        <v>201</v>
      </c>
      <c r="F29" s="25" t="s">
        <v>54</v>
      </c>
      <c r="G29" s="25">
        <v>2016.0</v>
      </c>
      <c r="H29" s="17">
        <v>1.0</v>
      </c>
      <c r="I29" s="17">
        <v>1.0</v>
      </c>
      <c r="J29" s="17">
        <v>1.0</v>
      </c>
      <c r="K29" s="17">
        <v>0.0</v>
      </c>
      <c r="L29" s="21">
        <f t="shared" si="1"/>
        <v>3</v>
      </c>
      <c r="M29" s="17">
        <v>0.5</v>
      </c>
      <c r="N29" s="17">
        <v>0.0</v>
      </c>
      <c r="O29" s="21">
        <f t="shared" si="2"/>
        <v>0.5</v>
      </c>
      <c r="P29" s="17">
        <v>1.0</v>
      </c>
      <c r="Q29" s="21">
        <f t="shared" si="3"/>
        <v>1</v>
      </c>
      <c r="R29" s="26">
        <f t="shared" si="4"/>
        <v>2</v>
      </c>
    </row>
    <row r="30">
      <c r="A30" s="70" t="s">
        <v>263</v>
      </c>
      <c r="B30" s="70" t="s">
        <v>264</v>
      </c>
      <c r="C30" s="71" t="s">
        <v>77</v>
      </c>
      <c r="D30" s="71" t="s">
        <v>265</v>
      </c>
      <c r="E30" s="71" t="s">
        <v>266</v>
      </c>
      <c r="F30" s="71" t="s">
        <v>98</v>
      </c>
      <c r="G30" s="71">
        <v>2018.0</v>
      </c>
      <c r="H30" s="17">
        <v>0.5</v>
      </c>
      <c r="I30" s="17">
        <v>0.5</v>
      </c>
      <c r="J30" s="17">
        <v>0.5</v>
      </c>
      <c r="K30" s="17">
        <v>0.0</v>
      </c>
      <c r="L30" s="21">
        <f t="shared" si="1"/>
        <v>1.5</v>
      </c>
      <c r="M30" s="17">
        <v>0.0</v>
      </c>
      <c r="N30" s="17">
        <v>0.0</v>
      </c>
      <c r="O30" s="21">
        <f t="shared" si="2"/>
        <v>0</v>
      </c>
      <c r="P30" s="17">
        <v>0.5</v>
      </c>
      <c r="Q30" s="21">
        <f t="shared" si="3"/>
        <v>0.5</v>
      </c>
      <c r="R30" s="72">
        <f t="shared" si="4"/>
        <v>0.875</v>
      </c>
    </row>
    <row r="31" hidden="1">
      <c r="A31" s="27" t="s">
        <v>208</v>
      </c>
      <c r="B31" s="27" t="s">
        <v>271</v>
      </c>
      <c r="C31" s="48" t="s">
        <v>77</v>
      </c>
      <c r="D31" s="48" t="s">
        <v>274</v>
      </c>
      <c r="E31" s="48" t="s">
        <v>276</v>
      </c>
      <c r="F31" s="48" t="s">
        <v>278</v>
      </c>
      <c r="G31" s="48">
        <v>2017.0</v>
      </c>
      <c r="H31" s="32"/>
      <c r="I31" s="32"/>
      <c r="J31" s="32"/>
      <c r="K31" s="32"/>
      <c r="L31" s="21">
        <f t="shared" si="1"/>
        <v>0</v>
      </c>
      <c r="M31" s="32"/>
      <c r="N31" s="32"/>
      <c r="O31" s="21">
        <f t="shared" si="2"/>
        <v>0</v>
      </c>
      <c r="P31" s="32"/>
      <c r="Q31" s="21">
        <f t="shared" si="3"/>
        <v>0</v>
      </c>
      <c r="R31" s="26">
        <f t="shared" si="4"/>
        <v>0</v>
      </c>
    </row>
    <row r="32">
      <c r="A32" s="27" t="s">
        <v>208</v>
      </c>
      <c r="B32" s="27" t="s">
        <v>209</v>
      </c>
      <c r="C32" s="27" t="s">
        <v>77</v>
      </c>
      <c r="D32" s="60" t="s">
        <v>210</v>
      </c>
      <c r="E32" s="60" t="s">
        <v>211</v>
      </c>
      <c r="F32" s="27" t="s">
        <v>213</v>
      </c>
      <c r="G32" s="27">
        <v>2023.0</v>
      </c>
      <c r="H32" s="17">
        <v>1.0</v>
      </c>
      <c r="I32" s="17">
        <v>1.0</v>
      </c>
      <c r="J32" s="17">
        <v>1.0</v>
      </c>
      <c r="K32" s="17">
        <v>0.0</v>
      </c>
      <c r="L32" s="21">
        <f t="shared" si="1"/>
        <v>3</v>
      </c>
      <c r="M32" s="17">
        <v>0.0</v>
      </c>
      <c r="N32" s="17">
        <v>0.0</v>
      </c>
      <c r="O32" s="21">
        <f t="shared" si="2"/>
        <v>0</v>
      </c>
      <c r="P32" s="17">
        <v>1.0</v>
      </c>
      <c r="Q32" s="21">
        <f t="shared" si="3"/>
        <v>1</v>
      </c>
      <c r="R32" s="26">
        <f t="shared" si="4"/>
        <v>1.75</v>
      </c>
    </row>
    <row r="33">
      <c r="A33" s="70" t="s">
        <v>285</v>
      </c>
      <c r="B33" s="70" t="s">
        <v>286</v>
      </c>
      <c r="C33" s="71" t="s">
        <v>51</v>
      </c>
      <c r="D33" s="71" t="s">
        <v>287</v>
      </c>
      <c r="E33" s="71" t="s">
        <v>288</v>
      </c>
      <c r="F33" s="71" t="s">
        <v>289</v>
      </c>
      <c r="G33" s="71">
        <v>2015.0</v>
      </c>
      <c r="H33" s="17">
        <v>1.0</v>
      </c>
      <c r="I33" s="17">
        <v>0.0</v>
      </c>
      <c r="J33" s="17">
        <v>0.5</v>
      </c>
      <c r="K33" s="17">
        <v>0.0</v>
      </c>
      <c r="L33" s="21">
        <f t="shared" si="1"/>
        <v>1.5</v>
      </c>
      <c r="M33" s="17">
        <v>0.0</v>
      </c>
      <c r="N33" s="17">
        <v>0.0</v>
      </c>
      <c r="O33" s="21">
        <f t="shared" si="2"/>
        <v>0</v>
      </c>
      <c r="P33" s="17">
        <v>1.0</v>
      </c>
      <c r="Q33" s="21">
        <f t="shared" si="3"/>
        <v>1</v>
      </c>
      <c r="R33" s="72">
        <f t="shared" si="4"/>
        <v>1.375</v>
      </c>
    </row>
    <row r="34">
      <c r="A34" s="27" t="s">
        <v>219</v>
      </c>
      <c r="B34" s="27" t="s">
        <v>220</v>
      </c>
      <c r="C34" s="27" t="s">
        <v>77</v>
      </c>
      <c r="D34" s="60" t="s">
        <v>221</v>
      </c>
      <c r="E34" s="60" t="s">
        <v>222</v>
      </c>
      <c r="F34" s="27" t="s">
        <v>223</v>
      </c>
      <c r="G34" s="27">
        <v>2017.0</v>
      </c>
      <c r="H34" s="17">
        <v>1.0</v>
      </c>
      <c r="I34" s="17">
        <v>0.5</v>
      </c>
      <c r="J34" s="17">
        <v>0.5</v>
      </c>
      <c r="K34" s="17">
        <v>0.0</v>
      </c>
      <c r="L34" s="21">
        <f t="shared" si="1"/>
        <v>2</v>
      </c>
      <c r="M34" s="17">
        <v>0.0</v>
      </c>
      <c r="N34" s="17">
        <v>0.0</v>
      </c>
      <c r="O34" s="21">
        <f t="shared" si="2"/>
        <v>0</v>
      </c>
      <c r="P34" s="17">
        <v>1.0</v>
      </c>
      <c r="Q34" s="21">
        <f t="shared" si="3"/>
        <v>1</v>
      </c>
      <c r="R34" s="26">
        <f t="shared" si="4"/>
        <v>1.5</v>
      </c>
    </row>
    <row r="35">
      <c r="A35" s="70" t="s">
        <v>304</v>
      </c>
      <c r="B35" s="70" t="s">
        <v>306</v>
      </c>
      <c r="C35" s="70" t="s">
        <v>51</v>
      </c>
      <c r="D35" s="74" t="s">
        <v>221</v>
      </c>
      <c r="E35" s="75" t="s">
        <v>309</v>
      </c>
      <c r="F35" s="70" t="s">
        <v>310</v>
      </c>
      <c r="G35" s="70">
        <v>2013.0</v>
      </c>
      <c r="H35" s="17">
        <v>0.0</v>
      </c>
      <c r="I35" s="17">
        <v>0.0</v>
      </c>
      <c r="J35" s="17">
        <v>0.0</v>
      </c>
      <c r="K35" s="17">
        <v>0.0</v>
      </c>
      <c r="L35" s="21">
        <f t="shared" si="1"/>
        <v>0</v>
      </c>
      <c r="M35" s="17">
        <v>0.0</v>
      </c>
      <c r="N35" s="17">
        <v>0.0</v>
      </c>
      <c r="O35" s="21">
        <f t="shared" si="2"/>
        <v>0</v>
      </c>
      <c r="P35" s="17">
        <v>0.5</v>
      </c>
      <c r="Q35" s="21">
        <f t="shared" si="3"/>
        <v>0.5</v>
      </c>
      <c r="R35" s="72">
        <f t="shared" si="4"/>
        <v>0.5</v>
      </c>
    </row>
    <row r="36">
      <c r="A36" s="70" t="s">
        <v>386</v>
      </c>
      <c r="B36" s="70" t="s">
        <v>388</v>
      </c>
      <c r="C36" s="71" t="s">
        <v>51</v>
      </c>
      <c r="D36" s="71" t="s">
        <v>390</v>
      </c>
      <c r="E36" s="71" t="s">
        <v>392</v>
      </c>
      <c r="F36" s="71" t="s">
        <v>393</v>
      </c>
      <c r="G36" s="71">
        <v>2009.0</v>
      </c>
      <c r="H36" s="17">
        <v>0.0</v>
      </c>
      <c r="I36" s="17">
        <v>0.0</v>
      </c>
      <c r="J36" s="17">
        <v>0.0</v>
      </c>
      <c r="K36" s="17">
        <v>0.0</v>
      </c>
      <c r="L36" s="21">
        <f t="shared" si="1"/>
        <v>0</v>
      </c>
      <c r="M36" s="17">
        <v>0.0</v>
      </c>
      <c r="N36" s="17">
        <v>0.0</v>
      </c>
      <c r="O36" s="21">
        <f t="shared" si="2"/>
        <v>0</v>
      </c>
      <c r="P36" s="17">
        <v>0.5</v>
      </c>
      <c r="Q36" s="21">
        <f t="shared" si="3"/>
        <v>0.5</v>
      </c>
      <c r="R36" s="72">
        <f t="shared" si="4"/>
        <v>0.5</v>
      </c>
    </row>
    <row r="37">
      <c r="A37" s="70" t="s">
        <v>395</v>
      </c>
      <c r="B37" s="70" t="s">
        <v>396</v>
      </c>
      <c r="C37" s="71" t="s">
        <v>51</v>
      </c>
      <c r="D37" s="71" t="s">
        <v>397</v>
      </c>
      <c r="E37" s="71" t="s">
        <v>398</v>
      </c>
      <c r="F37" s="71" t="s">
        <v>399</v>
      </c>
      <c r="G37" s="71">
        <v>2014.0</v>
      </c>
      <c r="H37" s="17">
        <v>1.0</v>
      </c>
      <c r="I37" s="17">
        <v>0.0</v>
      </c>
      <c r="J37" s="17">
        <v>1.0</v>
      </c>
      <c r="K37" s="17">
        <v>0.0</v>
      </c>
      <c r="L37" s="21">
        <f t="shared" si="1"/>
        <v>2</v>
      </c>
      <c r="M37" s="17">
        <v>1.0</v>
      </c>
      <c r="N37" s="17">
        <v>0.5</v>
      </c>
      <c r="O37" s="21">
        <f t="shared" si="2"/>
        <v>1.5</v>
      </c>
      <c r="P37" s="17">
        <v>0.0</v>
      </c>
      <c r="Q37" s="21">
        <f t="shared" si="3"/>
        <v>0</v>
      </c>
      <c r="R37" s="72">
        <f t="shared" si="4"/>
        <v>1.25</v>
      </c>
    </row>
    <row r="38" hidden="1">
      <c r="A38" s="27" t="s">
        <v>227</v>
      </c>
      <c r="B38" s="27" t="s">
        <v>410</v>
      </c>
      <c r="C38" s="48" t="s">
        <v>51</v>
      </c>
      <c r="D38" s="48" t="s">
        <v>411</v>
      </c>
      <c r="E38" s="48" t="s">
        <v>412</v>
      </c>
      <c r="F38" s="48" t="s">
        <v>102</v>
      </c>
      <c r="G38" s="48">
        <v>2010.0</v>
      </c>
      <c r="H38" s="32"/>
      <c r="I38" s="32"/>
      <c r="J38" s="32"/>
      <c r="K38" s="32"/>
      <c r="L38" s="21">
        <f t="shared" si="1"/>
        <v>0</v>
      </c>
      <c r="M38" s="32"/>
      <c r="N38" s="32"/>
      <c r="O38" s="21">
        <f t="shared" si="2"/>
        <v>0</v>
      </c>
      <c r="P38" s="32"/>
      <c r="Q38" s="21">
        <f t="shared" si="3"/>
        <v>0</v>
      </c>
      <c r="R38" s="26">
        <f t="shared" si="4"/>
        <v>0</v>
      </c>
    </row>
    <row r="39">
      <c r="A39" s="27" t="s">
        <v>227</v>
      </c>
      <c r="B39" s="27" t="s">
        <v>228</v>
      </c>
      <c r="C39" s="25" t="s">
        <v>77</v>
      </c>
      <c r="D39" s="25" t="s">
        <v>229</v>
      </c>
      <c r="E39" s="25" t="s">
        <v>231</v>
      </c>
      <c r="F39" s="25" t="s">
        <v>232</v>
      </c>
      <c r="G39" s="25">
        <v>2013.0</v>
      </c>
      <c r="H39" s="17">
        <v>1.0</v>
      </c>
      <c r="I39" s="17">
        <v>1.0</v>
      </c>
      <c r="J39" s="17">
        <v>1.0</v>
      </c>
      <c r="K39" s="17">
        <v>0.0</v>
      </c>
      <c r="L39" s="21">
        <f t="shared" si="1"/>
        <v>3</v>
      </c>
      <c r="M39" s="17">
        <v>0.5</v>
      </c>
      <c r="N39" s="17">
        <v>0.5</v>
      </c>
      <c r="O39" s="21">
        <f t="shared" si="2"/>
        <v>1</v>
      </c>
      <c r="P39" s="17">
        <v>1.0</v>
      </c>
      <c r="Q39" s="21">
        <f t="shared" si="3"/>
        <v>1</v>
      </c>
      <c r="R39" s="26">
        <f t="shared" si="4"/>
        <v>2.25</v>
      </c>
    </row>
    <row r="40">
      <c r="A40" s="70" t="s">
        <v>429</v>
      </c>
      <c r="B40" s="70" t="s">
        <v>430</v>
      </c>
      <c r="C40" s="71" t="s">
        <v>51</v>
      </c>
      <c r="D40" s="71" t="s">
        <v>432</v>
      </c>
      <c r="E40" s="71" t="s">
        <v>434</v>
      </c>
      <c r="F40" s="71" t="s">
        <v>435</v>
      </c>
      <c r="G40" s="71">
        <v>2011.0</v>
      </c>
      <c r="H40" s="17">
        <v>1.0</v>
      </c>
      <c r="I40" s="17">
        <v>0.0</v>
      </c>
      <c r="J40" s="17">
        <v>0.5</v>
      </c>
      <c r="K40" s="17">
        <v>0.0</v>
      </c>
      <c r="L40" s="21">
        <f t="shared" si="1"/>
        <v>1.5</v>
      </c>
      <c r="M40" s="17">
        <v>0.0</v>
      </c>
      <c r="N40" s="17">
        <v>0.0</v>
      </c>
      <c r="O40" s="21">
        <f t="shared" si="2"/>
        <v>0</v>
      </c>
      <c r="P40" s="17">
        <v>1.0</v>
      </c>
      <c r="Q40" s="21">
        <f t="shared" si="3"/>
        <v>1</v>
      </c>
      <c r="R40" s="72">
        <f t="shared" si="4"/>
        <v>1.375</v>
      </c>
    </row>
    <row r="41">
      <c r="A41" s="27" t="s">
        <v>240</v>
      </c>
      <c r="B41" s="27" t="s">
        <v>241</v>
      </c>
      <c r="C41" s="25" t="s">
        <v>77</v>
      </c>
      <c r="D41" s="25" t="s">
        <v>242</v>
      </c>
      <c r="E41" s="25" t="s">
        <v>243</v>
      </c>
      <c r="F41" s="25" t="s">
        <v>132</v>
      </c>
      <c r="G41" s="25">
        <v>2014.0</v>
      </c>
      <c r="H41" s="17">
        <v>1.0</v>
      </c>
      <c r="I41" s="17">
        <v>0.5</v>
      </c>
      <c r="J41" s="17">
        <v>1.0</v>
      </c>
      <c r="K41" s="17">
        <v>1.0</v>
      </c>
      <c r="L41" s="21">
        <f t="shared" si="1"/>
        <v>3.5</v>
      </c>
      <c r="M41" s="17">
        <v>1.0</v>
      </c>
      <c r="N41" s="17">
        <v>0.0</v>
      </c>
      <c r="O41" s="21">
        <f t="shared" si="2"/>
        <v>1</v>
      </c>
      <c r="P41" s="17">
        <v>1.0</v>
      </c>
      <c r="Q41" s="21">
        <f t="shared" si="3"/>
        <v>1</v>
      </c>
      <c r="R41" s="26">
        <f t="shared" si="4"/>
        <v>2.375</v>
      </c>
    </row>
    <row r="42">
      <c r="A42" s="4" t="s">
        <v>251</v>
      </c>
      <c r="B42" s="4" t="s">
        <v>252</v>
      </c>
      <c r="C42" s="65" t="s">
        <v>77</v>
      </c>
      <c r="D42" s="65" t="s">
        <v>253</v>
      </c>
      <c r="E42" s="65" t="s">
        <v>254</v>
      </c>
      <c r="F42" s="65" t="s">
        <v>80</v>
      </c>
      <c r="G42" s="65">
        <v>2008.0</v>
      </c>
      <c r="H42" s="17">
        <v>1.0</v>
      </c>
      <c r="I42" s="17">
        <v>0.0</v>
      </c>
      <c r="J42" s="17">
        <v>1.0</v>
      </c>
      <c r="K42" s="17">
        <v>0.0</v>
      </c>
      <c r="L42" s="21">
        <f t="shared" si="1"/>
        <v>2</v>
      </c>
      <c r="M42" s="17">
        <v>1.0</v>
      </c>
      <c r="N42" s="17">
        <v>0.0</v>
      </c>
      <c r="O42" s="21">
        <f t="shared" si="2"/>
        <v>1</v>
      </c>
      <c r="P42" s="17">
        <v>1.0</v>
      </c>
      <c r="Q42" s="21">
        <f t="shared" si="3"/>
        <v>1</v>
      </c>
      <c r="R42" s="26">
        <f t="shared" si="4"/>
        <v>2</v>
      </c>
    </row>
    <row r="43">
      <c r="A43" s="70" t="s">
        <v>455</v>
      </c>
      <c r="B43" s="70" t="s">
        <v>456</v>
      </c>
      <c r="C43" s="71" t="s">
        <v>77</v>
      </c>
      <c r="D43" s="71" t="s">
        <v>460</v>
      </c>
      <c r="E43" s="71" t="s">
        <v>462</v>
      </c>
      <c r="F43" s="71" t="s">
        <v>463</v>
      </c>
      <c r="G43" s="71">
        <v>2000.0</v>
      </c>
      <c r="H43" s="17">
        <v>1.0</v>
      </c>
      <c r="I43" s="17">
        <v>0.0</v>
      </c>
      <c r="J43" s="17">
        <v>1.0</v>
      </c>
      <c r="K43" s="17">
        <v>0.0</v>
      </c>
      <c r="L43" s="21">
        <f t="shared" si="1"/>
        <v>2</v>
      </c>
      <c r="M43" s="17">
        <v>0.0</v>
      </c>
      <c r="N43" s="17">
        <v>0.0</v>
      </c>
      <c r="O43" s="21">
        <f t="shared" si="2"/>
        <v>0</v>
      </c>
      <c r="P43" s="17">
        <v>0.0</v>
      </c>
      <c r="Q43" s="21">
        <f t="shared" si="3"/>
        <v>0</v>
      </c>
      <c r="R43" s="72">
        <f t="shared" si="4"/>
        <v>0.5</v>
      </c>
    </row>
    <row r="44">
      <c r="A44" s="4" t="s">
        <v>258</v>
      </c>
      <c r="B44" s="4" t="s">
        <v>259</v>
      </c>
      <c r="C44" s="65" t="s">
        <v>77</v>
      </c>
      <c r="D44" s="65" t="s">
        <v>260</v>
      </c>
      <c r="E44" s="65" t="s">
        <v>261</v>
      </c>
      <c r="F44" s="65" t="s">
        <v>262</v>
      </c>
      <c r="G44" s="65">
        <v>2005.0</v>
      </c>
      <c r="H44" s="17">
        <v>0.5</v>
      </c>
      <c r="I44" s="17">
        <v>1.0</v>
      </c>
      <c r="J44" s="17">
        <v>0.5</v>
      </c>
      <c r="K44" s="17">
        <v>0.0</v>
      </c>
      <c r="L44" s="21">
        <f t="shared" si="1"/>
        <v>2</v>
      </c>
      <c r="M44" s="17">
        <v>0.0</v>
      </c>
      <c r="N44" s="17">
        <v>0.0</v>
      </c>
      <c r="O44" s="21">
        <f t="shared" si="2"/>
        <v>0</v>
      </c>
      <c r="P44" s="17">
        <v>1.0</v>
      </c>
      <c r="Q44" s="21">
        <f t="shared" si="3"/>
        <v>1</v>
      </c>
      <c r="R44" s="26">
        <f t="shared" si="4"/>
        <v>1.5</v>
      </c>
    </row>
    <row r="45" hidden="1">
      <c r="A45" s="4"/>
      <c r="B45" s="4" t="s">
        <v>477</v>
      </c>
      <c r="C45" s="66" t="s">
        <v>51</v>
      </c>
      <c r="D45" s="66" t="s">
        <v>478</v>
      </c>
      <c r="E45" s="66" t="s">
        <v>479</v>
      </c>
      <c r="F45" s="66" t="s">
        <v>480</v>
      </c>
      <c r="G45" s="66">
        <v>2003.0</v>
      </c>
      <c r="H45" s="32"/>
      <c r="I45" s="32"/>
      <c r="J45" s="32"/>
      <c r="K45" s="32"/>
      <c r="L45" s="21">
        <f t="shared" si="1"/>
        <v>0</v>
      </c>
      <c r="M45" s="32"/>
      <c r="N45" s="32"/>
      <c r="O45" s="21">
        <f t="shared" si="2"/>
        <v>0</v>
      </c>
      <c r="P45" s="32"/>
      <c r="Q45" s="21">
        <f t="shared" si="3"/>
        <v>0</v>
      </c>
      <c r="R45" s="26">
        <f t="shared" si="4"/>
        <v>0</v>
      </c>
    </row>
    <row r="46">
      <c r="A46" s="27" t="s">
        <v>269</v>
      </c>
      <c r="B46" s="27" t="s">
        <v>270</v>
      </c>
      <c r="C46" s="25" t="s">
        <v>51</v>
      </c>
      <c r="D46" s="25" t="s">
        <v>272</v>
      </c>
      <c r="E46" s="25" t="s">
        <v>273</v>
      </c>
      <c r="F46" s="25" t="s">
        <v>275</v>
      </c>
      <c r="G46" s="25">
        <v>2007.0</v>
      </c>
      <c r="H46" s="17">
        <v>1.0</v>
      </c>
      <c r="I46" s="17">
        <v>1.0</v>
      </c>
      <c r="J46" s="17">
        <v>1.0</v>
      </c>
      <c r="K46" s="17">
        <v>0.0</v>
      </c>
      <c r="L46" s="21">
        <f t="shared" si="1"/>
        <v>3</v>
      </c>
      <c r="M46" s="17">
        <v>0.0</v>
      </c>
      <c r="N46" s="17">
        <v>0.0</v>
      </c>
      <c r="O46" s="21">
        <f t="shared" si="2"/>
        <v>0</v>
      </c>
      <c r="P46" s="17">
        <v>1.0</v>
      </c>
      <c r="Q46" s="21">
        <f t="shared" si="3"/>
        <v>1</v>
      </c>
      <c r="R46" s="26">
        <f t="shared" si="4"/>
        <v>1.75</v>
      </c>
    </row>
    <row r="47" hidden="1">
      <c r="A47" s="4" t="s">
        <v>281</v>
      </c>
      <c r="B47" s="4" t="s">
        <v>492</v>
      </c>
      <c r="C47" s="65" t="s">
        <v>77</v>
      </c>
      <c r="D47" s="65" t="s">
        <v>283</v>
      </c>
      <c r="E47" s="65" t="s">
        <v>493</v>
      </c>
      <c r="F47" s="65" t="s">
        <v>494</v>
      </c>
      <c r="G47" s="65">
        <v>2005.0</v>
      </c>
      <c r="H47" s="32"/>
      <c r="I47" s="32"/>
      <c r="J47" s="32"/>
      <c r="K47" s="32"/>
      <c r="L47" s="21">
        <f t="shared" si="1"/>
        <v>0</v>
      </c>
      <c r="M47" s="32"/>
      <c r="N47" s="32"/>
      <c r="O47" s="21">
        <f t="shared" si="2"/>
        <v>0</v>
      </c>
      <c r="P47" s="32"/>
      <c r="Q47" s="21">
        <f t="shared" si="3"/>
        <v>0</v>
      </c>
      <c r="R47" s="26">
        <f t="shared" si="4"/>
        <v>0</v>
      </c>
    </row>
    <row r="48">
      <c r="A48" s="4" t="s">
        <v>281</v>
      </c>
      <c r="B48" s="4" t="s">
        <v>282</v>
      </c>
      <c r="C48" s="65" t="s">
        <v>77</v>
      </c>
      <c r="D48" s="65" t="s">
        <v>283</v>
      </c>
      <c r="E48" s="65" t="s">
        <v>284</v>
      </c>
      <c r="F48" s="65" t="s">
        <v>132</v>
      </c>
      <c r="G48" s="65">
        <v>2005.0</v>
      </c>
      <c r="H48" s="17">
        <v>1.0</v>
      </c>
      <c r="I48" s="17">
        <v>0.5</v>
      </c>
      <c r="J48" s="17">
        <v>1.0</v>
      </c>
      <c r="K48" s="17">
        <v>1.0</v>
      </c>
      <c r="L48" s="21">
        <f t="shared" si="1"/>
        <v>3.5</v>
      </c>
      <c r="M48" s="17">
        <v>0.5</v>
      </c>
      <c r="N48" s="17">
        <v>1.0</v>
      </c>
      <c r="O48" s="21">
        <f t="shared" si="2"/>
        <v>1.5</v>
      </c>
      <c r="P48" s="17">
        <v>0.0</v>
      </c>
      <c r="Q48" s="21">
        <f t="shared" si="3"/>
        <v>0</v>
      </c>
      <c r="R48" s="26">
        <f t="shared" si="4"/>
        <v>1.625</v>
      </c>
    </row>
    <row r="49">
      <c r="A49" s="27" t="s">
        <v>291</v>
      </c>
      <c r="B49" s="27" t="s">
        <v>292</v>
      </c>
      <c r="C49" s="25" t="s">
        <v>77</v>
      </c>
      <c r="D49" s="25" t="s">
        <v>293</v>
      </c>
      <c r="E49" s="25" t="s">
        <v>294</v>
      </c>
      <c r="F49" s="25" t="s">
        <v>296</v>
      </c>
      <c r="G49" s="25">
        <v>2006.0</v>
      </c>
      <c r="H49" s="17">
        <v>1.0</v>
      </c>
      <c r="I49" s="17">
        <v>0.0</v>
      </c>
      <c r="J49" s="17">
        <v>1.0</v>
      </c>
      <c r="K49" s="17">
        <v>1.0</v>
      </c>
      <c r="L49" s="21">
        <f t="shared" si="1"/>
        <v>3</v>
      </c>
      <c r="M49" s="17">
        <v>0.0</v>
      </c>
      <c r="N49" s="17">
        <v>0.0</v>
      </c>
      <c r="O49" s="21">
        <f t="shared" si="2"/>
        <v>0</v>
      </c>
      <c r="P49" s="17">
        <v>1.0</v>
      </c>
      <c r="Q49" s="21">
        <f t="shared" si="3"/>
        <v>1</v>
      </c>
      <c r="R49" s="26">
        <f t="shared" si="4"/>
        <v>1.75</v>
      </c>
    </row>
    <row r="50" hidden="1">
      <c r="A50" s="4" t="s">
        <v>300</v>
      </c>
      <c r="B50" s="4" t="s">
        <v>515</v>
      </c>
      <c r="C50" s="66" t="s">
        <v>77</v>
      </c>
      <c r="D50" s="66" t="s">
        <v>517</v>
      </c>
      <c r="E50" s="66" t="s">
        <v>519</v>
      </c>
      <c r="F50" s="66" t="s">
        <v>191</v>
      </c>
      <c r="G50" s="66">
        <v>2007.0</v>
      </c>
      <c r="H50" s="32"/>
      <c r="I50" s="32"/>
      <c r="J50" s="32"/>
      <c r="K50" s="32"/>
      <c r="L50" s="21">
        <f t="shared" si="1"/>
        <v>0</v>
      </c>
      <c r="M50" s="32"/>
      <c r="N50" s="32"/>
      <c r="O50" s="21">
        <f t="shared" si="2"/>
        <v>0</v>
      </c>
      <c r="P50" s="32"/>
      <c r="Q50" s="21">
        <f t="shared" si="3"/>
        <v>0</v>
      </c>
      <c r="R50" s="26">
        <f t="shared" si="4"/>
        <v>0</v>
      </c>
    </row>
    <row r="51">
      <c r="A51" s="4" t="s">
        <v>300</v>
      </c>
      <c r="B51" s="4" t="s">
        <v>302</v>
      </c>
      <c r="C51" s="65" t="s">
        <v>77</v>
      </c>
      <c r="D51" s="65" t="s">
        <v>303</v>
      </c>
      <c r="E51" s="65" t="s">
        <v>305</v>
      </c>
      <c r="F51" s="65" t="s">
        <v>232</v>
      </c>
      <c r="G51" s="65">
        <v>2008.0</v>
      </c>
      <c r="H51" s="17">
        <v>1.0</v>
      </c>
      <c r="I51" s="17">
        <v>0.5</v>
      </c>
      <c r="J51" s="17">
        <v>1.0</v>
      </c>
      <c r="K51" s="17">
        <v>0.0</v>
      </c>
      <c r="L51" s="21">
        <f t="shared" si="1"/>
        <v>2.5</v>
      </c>
      <c r="M51" s="17">
        <v>1.0</v>
      </c>
      <c r="N51" s="17">
        <v>0.0</v>
      </c>
      <c r="O51" s="21">
        <f t="shared" si="2"/>
        <v>1</v>
      </c>
      <c r="P51" s="17">
        <v>1.0</v>
      </c>
      <c r="Q51" s="21">
        <f t="shared" si="3"/>
        <v>1</v>
      </c>
      <c r="R51" s="26">
        <f t="shared" si="4"/>
        <v>2.125</v>
      </c>
    </row>
    <row r="52" hidden="1">
      <c r="A52" s="4"/>
      <c r="B52" s="4" t="s">
        <v>535</v>
      </c>
      <c r="C52" s="4" t="s">
        <v>51</v>
      </c>
      <c r="D52" s="4" t="s">
        <v>536</v>
      </c>
      <c r="E52" s="4" t="s">
        <v>537</v>
      </c>
      <c r="F52" s="4" t="s">
        <v>538</v>
      </c>
      <c r="G52" s="4">
        <v>2005.0</v>
      </c>
      <c r="H52" s="32"/>
      <c r="I52" s="32"/>
      <c r="J52" s="32"/>
      <c r="K52" s="32"/>
      <c r="L52" s="21">
        <f t="shared" si="1"/>
        <v>0</v>
      </c>
      <c r="M52" s="32"/>
      <c r="N52" s="32"/>
      <c r="O52" s="21">
        <f t="shared" si="2"/>
        <v>0</v>
      </c>
      <c r="P52" s="32"/>
      <c r="Q52" s="21">
        <f t="shared" si="3"/>
        <v>0</v>
      </c>
      <c r="R52" s="26">
        <f t="shared" si="4"/>
        <v>0</v>
      </c>
    </row>
    <row r="53" hidden="1">
      <c r="A53" s="4"/>
      <c r="B53" s="4" t="s">
        <v>544</v>
      </c>
      <c r="C53" s="4" t="s">
        <v>51</v>
      </c>
      <c r="D53" s="4" t="s">
        <v>545</v>
      </c>
      <c r="E53" s="4" t="s">
        <v>546</v>
      </c>
      <c r="F53" s="4" t="s">
        <v>102</v>
      </c>
      <c r="G53" s="4">
        <v>2007.0</v>
      </c>
      <c r="H53" s="32"/>
      <c r="I53" s="32"/>
      <c r="J53" s="32"/>
      <c r="K53" s="32"/>
      <c r="L53" s="21">
        <f t="shared" si="1"/>
        <v>0</v>
      </c>
      <c r="M53" s="32"/>
      <c r="N53" s="32"/>
      <c r="O53" s="21">
        <f t="shared" si="2"/>
        <v>0</v>
      </c>
      <c r="P53" s="32"/>
      <c r="Q53" s="21">
        <f t="shared" si="3"/>
        <v>0</v>
      </c>
      <c r="R53" s="26">
        <f t="shared" si="4"/>
        <v>0</v>
      </c>
    </row>
    <row r="54">
      <c r="A54" s="27" t="s">
        <v>314</v>
      </c>
      <c r="B54" s="27" t="s">
        <v>315</v>
      </c>
      <c r="C54" s="27" t="s">
        <v>77</v>
      </c>
      <c r="D54" s="27" t="s">
        <v>316</v>
      </c>
      <c r="E54" s="27" t="s">
        <v>317</v>
      </c>
      <c r="F54" s="27" t="s">
        <v>318</v>
      </c>
      <c r="G54" s="27">
        <v>2002.0</v>
      </c>
      <c r="H54" s="17">
        <v>0.0</v>
      </c>
      <c r="I54" s="17">
        <v>0.0</v>
      </c>
      <c r="J54" s="17">
        <v>0.0</v>
      </c>
      <c r="K54" s="17">
        <v>0.0</v>
      </c>
      <c r="L54" s="21">
        <f t="shared" si="1"/>
        <v>0</v>
      </c>
      <c r="M54" s="17">
        <v>1.0</v>
      </c>
      <c r="N54" s="17">
        <v>0.5</v>
      </c>
      <c r="O54" s="21">
        <f t="shared" si="2"/>
        <v>1.5</v>
      </c>
      <c r="P54" s="17">
        <v>1.0</v>
      </c>
      <c r="Q54" s="21">
        <f t="shared" si="3"/>
        <v>1</v>
      </c>
      <c r="R54" s="26">
        <f t="shared" si="4"/>
        <v>1.75</v>
      </c>
    </row>
    <row r="55">
      <c r="A55" s="4" t="s">
        <v>322</v>
      </c>
      <c r="B55" s="4" t="s">
        <v>323</v>
      </c>
      <c r="C55" s="65" t="s">
        <v>51</v>
      </c>
      <c r="D55" s="65" t="s">
        <v>324</v>
      </c>
      <c r="E55" s="65" t="s">
        <v>325</v>
      </c>
      <c r="F55" s="65" t="s">
        <v>127</v>
      </c>
      <c r="G55" s="65">
        <v>2004.0</v>
      </c>
      <c r="H55" s="17">
        <v>1.0</v>
      </c>
      <c r="I55" s="17">
        <v>0.5</v>
      </c>
      <c r="J55" s="17">
        <v>1.0</v>
      </c>
      <c r="K55" s="17">
        <v>0.0</v>
      </c>
      <c r="L55" s="21">
        <f t="shared" si="1"/>
        <v>2.5</v>
      </c>
      <c r="M55" s="17">
        <v>0.5</v>
      </c>
      <c r="N55" s="17">
        <v>0.5</v>
      </c>
      <c r="O55" s="21">
        <f t="shared" si="2"/>
        <v>1</v>
      </c>
      <c r="P55" s="17">
        <v>0.5</v>
      </c>
      <c r="Q55" s="21">
        <f t="shared" si="3"/>
        <v>0.5</v>
      </c>
      <c r="R55" s="26">
        <f t="shared" si="4"/>
        <v>1.625</v>
      </c>
    </row>
    <row r="56">
      <c r="A56" s="70" t="s">
        <v>556</v>
      </c>
      <c r="B56" s="70" t="s">
        <v>557</v>
      </c>
      <c r="C56" s="70" t="s">
        <v>77</v>
      </c>
      <c r="D56" s="75" t="s">
        <v>339</v>
      </c>
      <c r="E56" s="75" t="s">
        <v>561</v>
      </c>
      <c r="F56" s="70" t="s">
        <v>562</v>
      </c>
      <c r="G56" s="70">
        <v>2010.0</v>
      </c>
      <c r="H56" s="17">
        <v>1.0</v>
      </c>
      <c r="I56" s="17">
        <v>0.0</v>
      </c>
      <c r="J56" s="17">
        <v>1.0</v>
      </c>
      <c r="K56" s="17">
        <v>0.0</v>
      </c>
      <c r="L56" s="21">
        <f t="shared" si="1"/>
        <v>2</v>
      </c>
      <c r="M56" s="17">
        <v>0.5</v>
      </c>
      <c r="N56" s="17">
        <v>0.0</v>
      </c>
      <c r="O56" s="21">
        <f t="shared" si="2"/>
        <v>0.5</v>
      </c>
      <c r="P56" s="17">
        <v>0.0</v>
      </c>
      <c r="Q56" s="21">
        <f t="shared" si="3"/>
        <v>0</v>
      </c>
      <c r="R56" s="72">
        <f t="shared" si="4"/>
        <v>0.75</v>
      </c>
    </row>
    <row r="57" hidden="1">
      <c r="A57" s="42"/>
      <c r="B57" s="4" t="s">
        <v>563</v>
      </c>
      <c r="C57" s="66" t="s">
        <v>51</v>
      </c>
      <c r="D57" s="66" t="s">
        <v>564</v>
      </c>
      <c r="E57" s="66" t="s">
        <v>565</v>
      </c>
      <c r="F57" s="66" t="s">
        <v>566</v>
      </c>
      <c r="G57" s="66">
        <v>2007.0</v>
      </c>
      <c r="H57" s="32"/>
      <c r="I57" s="32"/>
      <c r="J57" s="32"/>
      <c r="K57" s="32"/>
      <c r="L57" s="21">
        <f t="shared" si="1"/>
        <v>0</v>
      </c>
      <c r="M57" s="32"/>
      <c r="N57" s="32"/>
      <c r="O57" s="21">
        <f t="shared" si="2"/>
        <v>0</v>
      </c>
      <c r="P57" s="32"/>
      <c r="Q57" s="21">
        <f t="shared" si="3"/>
        <v>0</v>
      </c>
      <c r="R57" s="26">
        <f t="shared" si="4"/>
        <v>0</v>
      </c>
    </row>
    <row r="58" hidden="1">
      <c r="A58" s="42"/>
      <c r="B58" s="4" t="s">
        <v>573</v>
      </c>
      <c r="C58" s="4" t="s">
        <v>77</v>
      </c>
      <c r="D58" s="4" t="s">
        <v>574</v>
      </c>
      <c r="E58" s="4" t="s">
        <v>575</v>
      </c>
      <c r="F58" s="4" t="s">
        <v>576</v>
      </c>
      <c r="G58" s="4">
        <v>2007.0</v>
      </c>
      <c r="H58" s="32"/>
      <c r="I58" s="32"/>
      <c r="J58" s="32"/>
      <c r="K58" s="32"/>
      <c r="L58" s="21">
        <f t="shared" si="1"/>
        <v>0</v>
      </c>
      <c r="M58" s="32"/>
      <c r="N58" s="32"/>
      <c r="O58" s="21">
        <f t="shared" si="2"/>
        <v>0</v>
      </c>
      <c r="P58" s="32"/>
      <c r="Q58" s="21">
        <f t="shared" si="3"/>
        <v>0</v>
      </c>
      <c r="R58" s="26">
        <f t="shared" si="4"/>
        <v>0</v>
      </c>
    </row>
    <row r="59">
      <c r="A59" s="4" t="s">
        <v>329</v>
      </c>
      <c r="B59" s="4" t="s">
        <v>330</v>
      </c>
      <c r="C59" s="4" t="s">
        <v>77</v>
      </c>
      <c r="D59" s="4" t="s">
        <v>331</v>
      </c>
      <c r="E59" s="4" t="s">
        <v>332</v>
      </c>
      <c r="F59" s="4" t="s">
        <v>132</v>
      </c>
      <c r="G59" s="4">
        <v>2009.0</v>
      </c>
      <c r="H59" s="17">
        <v>1.0</v>
      </c>
      <c r="I59" s="17">
        <v>0.0</v>
      </c>
      <c r="J59" s="17">
        <v>1.0</v>
      </c>
      <c r="K59" s="17">
        <v>0.0</v>
      </c>
      <c r="L59" s="21">
        <f t="shared" si="1"/>
        <v>2</v>
      </c>
      <c r="M59" s="17">
        <v>1.0</v>
      </c>
      <c r="N59" s="17">
        <v>0.0</v>
      </c>
      <c r="O59" s="21">
        <f t="shared" si="2"/>
        <v>1</v>
      </c>
      <c r="P59" s="17">
        <v>1.0</v>
      </c>
      <c r="Q59" s="21">
        <f t="shared" si="3"/>
        <v>1</v>
      </c>
      <c r="R59" s="26">
        <f t="shared" si="4"/>
        <v>2</v>
      </c>
    </row>
    <row r="60">
      <c r="A60" s="70" t="s">
        <v>585</v>
      </c>
      <c r="B60" s="70" t="s">
        <v>586</v>
      </c>
      <c r="C60" s="70" t="s">
        <v>51</v>
      </c>
      <c r="D60" s="70" t="s">
        <v>587</v>
      </c>
      <c r="E60" s="70" t="s">
        <v>588</v>
      </c>
      <c r="F60" s="70" t="s">
        <v>589</v>
      </c>
      <c r="G60" s="70">
        <v>1996.0</v>
      </c>
      <c r="H60" s="17">
        <v>0.0</v>
      </c>
      <c r="I60" s="17">
        <v>0.0</v>
      </c>
      <c r="J60" s="17">
        <v>0.0</v>
      </c>
      <c r="K60" s="17">
        <v>0.0</v>
      </c>
      <c r="L60" s="21">
        <f t="shared" si="1"/>
        <v>0</v>
      </c>
      <c r="M60" s="17">
        <v>0.0</v>
      </c>
      <c r="N60" s="17">
        <v>0.0</v>
      </c>
      <c r="O60" s="21">
        <f t="shared" si="2"/>
        <v>0</v>
      </c>
      <c r="P60" s="17">
        <v>0.5</v>
      </c>
      <c r="Q60" s="21">
        <f t="shared" si="3"/>
        <v>0.5</v>
      </c>
      <c r="R60" s="72">
        <f t="shared" si="4"/>
        <v>0.5</v>
      </c>
    </row>
    <row r="61" hidden="1">
      <c r="A61" s="4" t="s">
        <v>336</v>
      </c>
      <c r="B61" s="4" t="s">
        <v>595</v>
      </c>
      <c r="C61" s="4" t="s">
        <v>51</v>
      </c>
      <c r="D61" s="77" t="s">
        <v>339</v>
      </c>
      <c r="E61" s="77" t="s">
        <v>599</v>
      </c>
      <c r="F61" s="4" t="s">
        <v>600</v>
      </c>
      <c r="G61" s="4">
        <v>2012.0</v>
      </c>
      <c r="H61" s="32"/>
      <c r="I61" s="32"/>
      <c r="J61" s="32"/>
      <c r="K61" s="32"/>
      <c r="L61" s="21">
        <f t="shared" si="1"/>
        <v>0</v>
      </c>
      <c r="M61" s="32"/>
      <c r="N61" s="32"/>
      <c r="O61" s="21">
        <f t="shared" si="2"/>
        <v>0</v>
      </c>
      <c r="P61" s="32"/>
      <c r="Q61" s="21">
        <f t="shared" si="3"/>
        <v>0</v>
      </c>
      <c r="R61" s="26">
        <f t="shared" si="4"/>
        <v>0</v>
      </c>
    </row>
    <row r="62" hidden="1">
      <c r="A62" s="4"/>
      <c r="B62" s="4" t="s">
        <v>602</v>
      </c>
      <c r="C62" s="4" t="s">
        <v>77</v>
      </c>
      <c r="D62" s="77" t="s">
        <v>339</v>
      </c>
      <c r="E62" s="77" t="s">
        <v>603</v>
      </c>
      <c r="F62" s="4" t="s">
        <v>605</v>
      </c>
      <c r="G62" s="4">
        <v>2011.0</v>
      </c>
      <c r="H62" s="32"/>
      <c r="I62" s="32"/>
      <c r="J62" s="32"/>
      <c r="K62" s="32"/>
      <c r="L62" s="21">
        <f t="shared" si="1"/>
        <v>0</v>
      </c>
      <c r="M62" s="32"/>
      <c r="N62" s="32"/>
      <c r="O62" s="21">
        <f t="shared" si="2"/>
        <v>0</v>
      </c>
      <c r="P62" s="32"/>
      <c r="Q62" s="21">
        <f t="shared" si="3"/>
        <v>0</v>
      </c>
      <c r="R62" s="26">
        <f t="shared" si="4"/>
        <v>0</v>
      </c>
    </row>
    <row r="63">
      <c r="A63" s="4" t="s">
        <v>336</v>
      </c>
      <c r="B63" s="4" t="s">
        <v>338</v>
      </c>
      <c r="C63" s="4" t="s">
        <v>51</v>
      </c>
      <c r="D63" s="77" t="s">
        <v>339</v>
      </c>
      <c r="E63" s="77" t="s">
        <v>341</v>
      </c>
      <c r="F63" s="4" t="s">
        <v>342</v>
      </c>
      <c r="G63" s="4">
        <v>2011.0</v>
      </c>
      <c r="H63" s="17">
        <v>1.0</v>
      </c>
      <c r="I63" s="17">
        <v>0.0</v>
      </c>
      <c r="J63" s="17">
        <v>1.0</v>
      </c>
      <c r="K63" s="17">
        <v>0.0</v>
      </c>
      <c r="L63" s="21">
        <f t="shared" si="1"/>
        <v>2</v>
      </c>
      <c r="M63" s="17">
        <v>1.0</v>
      </c>
      <c r="N63" s="17">
        <v>0.0</v>
      </c>
      <c r="O63" s="21">
        <f t="shared" si="2"/>
        <v>1</v>
      </c>
      <c r="P63" s="17">
        <v>0.5</v>
      </c>
      <c r="Q63" s="21">
        <f t="shared" si="3"/>
        <v>0.5</v>
      </c>
      <c r="R63" s="26">
        <f t="shared" si="4"/>
        <v>1.5</v>
      </c>
    </row>
    <row r="64" ht="16.5" customHeight="1">
      <c r="A64" s="70" t="s">
        <v>622</v>
      </c>
      <c r="B64" s="70" t="s">
        <v>623</v>
      </c>
      <c r="C64" s="70" t="s">
        <v>77</v>
      </c>
      <c r="D64" s="70" t="s">
        <v>624</v>
      </c>
      <c r="E64" s="70" t="s">
        <v>625</v>
      </c>
      <c r="F64" s="70" t="s">
        <v>576</v>
      </c>
      <c r="G64" s="70">
        <v>2009.0</v>
      </c>
      <c r="H64" s="17">
        <v>1.0</v>
      </c>
      <c r="I64" s="17">
        <v>0.0</v>
      </c>
      <c r="J64" s="17">
        <v>1.0</v>
      </c>
      <c r="K64" s="17">
        <v>0.0</v>
      </c>
      <c r="L64" s="21">
        <f t="shared" si="1"/>
        <v>2</v>
      </c>
      <c r="M64" s="17">
        <v>0.5</v>
      </c>
      <c r="N64" s="17">
        <v>0.0</v>
      </c>
      <c r="O64" s="21">
        <f t="shared" si="2"/>
        <v>0.5</v>
      </c>
      <c r="P64" s="17">
        <v>0.5</v>
      </c>
      <c r="Q64" s="21">
        <f t="shared" si="3"/>
        <v>0.5</v>
      </c>
      <c r="R64" s="72">
        <f t="shared" si="4"/>
        <v>1.25</v>
      </c>
    </row>
    <row r="65">
      <c r="A65" s="4" t="s">
        <v>346</v>
      </c>
      <c r="B65" s="4" t="s">
        <v>348</v>
      </c>
      <c r="C65" s="65" t="s">
        <v>51</v>
      </c>
      <c r="D65" s="65" t="s">
        <v>350</v>
      </c>
      <c r="E65" s="65" t="s">
        <v>351</v>
      </c>
      <c r="F65" s="65" t="s">
        <v>352</v>
      </c>
      <c r="G65" s="65">
        <v>2005.0</v>
      </c>
      <c r="H65" s="17">
        <v>1.0</v>
      </c>
      <c r="I65" s="17">
        <v>0.5</v>
      </c>
      <c r="J65" s="17">
        <v>1.0</v>
      </c>
      <c r="K65" s="17">
        <v>0.5</v>
      </c>
      <c r="L65" s="21">
        <f t="shared" si="1"/>
        <v>3</v>
      </c>
      <c r="M65" s="17">
        <v>1.0</v>
      </c>
      <c r="N65" s="17">
        <v>0.0</v>
      </c>
      <c r="O65" s="21">
        <f t="shared" si="2"/>
        <v>1</v>
      </c>
      <c r="P65" s="17">
        <v>0.5</v>
      </c>
      <c r="Q65" s="21">
        <f t="shared" si="3"/>
        <v>0.5</v>
      </c>
      <c r="R65" s="26">
        <f t="shared" si="4"/>
        <v>1.75</v>
      </c>
    </row>
    <row r="66">
      <c r="A66" s="27" t="s">
        <v>358</v>
      </c>
      <c r="B66" s="27" t="s">
        <v>359</v>
      </c>
      <c r="C66" s="25" t="s">
        <v>51</v>
      </c>
      <c r="D66" s="25" t="s">
        <v>360</v>
      </c>
      <c r="E66" s="25" t="s">
        <v>361</v>
      </c>
      <c r="F66" s="25" t="s">
        <v>352</v>
      </c>
      <c r="G66" s="25">
        <v>2005.0</v>
      </c>
      <c r="H66" s="17">
        <v>1.0</v>
      </c>
      <c r="I66" s="17">
        <v>1.0</v>
      </c>
      <c r="J66" s="17">
        <v>1.0</v>
      </c>
      <c r="K66" s="17">
        <v>0.0</v>
      </c>
      <c r="L66" s="21">
        <f t="shared" si="1"/>
        <v>3</v>
      </c>
      <c r="M66" s="17">
        <v>1.0</v>
      </c>
      <c r="N66" s="17">
        <v>0.0</v>
      </c>
      <c r="O66" s="21">
        <f t="shared" si="2"/>
        <v>1</v>
      </c>
      <c r="P66" s="17">
        <v>1.0</v>
      </c>
      <c r="Q66" s="21">
        <f t="shared" si="3"/>
        <v>1</v>
      </c>
      <c r="R66" s="26">
        <f t="shared" si="4"/>
        <v>2.25</v>
      </c>
    </row>
    <row r="67">
      <c r="A67" s="4" t="s">
        <v>365</v>
      </c>
      <c r="B67" s="4" t="s">
        <v>366</v>
      </c>
      <c r="C67" s="65" t="s">
        <v>51</v>
      </c>
      <c r="D67" s="65" t="s">
        <v>368</v>
      </c>
      <c r="E67" s="65" t="s">
        <v>369</v>
      </c>
      <c r="F67" s="65" t="s">
        <v>370</v>
      </c>
      <c r="G67" s="65">
        <v>2005.0</v>
      </c>
      <c r="H67" s="17">
        <v>0.0</v>
      </c>
      <c r="I67" s="17">
        <v>0.0</v>
      </c>
      <c r="J67" s="17">
        <v>0.0</v>
      </c>
      <c r="K67" s="17">
        <v>0.0</v>
      </c>
      <c r="L67" s="21">
        <f t="shared" si="1"/>
        <v>0</v>
      </c>
      <c r="M67" s="17">
        <v>1.0</v>
      </c>
      <c r="N67" s="17">
        <v>0.0</v>
      </c>
      <c r="O67" s="21">
        <f t="shared" si="2"/>
        <v>1</v>
      </c>
      <c r="P67" s="17">
        <v>1.0</v>
      </c>
      <c r="Q67" s="21">
        <f t="shared" si="3"/>
        <v>1</v>
      </c>
      <c r="R67" s="26">
        <f t="shared" si="4"/>
        <v>1.5</v>
      </c>
    </row>
    <row r="68">
      <c r="A68" s="27" t="s">
        <v>372</v>
      </c>
      <c r="B68" s="27" t="s">
        <v>373</v>
      </c>
      <c r="C68" s="25" t="s">
        <v>77</v>
      </c>
      <c r="D68" s="25" t="s">
        <v>374</v>
      </c>
      <c r="E68" s="25" t="s">
        <v>375</v>
      </c>
      <c r="F68" s="25" t="s">
        <v>132</v>
      </c>
      <c r="G68" s="25">
        <v>2005.0</v>
      </c>
      <c r="H68" s="17">
        <v>1.0</v>
      </c>
      <c r="I68" s="17">
        <v>1.0</v>
      </c>
      <c r="J68" s="17">
        <v>1.0</v>
      </c>
      <c r="K68" s="17">
        <v>1.0</v>
      </c>
      <c r="L68" s="21">
        <f t="shared" si="1"/>
        <v>4</v>
      </c>
      <c r="M68" s="17">
        <v>0.0</v>
      </c>
      <c r="N68" s="17">
        <v>0.0</v>
      </c>
      <c r="O68" s="21">
        <f t="shared" si="2"/>
        <v>0</v>
      </c>
      <c r="P68" s="17">
        <v>1.0</v>
      </c>
      <c r="Q68" s="21">
        <f t="shared" si="3"/>
        <v>1</v>
      </c>
      <c r="R68" s="26">
        <f t="shared" si="4"/>
        <v>2</v>
      </c>
    </row>
    <row r="69">
      <c r="A69" s="70" t="s">
        <v>653</v>
      </c>
      <c r="B69" s="70" t="s">
        <v>655</v>
      </c>
      <c r="C69" s="71" t="s">
        <v>51</v>
      </c>
      <c r="D69" s="71" t="s">
        <v>661</v>
      </c>
      <c r="E69" s="71" t="s">
        <v>664</v>
      </c>
      <c r="F69" s="71" t="s">
        <v>666</v>
      </c>
      <c r="G69" s="71">
        <v>2006.0</v>
      </c>
      <c r="H69" s="17">
        <v>0.0</v>
      </c>
      <c r="I69" s="17">
        <v>0.0</v>
      </c>
      <c r="J69" s="17">
        <v>0.0</v>
      </c>
      <c r="K69" s="17">
        <v>0.0</v>
      </c>
      <c r="L69" s="21">
        <f t="shared" si="1"/>
        <v>0</v>
      </c>
      <c r="M69" s="17">
        <v>0.0</v>
      </c>
      <c r="N69" s="17">
        <v>0.0</v>
      </c>
      <c r="O69" s="21">
        <f t="shared" si="2"/>
        <v>0</v>
      </c>
      <c r="P69" s="17">
        <v>0.5</v>
      </c>
      <c r="Q69" s="21">
        <f t="shared" si="3"/>
        <v>0.5</v>
      </c>
      <c r="R69" s="72">
        <f t="shared" si="4"/>
        <v>0.5</v>
      </c>
    </row>
    <row r="70">
      <c r="A70" s="27" t="s">
        <v>378</v>
      </c>
      <c r="B70" s="27" t="s">
        <v>379</v>
      </c>
      <c r="C70" s="25" t="s">
        <v>77</v>
      </c>
      <c r="D70" s="25" t="s">
        <v>380</v>
      </c>
      <c r="E70" s="25" t="s">
        <v>381</v>
      </c>
      <c r="F70" s="25" t="s">
        <v>191</v>
      </c>
      <c r="G70" s="25">
        <v>2003.0</v>
      </c>
      <c r="H70" s="17">
        <v>1.0</v>
      </c>
      <c r="I70" s="17">
        <v>0.0</v>
      </c>
      <c r="J70" s="17">
        <v>1.0</v>
      </c>
      <c r="K70" s="17">
        <v>0.0</v>
      </c>
      <c r="L70" s="21">
        <f t="shared" si="1"/>
        <v>2</v>
      </c>
      <c r="M70" s="17">
        <v>0.0</v>
      </c>
      <c r="N70" s="17">
        <v>0.0</v>
      </c>
      <c r="O70" s="21">
        <f t="shared" si="2"/>
        <v>0</v>
      </c>
      <c r="P70" s="17">
        <v>1.0</v>
      </c>
      <c r="Q70" s="21">
        <f t="shared" si="3"/>
        <v>1</v>
      </c>
      <c r="R70" s="26">
        <f t="shared" si="4"/>
        <v>1.5</v>
      </c>
    </row>
    <row r="71">
      <c r="A71" s="70" t="s">
        <v>675</v>
      </c>
      <c r="B71" s="70" t="s">
        <v>676</v>
      </c>
      <c r="C71" s="70" t="s">
        <v>51</v>
      </c>
      <c r="D71" s="70" t="s">
        <v>677</v>
      </c>
      <c r="E71" s="70" t="s">
        <v>679</v>
      </c>
      <c r="F71" s="70" t="s">
        <v>680</v>
      </c>
      <c r="G71" s="70">
        <v>2004.0</v>
      </c>
      <c r="H71" s="17">
        <v>1.0</v>
      </c>
      <c r="I71" s="17">
        <v>0.0</v>
      </c>
      <c r="J71" s="17">
        <v>0.5</v>
      </c>
      <c r="K71" s="17">
        <v>0.0</v>
      </c>
      <c r="L71" s="21">
        <f t="shared" si="1"/>
        <v>1.5</v>
      </c>
      <c r="M71" s="17">
        <v>0.0</v>
      </c>
      <c r="N71" s="17">
        <v>0.0</v>
      </c>
      <c r="O71" s="21">
        <f t="shared" si="2"/>
        <v>0</v>
      </c>
      <c r="P71" s="17">
        <v>0.0</v>
      </c>
      <c r="Q71" s="21">
        <f t="shared" si="3"/>
        <v>0</v>
      </c>
      <c r="R71" s="72">
        <f t="shared" si="4"/>
        <v>0.375</v>
      </c>
    </row>
    <row r="72">
      <c r="A72" s="70" t="s">
        <v>683</v>
      </c>
      <c r="B72" s="70" t="s">
        <v>684</v>
      </c>
      <c r="C72" s="70" t="s">
        <v>51</v>
      </c>
      <c r="D72" s="75" t="s">
        <v>685</v>
      </c>
      <c r="E72" s="70" t="s">
        <v>686</v>
      </c>
      <c r="F72" s="70" t="s">
        <v>687</v>
      </c>
      <c r="G72" s="70">
        <v>2016.0</v>
      </c>
      <c r="H72" s="17">
        <v>1.0</v>
      </c>
      <c r="I72" s="17">
        <v>1.0</v>
      </c>
      <c r="J72" s="17">
        <v>1.0</v>
      </c>
      <c r="K72" s="17">
        <v>0.0</v>
      </c>
      <c r="L72" s="21">
        <f t="shared" si="1"/>
        <v>3</v>
      </c>
      <c r="M72" s="17">
        <v>0.0</v>
      </c>
      <c r="N72" s="17">
        <v>0.0</v>
      </c>
      <c r="O72" s="21">
        <f t="shared" si="2"/>
        <v>0</v>
      </c>
      <c r="P72" s="17">
        <v>0.0</v>
      </c>
      <c r="Q72" s="21">
        <f t="shared" si="3"/>
        <v>0</v>
      </c>
      <c r="R72" s="72">
        <f t="shared" si="4"/>
        <v>0.75</v>
      </c>
    </row>
    <row r="73">
      <c r="A73" s="4" t="s">
        <v>387</v>
      </c>
      <c r="B73" s="4" t="s">
        <v>389</v>
      </c>
      <c r="C73" s="65" t="s">
        <v>77</v>
      </c>
      <c r="D73" s="65" t="s">
        <v>391</v>
      </c>
      <c r="E73" s="65" t="s">
        <v>394</v>
      </c>
      <c r="F73" s="65" t="s">
        <v>132</v>
      </c>
      <c r="G73" s="65">
        <v>2007.0</v>
      </c>
      <c r="H73" s="17">
        <v>1.0</v>
      </c>
      <c r="I73" s="17">
        <v>0.5</v>
      </c>
      <c r="J73" s="17">
        <v>1.0</v>
      </c>
      <c r="K73" s="17">
        <v>0.0</v>
      </c>
      <c r="L73" s="21">
        <f t="shared" si="1"/>
        <v>2.5</v>
      </c>
      <c r="M73" s="17">
        <v>1.0</v>
      </c>
      <c r="N73" s="17">
        <v>0.0</v>
      </c>
      <c r="O73" s="21">
        <f t="shared" si="2"/>
        <v>1</v>
      </c>
      <c r="P73" s="17">
        <v>0.5</v>
      </c>
      <c r="Q73" s="21">
        <f t="shared" si="3"/>
        <v>0.5</v>
      </c>
      <c r="R73" s="26">
        <f t="shared" si="4"/>
        <v>1.625</v>
      </c>
    </row>
    <row r="74">
      <c r="A74" s="27" t="s">
        <v>402</v>
      </c>
      <c r="B74" s="27" t="s">
        <v>404</v>
      </c>
      <c r="C74" s="25" t="s">
        <v>51</v>
      </c>
      <c r="D74" s="25" t="s">
        <v>405</v>
      </c>
      <c r="E74" s="25" t="s">
        <v>406</v>
      </c>
      <c r="F74" s="25" t="s">
        <v>407</v>
      </c>
      <c r="G74" s="25">
        <v>2005.0</v>
      </c>
      <c r="H74" s="17">
        <v>1.0</v>
      </c>
      <c r="I74" s="17">
        <v>0.0</v>
      </c>
      <c r="J74" s="17">
        <v>1.0</v>
      </c>
      <c r="K74" s="17">
        <v>0.0</v>
      </c>
      <c r="L74" s="21">
        <f t="shared" si="1"/>
        <v>2</v>
      </c>
      <c r="M74" s="17">
        <v>0.0</v>
      </c>
      <c r="N74" s="17">
        <v>0.0</v>
      </c>
      <c r="O74" s="21">
        <f t="shared" si="2"/>
        <v>0</v>
      </c>
      <c r="P74" s="17">
        <v>1.0</v>
      </c>
      <c r="Q74" s="21">
        <f t="shared" si="3"/>
        <v>1</v>
      </c>
      <c r="R74" s="26">
        <f t="shared" si="4"/>
        <v>1.5</v>
      </c>
    </row>
    <row r="75">
      <c r="A75" s="70" t="s">
        <v>697</v>
      </c>
      <c r="B75" s="70" t="s">
        <v>698</v>
      </c>
      <c r="C75" s="70" t="s">
        <v>51</v>
      </c>
      <c r="D75" s="70" t="s">
        <v>699</v>
      </c>
      <c r="E75" s="70" t="s">
        <v>700</v>
      </c>
      <c r="F75" s="70" t="s">
        <v>701</v>
      </c>
      <c r="G75" s="70">
        <v>1997.0</v>
      </c>
      <c r="H75" s="17">
        <v>0.0</v>
      </c>
      <c r="I75" s="17">
        <v>0.0</v>
      </c>
      <c r="J75" s="17">
        <v>0.0</v>
      </c>
      <c r="K75" s="17">
        <v>0.0</v>
      </c>
      <c r="L75" s="21">
        <f t="shared" si="1"/>
        <v>0</v>
      </c>
      <c r="M75" s="17">
        <v>0.0</v>
      </c>
      <c r="N75" s="17">
        <v>0.0</v>
      </c>
      <c r="O75" s="21">
        <f t="shared" si="2"/>
        <v>0</v>
      </c>
      <c r="P75" s="17">
        <v>0.5</v>
      </c>
      <c r="Q75" s="21">
        <f t="shared" si="3"/>
        <v>0.5</v>
      </c>
      <c r="R75" s="72">
        <f t="shared" si="4"/>
        <v>0.5</v>
      </c>
    </row>
    <row r="76">
      <c r="A76" s="70" t="s">
        <v>703</v>
      </c>
      <c r="B76" s="70" t="s">
        <v>704</v>
      </c>
      <c r="C76" s="71" t="s">
        <v>51</v>
      </c>
      <c r="D76" s="71" t="s">
        <v>705</v>
      </c>
      <c r="E76" s="71" t="s">
        <v>707</v>
      </c>
      <c r="F76" s="71" t="s">
        <v>709</v>
      </c>
      <c r="G76" s="71">
        <v>1997.0</v>
      </c>
      <c r="H76" s="17">
        <v>1.0</v>
      </c>
      <c r="I76" s="17">
        <v>0.0</v>
      </c>
      <c r="J76" s="17">
        <v>1.0</v>
      </c>
      <c r="K76" s="17">
        <v>0.5</v>
      </c>
      <c r="L76" s="21">
        <f t="shared" si="1"/>
        <v>2.5</v>
      </c>
      <c r="M76" s="17">
        <v>0.0</v>
      </c>
      <c r="N76" s="17">
        <v>0.0</v>
      </c>
      <c r="O76" s="21">
        <f t="shared" si="2"/>
        <v>0</v>
      </c>
      <c r="P76" s="17">
        <v>0.0</v>
      </c>
      <c r="Q76" s="21">
        <f t="shared" si="3"/>
        <v>0</v>
      </c>
      <c r="R76" s="72">
        <f t="shared" si="4"/>
        <v>0.625</v>
      </c>
    </row>
    <row r="77">
      <c r="A77" s="70" t="s">
        <v>711</v>
      </c>
      <c r="B77" s="70" t="s">
        <v>712</v>
      </c>
      <c r="C77" s="70" t="s">
        <v>77</v>
      </c>
      <c r="D77" s="70" t="s">
        <v>713</v>
      </c>
      <c r="E77" s="70" t="s">
        <v>714</v>
      </c>
      <c r="F77" s="70" t="s">
        <v>278</v>
      </c>
      <c r="G77" s="70">
        <v>2004.0</v>
      </c>
      <c r="H77" s="17">
        <v>0.5</v>
      </c>
      <c r="I77" s="17">
        <v>0.0</v>
      </c>
      <c r="J77" s="17">
        <v>0.5</v>
      </c>
      <c r="K77" s="17">
        <v>0.0</v>
      </c>
      <c r="L77" s="21">
        <f t="shared" si="1"/>
        <v>1</v>
      </c>
      <c r="M77" s="17">
        <v>0.0</v>
      </c>
      <c r="N77" s="17">
        <v>0.0</v>
      </c>
      <c r="O77" s="21">
        <f t="shared" si="2"/>
        <v>0</v>
      </c>
      <c r="P77" s="17">
        <v>0.5</v>
      </c>
      <c r="Q77" s="21">
        <f t="shared" si="3"/>
        <v>0.5</v>
      </c>
      <c r="R77" s="72">
        <f t="shared" si="4"/>
        <v>0.75</v>
      </c>
    </row>
    <row r="78">
      <c r="A78" s="27" t="s">
        <v>415</v>
      </c>
      <c r="B78" s="27" t="s">
        <v>416</v>
      </c>
      <c r="C78" s="27" t="s">
        <v>51</v>
      </c>
      <c r="D78" s="27" t="s">
        <v>417</v>
      </c>
      <c r="E78" s="27" t="s">
        <v>418</v>
      </c>
      <c r="F78" s="27" t="s">
        <v>205</v>
      </c>
      <c r="G78" s="27">
        <v>2015.0</v>
      </c>
      <c r="H78" s="17">
        <v>1.0</v>
      </c>
      <c r="I78" s="17">
        <v>1.0</v>
      </c>
      <c r="J78" s="17">
        <v>1.0</v>
      </c>
      <c r="K78" s="17">
        <v>1.0</v>
      </c>
      <c r="L78" s="21">
        <f t="shared" si="1"/>
        <v>4</v>
      </c>
      <c r="M78" s="17">
        <v>1.0</v>
      </c>
      <c r="N78" s="17">
        <v>0.0</v>
      </c>
      <c r="O78" s="21">
        <f t="shared" si="2"/>
        <v>1</v>
      </c>
      <c r="P78" s="17">
        <v>1.0</v>
      </c>
      <c r="Q78" s="21">
        <f t="shared" si="3"/>
        <v>1</v>
      </c>
      <c r="R78" s="26">
        <f t="shared" si="4"/>
        <v>2.5</v>
      </c>
    </row>
    <row r="79">
      <c r="A79" s="70" t="s">
        <v>719</v>
      </c>
      <c r="B79" s="70" t="s">
        <v>720</v>
      </c>
      <c r="C79" s="70" t="s">
        <v>77</v>
      </c>
      <c r="D79" s="70" t="s">
        <v>722</v>
      </c>
      <c r="E79" s="70" t="s">
        <v>723</v>
      </c>
      <c r="F79" s="70" t="s">
        <v>724</v>
      </c>
      <c r="G79" s="70">
        <v>2010.0</v>
      </c>
      <c r="H79" s="17">
        <v>0.5</v>
      </c>
      <c r="I79" s="17">
        <v>0.0</v>
      </c>
      <c r="J79" s="17">
        <v>0.5</v>
      </c>
      <c r="K79" s="17">
        <v>0.0</v>
      </c>
      <c r="L79" s="21">
        <f t="shared" si="1"/>
        <v>1</v>
      </c>
      <c r="M79" s="17">
        <v>0.0</v>
      </c>
      <c r="N79" s="17">
        <v>0.0</v>
      </c>
      <c r="O79" s="21">
        <f t="shared" si="2"/>
        <v>0</v>
      </c>
      <c r="P79" s="17">
        <v>1.0</v>
      </c>
      <c r="Q79" s="21">
        <f t="shared" si="3"/>
        <v>1</v>
      </c>
      <c r="R79" s="72">
        <f t="shared" si="4"/>
        <v>1.25</v>
      </c>
    </row>
    <row r="80">
      <c r="A80" s="70" t="s">
        <v>731</v>
      </c>
      <c r="B80" s="70" t="s">
        <v>732</v>
      </c>
      <c r="C80" s="70" t="s">
        <v>51</v>
      </c>
      <c r="D80" s="70" t="s">
        <v>733</v>
      </c>
      <c r="E80" s="70" t="s">
        <v>734</v>
      </c>
      <c r="F80" s="70" t="s">
        <v>735</v>
      </c>
      <c r="G80" s="70">
        <v>2010.0</v>
      </c>
      <c r="H80" s="17">
        <v>1.0</v>
      </c>
      <c r="I80" s="17">
        <v>0.5</v>
      </c>
      <c r="J80" s="17">
        <v>0.0</v>
      </c>
      <c r="K80" s="17">
        <v>0.0</v>
      </c>
      <c r="L80" s="21">
        <f t="shared" si="1"/>
        <v>1.5</v>
      </c>
      <c r="M80" s="17">
        <v>0.0</v>
      </c>
      <c r="N80" s="17">
        <v>0.0</v>
      </c>
      <c r="O80" s="21">
        <f t="shared" si="2"/>
        <v>0</v>
      </c>
      <c r="P80" s="17">
        <v>0.5</v>
      </c>
      <c r="Q80" s="21">
        <f t="shared" si="3"/>
        <v>0.5</v>
      </c>
      <c r="R80" s="72">
        <f t="shared" si="4"/>
        <v>0.875</v>
      </c>
    </row>
    <row r="81">
      <c r="A81" s="70" t="s">
        <v>741</v>
      </c>
      <c r="B81" s="70" t="s">
        <v>742</v>
      </c>
      <c r="C81" s="70" t="s">
        <v>51</v>
      </c>
      <c r="D81" s="70" t="s">
        <v>743</v>
      </c>
      <c r="E81" s="70" t="s">
        <v>744</v>
      </c>
      <c r="F81" s="70" t="s">
        <v>745</v>
      </c>
      <c r="G81" s="70">
        <v>2010.0</v>
      </c>
      <c r="H81" s="17">
        <v>1.0</v>
      </c>
      <c r="I81" s="17">
        <v>0.0</v>
      </c>
      <c r="J81" s="17">
        <v>1.0</v>
      </c>
      <c r="K81" s="17">
        <v>0.0</v>
      </c>
      <c r="L81" s="21">
        <f t="shared" si="1"/>
        <v>2</v>
      </c>
      <c r="M81" s="17">
        <v>0.0</v>
      </c>
      <c r="N81" s="17">
        <v>0.0</v>
      </c>
      <c r="O81" s="21">
        <f t="shared" si="2"/>
        <v>0</v>
      </c>
      <c r="P81" s="17">
        <v>0.5</v>
      </c>
      <c r="Q81" s="21">
        <f t="shared" si="3"/>
        <v>0.5</v>
      </c>
      <c r="R81" s="72">
        <f t="shared" si="4"/>
        <v>1</v>
      </c>
    </row>
    <row r="82">
      <c r="A82" s="27" t="s">
        <v>424</v>
      </c>
      <c r="B82" s="27" t="s">
        <v>425</v>
      </c>
      <c r="C82" s="27" t="s">
        <v>51</v>
      </c>
      <c r="D82" s="27" t="s">
        <v>426</v>
      </c>
      <c r="E82" s="27" t="s">
        <v>427</v>
      </c>
      <c r="F82" s="27" t="s">
        <v>428</v>
      </c>
      <c r="G82" s="27">
        <v>2010.0</v>
      </c>
      <c r="H82" s="17">
        <v>1.0</v>
      </c>
      <c r="I82" s="17">
        <v>0.0</v>
      </c>
      <c r="J82" s="17">
        <v>1.0</v>
      </c>
      <c r="K82" s="17">
        <v>0.0</v>
      </c>
      <c r="L82" s="21">
        <f t="shared" si="1"/>
        <v>2</v>
      </c>
      <c r="M82" s="17">
        <v>0.0</v>
      </c>
      <c r="N82" s="17">
        <v>0.0</v>
      </c>
      <c r="O82" s="21">
        <f t="shared" si="2"/>
        <v>0</v>
      </c>
      <c r="P82" s="17">
        <v>1.0</v>
      </c>
      <c r="Q82" s="21">
        <f t="shared" si="3"/>
        <v>1</v>
      </c>
      <c r="R82" s="26">
        <f t="shared" si="4"/>
        <v>1.5</v>
      </c>
    </row>
    <row r="83">
      <c r="A83" s="4" t="s">
        <v>440</v>
      </c>
      <c r="B83" s="4" t="s">
        <v>441</v>
      </c>
      <c r="C83" s="4" t="s">
        <v>77</v>
      </c>
      <c r="D83" s="4" t="s">
        <v>442</v>
      </c>
      <c r="E83" s="4" t="s">
        <v>443</v>
      </c>
      <c r="F83" s="4" t="s">
        <v>132</v>
      </c>
      <c r="G83" s="4">
        <v>2002.0</v>
      </c>
      <c r="H83" s="17">
        <v>0.5</v>
      </c>
      <c r="I83" s="17">
        <v>0.0</v>
      </c>
      <c r="J83" s="17">
        <v>0.5</v>
      </c>
      <c r="K83" s="17">
        <v>0.0</v>
      </c>
      <c r="L83" s="21">
        <f t="shared" si="1"/>
        <v>1</v>
      </c>
      <c r="M83" s="17">
        <v>1.0</v>
      </c>
      <c r="N83" s="17">
        <v>0.5</v>
      </c>
      <c r="O83" s="21">
        <f t="shared" si="2"/>
        <v>1.5</v>
      </c>
      <c r="P83" s="17">
        <v>0.5</v>
      </c>
      <c r="Q83" s="21">
        <f t="shared" si="3"/>
        <v>0.5</v>
      </c>
      <c r="R83" s="26">
        <f t="shared" si="4"/>
        <v>1.5</v>
      </c>
    </row>
    <row r="84" hidden="1">
      <c r="A84" s="4"/>
      <c r="B84" s="4" t="s">
        <v>761</v>
      </c>
      <c r="C84" s="4" t="s">
        <v>77</v>
      </c>
      <c r="D84" s="87" t="s">
        <v>762</v>
      </c>
      <c r="E84" s="4" t="s">
        <v>765</v>
      </c>
      <c r="F84" s="4" t="s">
        <v>766</v>
      </c>
      <c r="G84" s="4">
        <v>2001.0</v>
      </c>
      <c r="H84" s="32"/>
      <c r="I84" s="32"/>
      <c r="J84" s="32"/>
      <c r="K84" s="32"/>
      <c r="L84" s="21">
        <f t="shared" si="1"/>
        <v>0</v>
      </c>
      <c r="M84" s="32"/>
      <c r="N84" s="32"/>
      <c r="O84" s="21">
        <f t="shared" si="2"/>
        <v>0</v>
      </c>
      <c r="P84" s="32"/>
      <c r="Q84" s="21">
        <f t="shared" si="3"/>
        <v>0</v>
      </c>
      <c r="R84" s="26">
        <f t="shared" si="4"/>
        <v>0</v>
      </c>
    </row>
    <row r="85" hidden="1">
      <c r="A85" s="27" t="s">
        <v>448</v>
      </c>
      <c r="B85" s="27" t="s">
        <v>780</v>
      </c>
      <c r="C85" s="27" t="s">
        <v>77</v>
      </c>
      <c r="D85" s="27" t="s">
        <v>781</v>
      </c>
      <c r="E85" s="27" t="s">
        <v>782</v>
      </c>
      <c r="F85" s="27" t="s">
        <v>784</v>
      </c>
      <c r="G85" s="27">
        <v>2010.0</v>
      </c>
      <c r="H85" s="32"/>
      <c r="I85" s="32"/>
      <c r="J85" s="32"/>
      <c r="K85" s="32"/>
      <c r="L85" s="21">
        <f t="shared" si="1"/>
        <v>0</v>
      </c>
      <c r="M85" s="32"/>
      <c r="N85" s="32"/>
      <c r="O85" s="21">
        <f t="shared" si="2"/>
        <v>0</v>
      </c>
      <c r="P85" s="32"/>
      <c r="Q85" s="21">
        <f t="shared" si="3"/>
        <v>0</v>
      </c>
      <c r="R85" s="26">
        <f t="shared" si="4"/>
        <v>0</v>
      </c>
    </row>
    <row r="86">
      <c r="A86" s="27" t="s">
        <v>448</v>
      </c>
      <c r="B86" s="27" t="s">
        <v>449</v>
      </c>
      <c r="C86" s="27" t="s">
        <v>77</v>
      </c>
      <c r="D86" s="27" t="s">
        <v>450</v>
      </c>
      <c r="E86" s="27" t="s">
        <v>451</v>
      </c>
      <c r="F86" s="27" t="s">
        <v>452</v>
      </c>
      <c r="G86" s="27">
        <v>2011.0</v>
      </c>
      <c r="H86" s="17">
        <v>1.0</v>
      </c>
      <c r="I86" s="17">
        <v>0.0</v>
      </c>
      <c r="J86" s="17">
        <v>1.0</v>
      </c>
      <c r="K86" s="17">
        <v>0.0</v>
      </c>
      <c r="L86" s="21">
        <f t="shared" si="1"/>
        <v>2</v>
      </c>
      <c r="M86" s="17">
        <v>1.0</v>
      </c>
      <c r="N86" s="17">
        <v>0.0</v>
      </c>
      <c r="O86" s="21">
        <f t="shared" si="2"/>
        <v>1</v>
      </c>
      <c r="P86" s="17">
        <v>1.0</v>
      </c>
      <c r="Q86" s="21">
        <f t="shared" si="3"/>
        <v>1</v>
      </c>
      <c r="R86" s="26">
        <f t="shared" si="4"/>
        <v>2</v>
      </c>
    </row>
    <row r="87">
      <c r="A87" s="70" t="s">
        <v>803</v>
      </c>
      <c r="B87" s="70" t="s">
        <v>804</v>
      </c>
      <c r="C87" s="70" t="s">
        <v>77</v>
      </c>
      <c r="D87" s="70" t="s">
        <v>805</v>
      </c>
      <c r="E87" s="70" t="s">
        <v>806</v>
      </c>
      <c r="F87" s="70" t="s">
        <v>807</v>
      </c>
      <c r="G87" s="70">
        <v>2011.0</v>
      </c>
      <c r="H87" s="17">
        <v>0.0</v>
      </c>
      <c r="I87" s="17">
        <v>0.0</v>
      </c>
      <c r="J87" s="17">
        <v>0.0</v>
      </c>
      <c r="K87" s="17">
        <v>0.0</v>
      </c>
      <c r="L87" s="21">
        <f t="shared" si="1"/>
        <v>0</v>
      </c>
      <c r="M87" s="17">
        <v>0.0</v>
      </c>
      <c r="N87" s="17">
        <v>0.0</v>
      </c>
      <c r="O87" s="21">
        <f t="shared" si="2"/>
        <v>0</v>
      </c>
      <c r="P87" s="17">
        <v>0.0</v>
      </c>
      <c r="Q87" s="21">
        <f t="shared" si="3"/>
        <v>0</v>
      </c>
      <c r="R87" s="72">
        <f t="shared" si="4"/>
        <v>0</v>
      </c>
    </row>
    <row r="88">
      <c r="A88" s="70" t="s">
        <v>814</v>
      </c>
      <c r="B88" s="70" t="s">
        <v>815</v>
      </c>
      <c r="C88" s="70" t="s">
        <v>51</v>
      </c>
      <c r="D88" s="70" t="s">
        <v>816</v>
      </c>
      <c r="E88" s="70" t="s">
        <v>817</v>
      </c>
      <c r="F88" s="70" t="s">
        <v>818</v>
      </c>
      <c r="G88" s="70">
        <v>2006.0</v>
      </c>
      <c r="H88" s="17">
        <v>0.5</v>
      </c>
      <c r="I88" s="17">
        <v>0.0</v>
      </c>
      <c r="J88" s="17">
        <v>0.5</v>
      </c>
      <c r="K88" s="17">
        <v>0.0</v>
      </c>
      <c r="L88" s="21">
        <f t="shared" si="1"/>
        <v>1</v>
      </c>
      <c r="M88" s="17">
        <v>0.0</v>
      </c>
      <c r="N88" s="17">
        <v>0.0</v>
      </c>
      <c r="O88" s="21">
        <f t="shared" si="2"/>
        <v>0</v>
      </c>
      <c r="P88" s="17">
        <v>0.5</v>
      </c>
      <c r="Q88" s="21">
        <f t="shared" si="3"/>
        <v>0.5</v>
      </c>
      <c r="R88" s="72">
        <f t="shared" si="4"/>
        <v>0.75</v>
      </c>
    </row>
    <row r="89">
      <c r="A89" s="70" t="s">
        <v>825</v>
      </c>
      <c r="B89" s="70" t="s">
        <v>826</v>
      </c>
      <c r="C89" s="70" t="s">
        <v>51</v>
      </c>
      <c r="D89" s="70" t="s">
        <v>828</v>
      </c>
      <c r="E89" s="70" t="s">
        <v>829</v>
      </c>
      <c r="F89" s="70" t="s">
        <v>830</v>
      </c>
      <c r="G89" s="70">
        <v>2003.0</v>
      </c>
      <c r="H89" s="17">
        <v>0.0</v>
      </c>
      <c r="I89" s="17">
        <v>0.0</v>
      </c>
      <c r="J89" s="17">
        <v>0.0</v>
      </c>
      <c r="K89" s="17">
        <v>0.0</v>
      </c>
      <c r="L89" s="21">
        <f t="shared" si="1"/>
        <v>0</v>
      </c>
      <c r="M89" s="17">
        <v>0.0</v>
      </c>
      <c r="N89" s="17">
        <v>0.0</v>
      </c>
      <c r="O89" s="21">
        <f t="shared" si="2"/>
        <v>0</v>
      </c>
      <c r="P89" s="17">
        <v>0.5</v>
      </c>
      <c r="Q89" s="21">
        <f t="shared" si="3"/>
        <v>0.5</v>
      </c>
      <c r="R89" s="72">
        <f t="shared" si="4"/>
        <v>0.5</v>
      </c>
    </row>
    <row r="90" hidden="1">
      <c r="A90" s="27" t="s">
        <v>459</v>
      </c>
      <c r="B90" s="27" t="s">
        <v>832</v>
      </c>
      <c r="C90" s="27" t="s">
        <v>51</v>
      </c>
      <c r="D90" s="27" t="s">
        <v>834</v>
      </c>
      <c r="E90" s="27" t="s">
        <v>835</v>
      </c>
      <c r="F90" s="27" t="s">
        <v>837</v>
      </c>
      <c r="G90" s="27">
        <v>2009.0</v>
      </c>
      <c r="H90" s="32"/>
      <c r="I90" s="32"/>
      <c r="J90" s="32"/>
      <c r="K90" s="32"/>
      <c r="L90" s="21">
        <f t="shared" si="1"/>
        <v>0</v>
      </c>
      <c r="M90" s="32"/>
      <c r="N90" s="32"/>
      <c r="O90" s="21">
        <f t="shared" si="2"/>
        <v>0</v>
      </c>
      <c r="P90" s="32"/>
      <c r="Q90" s="21">
        <f t="shared" si="3"/>
        <v>0</v>
      </c>
      <c r="R90" s="26">
        <f t="shared" si="4"/>
        <v>0</v>
      </c>
    </row>
    <row r="91">
      <c r="A91" s="27" t="s">
        <v>459</v>
      </c>
      <c r="B91" s="27" t="s">
        <v>461</v>
      </c>
      <c r="C91" s="27" t="s">
        <v>51</v>
      </c>
      <c r="D91" s="60" t="s">
        <v>464</v>
      </c>
      <c r="E91" s="27" t="s">
        <v>465</v>
      </c>
      <c r="F91" s="60" t="s">
        <v>466</v>
      </c>
      <c r="G91" s="27">
        <v>2009.0</v>
      </c>
      <c r="H91" s="17">
        <v>1.0</v>
      </c>
      <c r="I91" s="17">
        <v>1.0</v>
      </c>
      <c r="J91" s="17">
        <v>1.0</v>
      </c>
      <c r="K91" s="17">
        <v>0.0</v>
      </c>
      <c r="L91" s="21">
        <f t="shared" si="1"/>
        <v>3</v>
      </c>
      <c r="M91" s="17">
        <v>0.5</v>
      </c>
      <c r="N91" s="17">
        <v>0.0</v>
      </c>
      <c r="O91" s="21">
        <f t="shared" si="2"/>
        <v>0.5</v>
      </c>
      <c r="P91" s="17">
        <v>0.5</v>
      </c>
      <c r="Q91" s="21">
        <f t="shared" si="3"/>
        <v>0.5</v>
      </c>
      <c r="R91" s="26">
        <f t="shared" si="4"/>
        <v>1.5</v>
      </c>
    </row>
    <row r="92">
      <c r="A92" s="4" t="s">
        <v>471</v>
      </c>
      <c r="B92" s="4" t="s">
        <v>472</v>
      </c>
      <c r="C92" s="4" t="s">
        <v>51</v>
      </c>
      <c r="D92" s="4" t="s">
        <v>473</v>
      </c>
      <c r="E92" s="4" t="s">
        <v>474</v>
      </c>
      <c r="F92" s="4" t="s">
        <v>476</v>
      </c>
      <c r="G92" s="4">
        <v>2007.0</v>
      </c>
      <c r="H92" s="17">
        <v>1.0</v>
      </c>
      <c r="I92" s="17">
        <v>0.0</v>
      </c>
      <c r="J92" s="17">
        <v>1.0</v>
      </c>
      <c r="K92" s="17">
        <v>0.0</v>
      </c>
      <c r="L92" s="21">
        <f t="shared" si="1"/>
        <v>2</v>
      </c>
      <c r="M92" s="17">
        <v>0.5</v>
      </c>
      <c r="N92" s="17">
        <v>0.0</v>
      </c>
      <c r="O92" s="21">
        <f t="shared" si="2"/>
        <v>0.5</v>
      </c>
      <c r="P92" s="17">
        <v>1.0</v>
      </c>
      <c r="Q92" s="21">
        <f t="shared" si="3"/>
        <v>1</v>
      </c>
      <c r="R92" s="26">
        <f t="shared" si="4"/>
        <v>1.75</v>
      </c>
    </row>
    <row r="93">
      <c r="A93" s="70" t="s">
        <v>848</v>
      </c>
      <c r="B93" s="70" t="s">
        <v>849</v>
      </c>
      <c r="C93" s="70" t="s">
        <v>77</v>
      </c>
      <c r="D93" s="70" t="s">
        <v>850</v>
      </c>
      <c r="E93" s="70" t="s">
        <v>851</v>
      </c>
      <c r="F93" s="70" t="s">
        <v>80</v>
      </c>
      <c r="G93" s="70">
        <v>2008.0</v>
      </c>
      <c r="H93" s="17">
        <v>0.5</v>
      </c>
      <c r="I93" s="17">
        <v>0.5</v>
      </c>
      <c r="J93" s="17">
        <v>0.5</v>
      </c>
      <c r="K93" s="17">
        <v>0.0</v>
      </c>
      <c r="L93" s="21">
        <f t="shared" si="1"/>
        <v>1.5</v>
      </c>
      <c r="M93" s="17">
        <v>0.5</v>
      </c>
      <c r="N93" s="17">
        <v>0.0</v>
      </c>
      <c r="O93" s="21">
        <f t="shared" si="2"/>
        <v>0.5</v>
      </c>
      <c r="P93" s="17">
        <v>0.5</v>
      </c>
      <c r="Q93" s="21">
        <f t="shared" si="3"/>
        <v>0.5</v>
      </c>
      <c r="R93" s="72">
        <f t="shared" si="4"/>
        <v>1.125</v>
      </c>
    </row>
    <row r="94">
      <c r="A94" s="70" t="s">
        <v>852</v>
      </c>
      <c r="B94" s="70" t="s">
        <v>853</v>
      </c>
      <c r="C94" s="70" t="s">
        <v>51</v>
      </c>
      <c r="D94" s="70" t="s">
        <v>854</v>
      </c>
      <c r="E94" s="70" t="s">
        <v>855</v>
      </c>
      <c r="F94" s="70" t="s">
        <v>856</v>
      </c>
      <c r="G94" s="70">
        <v>2001.0</v>
      </c>
      <c r="H94" s="17">
        <v>0.0</v>
      </c>
      <c r="I94" s="17">
        <v>0.0</v>
      </c>
      <c r="J94" s="17">
        <v>0.0</v>
      </c>
      <c r="K94" s="17">
        <v>0.0</v>
      </c>
      <c r="L94" s="21">
        <f t="shared" si="1"/>
        <v>0</v>
      </c>
      <c r="M94" s="17">
        <v>0.0</v>
      </c>
      <c r="N94" s="17">
        <v>0.0</v>
      </c>
      <c r="O94" s="21">
        <f t="shared" si="2"/>
        <v>0</v>
      </c>
      <c r="P94" s="17">
        <v>0.0</v>
      </c>
      <c r="Q94" s="21">
        <f t="shared" si="3"/>
        <v>0</v>
      </c>
      <c r="R94" s="72">
        <f t="shared" si="4"/>
        <v>0</v>
      </c>
    </row>
    <row r="95">
      <c r="A95" s="70" t="s">
        <v>858</v>
      </c>
      <c r="B95" s="70" t="s">
        <v>859</v>
      </c>
      <c r="C95" s="70" t="s">
        <v>51</v>
      </c>
      <c r="D95" s="70" t="s">
        <v>860</v>
      </c>
      <c r="E95" s="70" t="s">
        <v>861</v>
      </c>
      <c r="F95" s="70" t="s">
        <v>862</v>
      </c>
      <c r="G95" s="70">
        <v>2004.0</v>
      </c>
      <c r="H95" s="17">
        <v>1.0</v>
      </c>
      <c r="I95" s="17">
        <v>0.0</v>
      </c>
      <c r="J95" s="17">
        <v>1.0</v>
      </c>
      <c r="K95" s="17">
        <v>0.0</v>
      </c>
      <c r="L95" s="21">
        <f t="shared" si="1"/>
        <v>2</v>
      </c>
      <c r="M95" s="17">
        <v>0.0</v>
      </c>
      <c r="N95" s="17">
        <v>0.0</v>
      </c>
      <c r="O95" s="21">
        <f t="shared" si="2"/>
        <v>0</v>
      </c>
      <c r="P95" s="17">
        <v>0.0</v>
      </c>
      <c r="Q95" s="21">
        <f t="shared" si="3"/>
        <v>0</v>
      </c>
      <c r="R95" s="72">
        <f t="shared" si="4"/>
        <v>0.5</v>
      </c>
    </row>
    <row r="96">
      <c r="A96" s="70" t="s">
        <v>863</v>
      </c>
      <c r="B96" s="70" t="s">
        <v>864</v>
      </c>
      <c r="C96" s="70" t="s">
        <v>51</v>
      </c>
      <c r="D96" s="70" t="s">
        <v>865</v>
      </c>
      <c r="E96" s="70" t="s">
        <v>866</v>
      </c>
      <c r="F96" s="70" t="s">
        <v>867</v>
      </c>
      <c r="G96" s="70">
        <v>1999.0</v>
      </c>
      <c r="H96" s="17">
        <v>1.0</v>
      </c>
      <c r="I96" s="17">
        <v>0.0</v>
      </c>
      <c r="J96" s="17">
        <v>1.0</v>
      </c>
      <c r="K96" s="17">
        <v>0.0</v>
      </c>
      <c r="L96" s="21">
        <f t="shared" si="1"/>
        <v>2</v>
      </c>
      <c r="M96" s="17">
        <v>0.0</v>
      </c>
      <c r="N96" s="17">
        <v>0.0</v>
      </c>
      <c r="O96" s="21">
        <f t="shared" si="2"/>
        <v>0</v>
      </c>
      <c r="P96" s="17">
        <v>0.5</v>
      </c>
      <c r="Q96" s="21">
        <f t="shared" si="3"/>
        <v>0.5</v>
      </c>
      <c r="R96" s="72">
        <f t="shared" si="4"/>
        <v>1</v>
      </c>
    </row>
    <row r="97">
      <c r="A97" s="70" t="s">
        <v>872</v>
      </c>
      <c r="B97" s="70" t="s">
        <v>873</v>
      </c>
      <c r="C97" s="70" t="s">
        <v>51</v>
      </c>
      <c r="D97" s="70" t="s">
        <v>874</v>
      </c>
      <c r="E97" s="70" t="s">
        <v>875</v>
      </c>
      <c r="F97" s="70" t="s">
        <v>876</v>
      </c>
      <c r="G97" s="70">
        <v>2005.0</v>
      </c>
      <c r="H97" s="17">
        <v>1.0</v>
      </c>
      <c r="I97" s="17">
        <v>0.0</v>
      </c>
      <c r="J97" s="17">
        <v>1.0</v>
      </c>
      <c r="K97" s="17">
        <v>0.0</v>
      </c>
      <c r="L97" s="21">
        <f t="shared" si="1"/>
        <v>2</v>
      </c>
      <c r="M97" s="17">
        <v>0.0</v>
      </c>
      <c r="N97" s="17">
        <v>0.0</v>
      </c>
      <c r="O97" s="21">
        <f t="shared" si="2"/>
        <v>0</v>
      </c>
      <c r="P97" s="17">
        <v>0.5</v>
      </c>
      <c r="Q97" s="21">
        <f t="shared" si="3"/>
        <v>0.5</v>
      </c>
      <c r="R97" s="72">
        <f t="shared" si="4"/>
        <v>1</v>
      </c>
    </row>
    <row r="98">
      <c r="A98" s="70" t="s">
        <v>877</v>
      </c>
      <c r="B98" s="70" t="s">
        <v>878</v>
      </c>
      <c r="C98" s="70" t="s">
        <v>51</v>
      </c>
      <c r="D98" s="70" t="s">
        <v>879</v>
      </c>
      <c r="E98" s="70" t="s">
        <v>880</v>
      </c>
      <c r="F98" s="70" t="s">
        <v>830</v>
      </c>
      <c r="G98" s="70">
        <v>1999.0</v>
      </c>
      <c r="H98" s="17">
        <v>0.5</v>
      </c>
      <c r="I98" s="17">
        <v>1.0</v>
      </c>
      <c r="J98" s="17">
        <v>0.5</v>
      </c>
      <c r="K98" s="17">
        <v>0.0</v>
      </c>
      <c r="L98" s="21">
        <f t="shared" si="1"/>
        <v>2</v>
      </c>
      <c r="M98" s="17">
        <v>0.0</v>
      </c>
      <c r="N98" s="17">
        <v>0.0</v>
      </c>
      <c r="O98" s="21">
        <f t="shared" si="2"/>
        <v>0</v>
      </c>
      <c r="P98" s="17">
        <v>0.5</v>
      </c>
      <c r="Q98" s="21">
        <f t="shared" si="3"/>
        <v>0.5</v>
      </c>
      <c r="R98" s="72">
        <f t="shared" si="4"/>
        <v>1</v>
      </c>
    </row>
    <row r="99">
      <c r="A99" s="70" t="s">
        <v>885</v>
      </c>
      <c r="B99" s="70" t="s">
        <v>886</v>
      </c>
      <c r="C99" s="70" t="s">
        <v>51</v>
      </c>
      <c r="D99" s="70" t="s">
        <v>887</v>
      </c>
      <c r="E99" s="70" t="s">
        <v>888</v>
      </c>
      <c r="F99" s="70" t="s">
        <v>889</v>
      </c>
      <c r="G99" s="70">
        <v>2009.0</v>
      </c>
      <c r="H99" s="17">
        <v>1.0</v>
      </c>
      <c r="I99" s="17">
        <v>0.0</v>
      </c>
      <c r="J99" s="17">
        <v>1.0</v>
      </c>
      <c r="K99" s="17">
        <v>0.0</v>
      </c>
      <c r="L99" s="21">
        <f t="shared" si="1"/>
        <v>2</v>
      </c>
      <c r="M99" s="17">
        <v>0.0</v>
      </c>
      <c r="N99" s="17">
        <v>0.0</v>
      </c>
      <c r="O99" s="21">
        <f t="shared" si="2"/>
        <v>0</v>
      </c>
      <c r="P99" s="17">
        <v>0.0</v>
      </c>
      <c r="Q99" s="21">
        <f t="shared" si="3"/>
        <v>0</v>
      </c>
      <c r="R99" s="72">
        <f t="shared" si="4"/>
        <v>0.5</v>
      </c>
    </row>
    <row r="100" hidden="1">
      <c r="A100" s="4" t="s">
        <v>483</v>
      </c>
      <c r="B100" s="4" t="s">
        <v>892</v>
      </c>
      <c r="C100" s="4" t="s">
        <v>77</v>
      </c>
      <c r="D100" s="4" t="s">
        <v>894</v>
      </c>
      <c r="E100" s="4" t="s">
        <v>896</v>
      </c>
      <c r="F100" s="4" t="s">
        <v>897</v>
      </c>
      <c r="G100" s="4">
        <v>2012.0</v>
      </c>
      <c r="H100" s="32"/>
      <c r="I100" s="32"/>
      <c r="J100" s="32"/>
      <c r="K100" s="32"/>
      <c r="L100" s="21">
        <f t="shared" si="1"/>
        <v>0</v>
      </c>
      <c r="M100" s="32"/>
      <c r="N100" s="32"/>
      <c r="O100" s="21">
        <f t="shared" si="2"/>
        <v>0</v>
      </c>
      <c r="P100" s="32"/>
      <c r="Q100" s="21">
        <f t="shared" si="3"/>
        <v>0</v>
      </c>
      <c r="R100" s="26">
        <f t="shared" si="4"/>
        <v>0</v>
      </c>
    </row>
    <row r="101">
      <c r="A101" s="4" t="s">
        <v>483</v>
      </c>
      <c r="B101" s="4" t="s">
        <v>484</v>
      </c>
      <c r="C101" s="4" t="s">
        <v>77</v>
      </c>
      <c r="D101" s="83" t="s">
        <v>485</v>
      </c>
      <c r="E101" s="83" t="s">
        <v>488</v>
      </c>
      <c r="F101" s="4" t="s">
        <v>489</v>
      </c>
      <c r="G101" s="4">
        <v>2016.0</v>
      </c>
      <c r="H101" s="17">
        <v>1.0</v>
      </c>
      <c r="I101" s="17">
        <v>0.0</v>
      </c>
      <c r="J101" s="17">
        <v>1.0</v>
      </c>
      <c r="K101" s="17">
        <v>0.0</v>
      </c>
      <c r="L101" s="21">
        <f t="shared" si="1"/>
        <v>2</v>
      </c>
      <c r="M101" s="17">
        <v>1.0</v>
      </c>
      <c r="N101" s="17">
        <v>0.0</v>
      </c>
      <c r="O101" s="21">
        <f t="shared" si="2"/>
        <v>1</v>
      </c>
      <c r="P101" s="17">
        <v>0.5</v>
      </c>
      <c r="Q101" s="21">
        <f t="shared" si="3"/>
        <v>0.5</v>
      </c>
      <c r="R101" s="26">
        <f t="shared" si="4"/>
        <v>1.5</v>
      </c>
    </row>
    <row r="102">
      <c r="A102" s="27" t="s">
        <v>496</v>
      </c>
      <c r="B102" s="27" t="s">
        <v>497</v>
      </c>
      <c r="C102" s="27" t="s">
        <v>77</v>
      </c>
      <c r="D102" s="27" t="s">
        <v>498</v>
      </c>
      <c r="E102" s="27" t="s">
        <v>499</v>
      </c>
      <c r="F102" s="27" t="s">
        <v>500</v>
      </c>
      <c r="G102" s="27">
        <v>2005.0</v>
      </c>
      <c r="H102" s="17">
        <v>1.0</v>
      </c>
      <c r="I102" s="17">
        <v>0.0</v>
      </c>
      <c r="J102" s="17">
        <v>1.0</v>
      </c>
      <c r="K102" s="17">
        <v>1.0</v>
      </c>
      <c r="L102" s="21">
        <f t="shared" si="1"/>
        <v>3</v>
      </c>
      <c r="M102" s="17">
        <v>1.0</v>
      </c>
      <c r="N102" s="17">
        <v>0.0</v>
      </c>
      <c r="O102" s="21">
        <f t="shared" si="2"/>
        <v>1</v>
      </c>
      <c r="P102" s="17">
        <v>1.0</v>
      </c>
      <c r="Q102" s="21">
        <f t="shared" si="3"/>
        <v>1</v>
      </c>
      <c r="R102" s="26">
        <f t="shared" si="4"/>
        <v>2.25</v>
      </c>
    </row>
    <row r="103">
      <c r="A103" s="70" t="s">
        <v>903</v>
      </c>
      <c r="B103" s="70" t="s">
        <v>904</v>
      </c>
      <c r="C103" s="70" t="s">
        <v>77</v>
      </c>
      <c r="D103" s="70" t="s">
        <v>905</v>
      </c>
      <c r="E103" s="70" t="s">
        <v>907</v>
      </c>
      <c r="F103" s="70" t="s">
        <v>908</v>
      </c>
      <c r="G103" s="70">
        <v>2009.0</v>
      </c>
      <c r="H103" s="17">
        <v>1.0</v>
      </c>
      <c r="I103" s="17">
        <v>1.0</v>
      </c>
      <c r="J103" s="17">
        <v>1.0</v>
      </c>
      <c r="K103" s="17">
        <v>0.0</v>
      </c>
      <c r="L103" s="21">
        <f t="shared" si="1"/>
        <v>3</v>
      </c>
      <c r="M103" s="17">
        <v>1.0</v>
      </c>
      <c r="N103" s="17">
        <v>0.0</v>
      </c>
      <c r="O103" s="21">
        <f t="shared" si="2"/>
        <v>1</v>
      </c>
      <c r="P103" s="17">
        <v>0.0</v>
      </c>
      <c r="Q103" s="21">
        <f t="shared" si="3"/>
        <v>0</v>
      </c>
      <c r="R103" s="72">
        <f t="shared" si="4"/>
        <v>1.25</v>
      </c>
    </row>
    <row r="104">
      <c r="A104" s="70" t="s">
        <v>912</v>
      </c>
      <c r="B104" s="70" t="s">
        <v>913</v>
      </c>
      <c r="C104" s="70" t="s">
        <v>77</v>
      </c>
      <c r="D104" s="70" t="s">
        <v>914</v>
      </c>
      <c r="E104" s="70" t="s">
        <v>915</v>
      </c>
      <c r="F104" s="70" t="s">
        <v>916</v>
      </c>
      <c r="G104" s="70">
        <v>2000.0</v>
      </c>
      <c r="H104" s="17">
        <v>0.0</v>
      </c>
      <c r="I104" s="17">
        <v>0.0</v>
      </c>
      <c r="J104" s="17">
        <v>0.0</v>
      </c>
      <c r="K104" s="17">
        <v>0.0</v>
      </c>
      <c r="L104" s="21">
        <f t="shared" si="1"/>
        <v>0</v>
      </c>
      <c r="M104" s="17">
        <v>0.0</v>
      </c>
      <c r="N104" s="17">
        <v>0.0</v>
      </c>
      <c r="O104" s="21">
        <f t="shared" si="2"/>
        <v>0</v>
      </c>
      <c r="P104" s="17">
        <v>0.0</v>
      </c>
      <c r="Q104" s="21">
        <f t="shared" si="3"/>
        <v>0</v>
      </c>
      <c r="R104" s="72">
        <f t="shared" si="4"/>
        <v>0</v>
      </c>
    </row>
    <row r="105">
      <c r="A105" s="70" t="s">
        <v>918</v>
      </c>
      <c r="B105" s="70" t="s">
        <v>920</v>
      </c>
      <c r="C105" s="70" t="s">
        <v>77</v>
      </c>
      <c r="D105" s="75" t="s">
        <v>921</v>
      </c>
      <c r="E105" s="70" t="s">
        <v>923</v>
      </c>
      <c r="F105" s="70" t="s">
        <v>924</v>
      </c>
      <c r="G105" s="70">
        <v>2002.0</v>
      </c>
      <c r="H105" s="17">
        <v>1.0</v>
      </c>
      <c r="I105" s="17">
        <v>0.0</v>
      </c>
      <c r="J105" s="17">
        <v>1.0</v>
      </c>
      <c r="K105" s="17">
        <v>0.0</v>
      </c>
      <c r="L105" s="21">
        <f t="shared" si="1"/>
        <v>2</v>
      </c>
      <c r="M105" s="17">
        <v>0.0</v>
      </c>
      <c r="N105" s="17">
        <v>0.0</v>
      </c>
      <c r="O105" s="21">
        <f t="shared" si="2"/>
        <v>0</v>
      </c>
      <c r="P105" s="17">
        <v>0.0</v>
      </c>
      <c r="Q105" s="21">
        <f t="shared" si="3"/>
        <v>0</v>
      </c>
      <c r="R105" s="72">
        <f t="shared" si="4"/>
        <v>0.5</v>
      </c>
    </row>
    <row r="106" hidden="1">
      <c r="A106" s="27" t="s">
        <v>506</v>
      </c>
      <c r="B106" s="27" t="s">
        <v>927</v>
      </c>
      <c r="C106" s="27" t="s">
        <v>77</v>
      </c>
      <c r="D106" s="57" t="s">
        <v>928</v>
      </c>
      <c r="E106" s="57" t="s">
        <v>929</v>
      </c>
      <c r="F106" s="27" t="s">
        <v>930</v>
      </c>
      <c r="G106" s="27">
        <v>2018.0</v>
      </c>
      <c r="H106" s="32"/>
      <c r="I106" s="32"/>
      <c r="J106" s="32"/>
      <c r="K106" s="32"/>
      <c r="L106" s="21">
        <f t="shared" si="1"/>
        <v>0</v>
      </c>
      <c r="M106" s="32"/>
      <c r="N106" s="32"/>
      <c r="O106" s="21">
        <f t="shared" si="2"/>
        <v>0</v>
      </c>
      <c r="P106" s="32"/>
      <c r="Q106" s="21">
        <f t="shared" si="3"/>
        <v>0</v>
      </c>
      <c r="R106" s="26">
        <f t="shared" si="4"/>
        <v>0</v>
      </c>
    </row>
    <row r="107">
      <c r="A107" s="27" t="s">
        <v>506</v>
      </c>
      <c r="B107" s="27" t="s">
        <v>507</v>
      </c>
      <c r="C107" s="27" t="s">
        <v>77</v>
      </c>
      <c r="D107" s="60" t="s">
        <v>508</v>
      </c>
      <c r="E107" s="60" t="s">
        <v>510</v>
      </c>
      <c r="F107" s="27" t="s">
        <v>512</v>
      </c>
      <c r="G107" s="27">
        <v>2020.0</v>
      </c>
      <c r="H107" s="17">
        <v>1.0</v>
      </c>
      <c r="I107" s="17">
        <v>0.5</v>
      </c>
      <c r="J107" s="17">
        <v>1.0</v>
      </c>
      <c r="K107" s="17">
        <v>1.0</v>
      </c>
      <c r="L107" s="21">
        <f t="shared" si="1"/>
        <v>3.5</v>
      </c>
      <c r="M107" s="17">
        <v>0.5</v>
      </c>
      <c r="N107" s="17">
        <v>0.0</v>
      </c>
      <c r="O107" s="21">
        <f t="shared" si="2"/>
        <v>0.5</v>
      </c>
      <c r="P107" s="17">
        <v>1.0</v>
      </c>
      <c r="Q107" s="21">
        <f t="shared" si="3"/>
        <v>1</v>
      </c>
      <c r="R107" s="26">
        <f t="shared" si="4"/>
        <v>2.125</v>
      </c>
    </row>
    <row r="108">
      <c r="A108" s="4" t="s">
        <v>518</v>
      </c>
      <c r="B108" s="4" t="s">
        <v>520</v>
      </c>
      <c r="C108" s="4" t="s">
        <v>51</v>
      </c>
      <c r="D108" s="58" t="s">
        <v>521</v>
      </c>
      <c r="E108" s="58" t="s">
        <v>522</v>
      </c>
      <c r="F108" s="4" t="s">
        <v>523</v>
      </c>
      <c r="G108" s="4">
        <v>2019.0</v>
      </c>
      <c r="H108" s="17">
        <v>1.0</v>
      </c>
      <c r="I108" s="17">
        <v>0.0</v>
      </c>
      <c r="J108" s="17">
        <v>1.0</v>
      </c>
      <c r="K108" s="17">
        <v>0.0</v>
      </c>
      <c r="L108" s="21">
        <f t="shared" si="1"/>
        <v>2</v>
      </c>
      <c r="M108" s="17">
        <v>0.5</v>
      </c>
      <c r="N108" s="17">
        <v>0.0</v>
      </c>
      <c r="O108" s="21">
        <f t="shared" si="2"/>
        <v>0.5</v>
      </c>
      <c r="P108" s="17">
        <v>1.0</v>
      </c>
      <c r="Q108" s="21">
        <f t="shared" si="3"/>
        <v>1</v>
      </c>
      <c r="R108" s="26">
        <f t="shared" si="4"/>
        <v>1.75</v>
      </c>
    </row>
    <row r="109">
      <c r="A109" s="27" t="s">
        <v>528</v>
      </c>
      <c r="B109" s="27" t="s">
        <v>529</v>
      </c>
      <c r="C109" s="27" t="s">
        <v>51</v>
      </c>
      <c r="D109" s="27" t="s">
        <v>530</v>
      </c>
      <c r="E109" s="27" t="s">
        <v>531</v>
      </c>
      <c r="F109" s="27" t="s">
        <v>532</v>
      </c>
      <c r="G109" s="27">
        <v>2021.0</v>
      </c>
      <c r="H109" s="17">
        <v>1.0</v>
      </c>
      <c r="I109" s="17">
        <v>0.0</v>
      </c>
      <c r="J109" s="17">
        <v>1.0</v>
      </c>
      <c r="K109" s="17">
        <v>0.0</v>
      </c>
      <c r="L109" s="21">
        <f t="shared" si="1"/>
        <v>2</v>
      </c>
      <c r="M109" s="17">
        <v>0.0</v>
      </c>
      <c r="N109" s="17">
        <v>0.0</v>
      </c>
      <c r="O109" s="21">
        <f t="shared" si="2"/>
        <v>0</v>
      </c>
      <c r="P109" s="17">
        <v>1.0</v>
      </c>
      <c r="Q109" s="21">
        <f t="shared" si="3"/>
        <v>1</v>
      </c>
      <c r="R109" s="26">
        <f t="shared" si="4"/>
        <v>1.5</v>
      </c>
    </row>
    <row r="110" hidden="1">
      <c r="A110" s="4" t="s">
        <v>540</v>
      </c>
      <c r="B110" s="4" t="s">
        <v>937</v>
      </c>
      <c r="C110" s="4" t="s">
        <v>51</v>
      </c>
      <c r="D110" s="77" t="s">
        <v>939</v>
      </c>
      <c r="E110" s="77" t="s">
        <v>940</v>
      </c>
      <c r="F110" s="4" t="s">
        <v>102</v>
      </c>
      <c r="G110" s="4">
        <v>2018.0</v>
      </c>
      <c r="H110" s="32"/>
      <c r="I110" s="32"/>
      <c r="J110" s="32"/>
      <c r="K110" s="32"/>
      <c r="L110" s="21">
        <f t="shared" si="1"/>
        <v>0</v>
      </c>
      <c r="M110" s="32"/>
      <c r="N110" s="32"/>
      <c r="O110" s="21">
        <f t="shared" si="2"/>
        <v>0</v>
      </c>
      <c r="P110" s="32"/>
      <c r="Q110" s="21">
        <f t="shared" si="3"/>
        <v>0</v>
      </c>
      <c r="R110" s="26">
        <f t="shared" si="4"/>
        <v>0</v>
      </c>
    </row>
    <row r="111">
      <c r="A111" s="4" t="s">
        <v>540</v>
      </c>
      <c r="B111" s="4" t="s">
        <v>541</v>
      </c>
      <c r="C111" s="4" t="s">
        <v>77</v>
      </c>
      <c r="D111" s="58" t="s">
        <v>542</v>
      </c>
      <c r="E111" s="58" t="s">
        <v>543</v>
      </c>
      <c r="F111" s="4" t="s">
        <v>191</v>
      </c>
      <c r="G111" s="4">
        <v>2021.0</v>
      </c>
      <c r="H111" s="17">
        <v>1.0</v>
      </c>
      <c r="I111" s="17">
        <v>1.0</v>
      </c>
      <c r="J111" s="17">
        <v>1.0</v>
      </c>
      <c r="K111" s="17">
        <v>0.0</v>
      </c>
      <c r="L111" s="21">
        <f t="shared" si="1"/>
        <v>3</v>
      </c>
      <c r="M111" s="17">
        <v>1.0</v>
      </c>
      <c r="N111" s="17">
        <v>1.0</v>
      </c>
      <c r="O111" s="21">
        <f t="shared" si="2"/>
        <v>2</v>
      </c>
      <c r="P111" s="17">
        <v>1.0</v>
      </c>
      <c r="Q111" s="21">
        <f t="shared" si="3"/>
        <v>1</v>
      </c>
      <c r="R111" s="26">
        <f t="shared" si="4"/>
        <v>2.75</v>
      </c>
    </row>
    <row r="112">
      <c r="A112" s="27" t="s">
        <v>548</v>
      </c>
      <c r="B112" s="27" t="s">
        <v>549</v>
      </c>
      <c r="C112" s="27" t="s">
        <v>77</v>
      </c>
      <c r="D112" s="60" t="s">
        <v>550</v>
      </c>
      <c r="E112" s="60" t="s">
        <v>551</v>
      </c>
      <c r="F112" s="27" t="s">
        <v>552</v>
      </c>
      <c r="G112" s="27">
        <v>2021.0</v>
      </c>
      <c r="H112" s="17">
        <v>1.0</v>
      </c>
      <c r="I112" s="17">
        <v>0.0</v>
      </c>
      <c r="J112" s="17">
        <v>1.0</v>
      </c>
      <c r="K112" s="17">
        <v>0.0</v>
      </c>
      <c r="L112" s="21">
        <f t="shared" si="1"/>
        <v>2</v>
      </c>
      <c r="M112" s="17">
        <v>0.0</v>
      </c>
      <c r="N112" s="17">
        <v>0.0</v>
      </c>
      <c r="O112" s="21">
        <f t="shared" si="2"/>
        <v>0</v>
      </c>
      <c r="P112" s="17">
        <v>1.0</v>
      </c>
      <c r="Q112" s="21">
        <f t="shared" si="3"/>
        <v>1</v>
      </c>
      <c r="R112" s="26">
        <f t="shared" si="4"/>
        <v>1.5</v>
      </c>
    </row>
    <row r="113" hidden="1">
      <c r="A113" s="4" t="s">
        <v>554</v>
      </c>
      <c r="B113" s="4" t="s">
        <v>947</v>
      </c>
      <c r="C113" s="4" t="s">
        <v>51</v>
      </c>
      <c r="D113" s="77" t="s">
        <v>948</v>
      </c>
      <c r="E113" s="77" t="s">
        <v>949</v>
      </c>
      <c r="F113" s="61" t="s">
        <v>950</v>
      </c>
      <c r="G113" s="4">
        <v>2021.0</v>
      </c>
      <c r="H113" s="32"/>
      <c r="I113" s="32"/>
      <c r="J113" s="32"/>
      <c r="K113" s="32"/>
      <c r="L113" s="21">
        <f t="shared" si="1"/>
        <v>0</v>
      </c>
      <c r="M113" s="32"/>
      <c r="N113" s="32"/>
      <c r="O113" s="21">
        <f t="shared" si="2"/>
        <v>0</v>
      </c>
      <c r="P113" s="32"/>
      <c r="Q113" s="21">
        <f t="shared" si="3"/>
        <v>0</v>
      </c>
      <c r="R113" s="26">
        <f t="shared" si="4"/>
        <v>0</v>
      </c>
    </row>
    <row r="114">
      <c r="A114" s="4" t="s">
        <v>554</v>
      </c>
      <c r="B114" s="4" t="s">
        <v>555</v>
      </c>
      <c r="C114" s="4" t="s">
        <v>77</v>
      </c>
      <c r="D114" s="58" t="s">
        <v>558</v>
      </c>
      <c r="E114" s="58" t="s">
        <v>559</v>
      </c>
      <c r="F114" s="4" t="s">
        <v>560</v>
      </c>
      <c r="G114" s="4">
        <v>2023.0</v>
      </c>
      <c r="H114" s="17">
        <v>1.0</v>
      </c>
      <c r="I114" s="17">
        <v>0.0</v>
      </c>
      <c r="J114" s="17">
        <v>1.0</v>
      </c>
      <c r="K114" s="17">
        <v>1.0</v>
      </c>
      <c r="L114" s="21">
        <f t="shared" si="1"/>
        <v>3</v>
      </c>
      <c r="M114" s="17">
        <v>1.0</v>
      </c>
      <c r="N114" s="17">
        <v>0.0</v>
      </c>
      <c r="O114" s="21">
        <f t="shared" si="2"/>
        <v>1</v>
      </c>
      <c r="P114" s="17">
        <v>1.0</v>
      </c>
      <c r="Q114" s="21">
        <f t="shared" si="3"/>
        <v>1</v>
      </c>
      <c r="R114" s="26">
        <f t="shared" si="4"/>
        <v>2.25</v>
      </c>
    </row>
    <row r="115">
      <c r="A115" s="27" t="s">
        <v>568</v>
      </c>
      <c r="B115" s="27" t="s">
        <v>569</v>
      </c>
      <c r="C115" s="27" t="s">
        <v>51</v>
      </c>
      <c r="D115" s="60" t="s">
        <v>570</v>
      </c>
      <c r="E115" s="60" t="s">
        <v>571</v>
      </c>
      <c r="F115" s="27" t="s">
        <v>572</v>
      </c>
      <c r="G115" s="27">
        <v>2018.0</v>
      </c>
      <c r="H115" s="17">
        <v>1.0</v>
      </c>
      <c r="I115" s="17">
        <v>0.0</v>
      </c>
      <c r="J115" s="17">
        <v>1.0</v>
      </c>
      <c r="K115" s="17">
        <v>0.0</v>
      </c>
      <c r="L115" s="21">
        <f t="shared" si="1"/>
        <v>2</v>
      </c>
      <c r="M115" s="17">
        <v>0.0</v>
      </c>
      <c r="N115" s="17">
        <v>0.0</v>
      </c>
      <c r="O115" s="21">
        <f t="shared" si="2"/>
        <v>0</v>
      </c>
      <c r="P115" s="17">
        <v>1.0</v>
      </c>
      <c r="Q115" s="21">
        <f t="shared" si="3"/>
        <v>1</v>
      </c>
      <c r="R115" s="26">
        <f t="shared" si="4"/>
        <v>1.5</v>
      </c>
    </row>
    <row r="116">
      <c r="A116" s="70" t="s">
        <v>957</v>
      </c>
      <c r="B116" s="70" t="s">
        <v>958</v>
      </c>
      <c r="C116" s="70" t="s">
        <v>77</v>
      </c>
      <c r="D116" s="75" t="s">
        <v>959</v>
      </c>
      <c r="E116" s="75" t="s">
        <v>960</v>
      </c>
      <c r="F116" s="70" t="s">
        <v>961</v>
      </c>
      <c r="G116" s="70">
        <v>2011.0</v>
      </c>
      <c r="H116" s="17">
        <v>1.0</v>
      </c>
      <c r="I116" s="17">
        <v>0.0</v>
      </c>
      <c r="J116" s="17">
        <v>1.0</v>
      </c>
      <c r="K116" s="17">
        <v>0.0</v>
      </c>
      <c r="L116" s="21">
        <f t="shared" si="1"/>
        <v>2</v>
      </c>
      <c r="M116" s="17">
        <v>0.0</v>
      </c>
      <c r="N116" s="17">
        <v>0.0</v>
      </c>
      <c r="O116" s="21">
        <f t="shared" si="2"/>
        <v>0</v>
      </c>
      <c r="P116" s="17">
        <v>0.5</v>
      </c>
      <c r="Q116" s="21">
        <f t="shared" si="3"/>
        <v>0.5</v>
      </c>
      <c r="R116" s="72">
        <f t="shared" si="4"/>
        <v>1</v>
      </c>
    </row>
    <row r="117">
      <c r="A117" s="27" t="s">
        <v>580</v>
      </c>
      <c r="B117" s="27" t="s">
        <v>581</v>
      </c>
      <c r="C117" s="27" t="s">
        <v>77</v>
      </c>
      <c r="D117" s="60" t="s">
        <v>582</v>
      </c>
      <c r="E117" s="60" t="s">
        <v>583</v>
      </c>
      <c r="F117" s="27" t="s">
        <v>278</v>
      </c>
      <c r="G117" s="27">
        <v>2017.0</v>
      </c>
      <c r="H117" s="17">
        <v>1.0</v>
      </c>
      <c r="I117" s="17">
        <v>0.0</v>
      </c>
      <c r="J117" s="17">
        <v>1.0</v>
      </c>
      <c r="K117" s="17">
        <v>0.0</v>
      </c>
      <c r="L117" s="21">
        <f t="shared" si="1"/>
        <v>2</v>
      </c>
      <c r="M117" s="17">
        <v>0.5</v>
      </c>
      <c r="N117" s="17">
        <v>0.0</v>
      </c>
      <c r="O117" s="21">
        <f t="shared" si="2"/>
        <v>0.5</v>
      </c>
      <c r="P117" s="17">
        <v>1.0</v>
      </c>
      <c r="Q117" s="21">
        <f t="shared" si="3"/>
        <v>1</v>
      </c>
      <c r="R117" s="26">
        <f t="shared" si="4"/>
        <v>1.75</v>
      </c>
    </row>
    <row r="118">
      <c r="A118" s="4" t="s">
        <v>593</v>
      </c>
      <c r="B118" s="4" t="s">
        <v>594</v>
      </c>
      <c r="C118" s="4" t="s">
        <v>77</v>
      </c>
      <c r="D118" s="83" t="s">
        <v>596</v>
      </c>
      <c r="E118" s="83" t="s">
        <v>597</v>
      </c>
      <c r="F118" s="4" t="s">
        <v>598</v>
      </c>
      <c r="G118" s="4">
        <v>2020.0</v>
      </c>
      <c r="H118" s="17">
        <v>1.0</v>
      </c>
      <c r="I118" s="17">
        <v>0.5</v>
      </c>
      <c r="J118" s="17">
        <v>1.0</v>
      </c>
      <c r="K118" s="17">
        <v>1.0</v>
      </c>
      <c r="L118" s="21">
        <f t="shared" si="1"/>
        <v>3.5</v>
      </c>
      <c r="M118" s="17">
        <v>1.0</v>
      </c>
      <c r="N118" s="17">
        <v>0.5</v>
      </c>
      <c r="O118" s="21">
        <f t="shared" si="2"/>
        <v>1.5</v>
      </c>
      <c r="P118" s="17">
        <v>1.0</v>
      </c>
      <c r="Q118" s="21">
        <f t="shared" si="3"/>
        <v>1</v>
      </c>
      <c r="R118" s="26">
        <f t="shared" si="4"/>
        <v>2.625</v>
      </c>
    </row>
    <row r="119">
      <c r="A119" s="70" t="s">
        <v>975</v>
      </c>
      <c r="B119" s="70" t="s">
        <v>976</v>
      </c>
      <c r="C119" s="70" t="s">
        <v>51</v>
      </c>
      <c r="D119" s="75" t="s">
        <v>977</v>
      </c>
      <c r="E119" s="75" t="s">
        <v>978</v>
      </c>
      <c r="F119" s="70" t="s">
        <v>979</v>
      </c>
      <c r="G119" s="70">
        <v>2019.0</v>
      </c>
      <c r="H119" s="17">
        <v>0.0</v>
      </c>
      <c r="I119" s="17">
        <v>0.0</v>
      </c>
      <c r="J119" s="17">
        <v>0.0</v>
      </c>
      <c r="K119" s="17">
        <v>0.0</v>
      </c>
      <c r="L119" s="21">
        <f t="shared" si="1"/>
        <v>0</v>
      </c>
      <c r="M119" s="17">
        <v>0.0</v>
      </c>
      <c r="N119" s="17">
        <v>0.0</v>
      </c>
      <c r="O119" s="21">
        <f t="shared" si="2"/>
        <v>0</v>
      </c>
      <c r="P119" s="17">
        <v>0.5</v>
      </c>
      <c r="Q119" s="21">
        <f t="shared" si="3"/>
        <v>0.5</v>
      </c>
      <c r="R119" s="72">
        <f t="shared" si="4"/>
        <v>0.5</v>
      </c>
    </row>
    <row r="120">
      <c r="A120" s="70" t="s">
        <v>983</v>
      </c>
      <c r="B120" s="70" t="s">
        <v>984</v>
      </c>
      <c r="C120" s="70" t="s">
        <v>51</v>
      </c>
      <c r="D120" s="75" t="s">
        <v>985</v>
      </c>
      <c r="E120" s="75" t="s">
        <v>986</v>
      </c>
      <c r="F120" s="70" t="s">
        <v>987</v>
      </c>
      <c r="G120" s="70">
        <v>2012.0</v>
      </c>
      <c r="H120" s="17">
        <v>1.0</v>
      </c>
      <c r="I120" s="17">
        <v>0.0</v>
      </c>
      <c r="J120" s="17">
        <v>0.0</v>
      </c>
      <c r="K120" s="17">
        <v>0.0</v>
      </c>
      <c r="L120" s="21">
        <f t="shared" si="1"/>
        <v>1</v>
      </c>
      <c r="M120" s="17">
        <v>0.0</v>
      </c>
      <c r="N120" s="17">
        <v>0.0</v>
      </c>
      <c r="O120" s="21">
        <f t="shared" si="2"/>
        <v>0</v>
      </c>
      <c r="P120" s="17">
        <v>0.5</v>
      </c>
      <c r="Q120" s="21">
        <f t="shared" si="3"/>
        <v>0.5</v>
      </c>
      <c r="R120" s="72">
        <f t="shared" si="4"/>
        <v>0.75</v>
      </c>
    </row>
    <row r="121">
      <c r="A121" s="70" t="s">
        <v>991</v>
      </c>
      <c r="B121" s="70" t="s">
        <v>992</v>
      </c>
      <c r="C121" s="70" t="s">
        <v>77</v>
      </c>
      <c r="D121" s="75" t="s">
        <v>993</v>
      </c>
      <c r="E121" s="75" t="s">
        <v>994</v>
      </c>
      <c r="F121" s="70" t="s">
        <v>114</v>
      </c>
      <c r="G121" s="70">
        <v>2005.0</v>
      </c>
      <c r="H121" s="17">
        <v>0.5</v>
      </c>
      <c r="I121" s="17">
        <v>0.5</v>
      </c>
      <c r="J121" s="17">
        <v>0.5</v>
      </c>
      <c r="K121" s="17">
        <v>0.0</v>
      </c>
      <c r="L121" s="21">
        <f t="shared" si="1"/>
        <v>1.5</v>
      </c>
      <c r="M121" s="17">
        <v>0.0</v>
      </c>
      <c r="N121" s="17">
        <v>0.0</v>
      </c>
      <c r="O121" s="21">
        <f t="shared" si="2"/>
        <v>0</v>
      </c>
      <c r="P121" s="17">
        <v>0.5</v>
      </c>
      <c r="Q121" s="21">
        <f t="shared" si="3"/>
        <v>0.5</v>
      </c>
      <c r="R121" s="72">
        <f t="shared" si="4"/>
        <v>0.875</v>
      </c>
    </row>
    <row r="122">
      <c r="A122" s="4" t="s">
        <v>606</v>
      </c>
      <c r="B122" s="4" t="s">
        <v>607</v>
      </c>
      <c r="C122" s="4" t="s">
        <v>77</v>
      </c>
      <c r="D122" s="58" t="s">
        <v>609</v>
      </c>
      <c r="E122" s="4" t="s">
        <v>611</v>
      </c>
      <c r="F122" s="4" t="s">
        <v>612</v>
      </c>
      <c r="G122" s="4">
        <v>2010.0</v>
      </c>
      <c r="H122" s="17">
        <v>1.0</v>
      </c>
      <c r="I122" s="17">
        <v>0.5</v>
      </c>
      <c r="J122" s="17">
        <v>1.0</v>
      </c>
      <c r="K122" s="17">
        <v>0.0</v>
      </c>
      <c r="L122" s="21">
        <f t="shared" si="1"/>
        <v>2.5</v>
      </c>
      <c r="M122" s="17">
        <v>1.0</v>
      </c>
      <c r="N122" s="17">
        <v>0.0</v>
      </c>
      <c r="O122" s="21">
        <f t="shared" si="2"/>
        <v>1</v>
      </c>
      <c r="P122" s="17">
        <v>1.0</v>
      </c>
      <c r="Q122" s="21">
        <f t="shared" si="3"/>
        <v>1</v>
      </c>
      <c r="R122" s="26">
        <f t="shared" si="4"/>
        <v>2.125</v>
      </c>
    </row>
    <row r="123" hidden="1">
      <c r="A123" s="4"/>
      <c r="B123" s="4" t="s">
        <v>997</v>
      </c>
      <c r="C123" s="4" t="s">
        <v>51</v>
      </c>
      <c r="D123" s="77" t="s">
        <v>609</v>
      </c>
      <c r="E123" s="77" t="s">
        <v>999</v>
      </c>
      <c r="F123" s="4" t="s">
        <v>1000</v>
      </c>
      <c r="G123" s="4">
        <v>2006.0</v>
      </c>
      <c r="H123" s="32"/>
      <c r="I123" s="32"/>
      <c r="J123" s="32"/>
      <c r="K123" s="32"/>
      <c r="L123" s="21">
        <f t="shared" si="1"/>
        <v>0</v>
      </c>
      <c r="M123" s="32"/>
      <c r="N123" s="32"/>
      <c r="O123" s="21">
        <f t="shared" si="2"/>
        <v>0</v>
      </c>
      <c r="P123" s="32"/>
      <c r="Q123" s="21">
        <f t="shared" si="3"/>
        <v>0</v>
      </c>
      <c r="R123" s="26">
        <f t="shared" si="4"/>
        <v>0</v>
      </c>
    </row>
    <row r="124" hidden="1">
      <c r="A124" s="4"/>
      <c r="B124" s="4" t="s">
        <v>1006</v>
      </c>
      <c r="C124" s="4" t="s">
        <v>51</v>
      </c>
      <c r="D124" s="77" t="s">
        <v>609</v>
      </c>
      <c r="E124" s="4" t="s">
        <v>1009</v>
      </c>
      <c r="F124" s="4" t="s">
        <v>1010</v>
      </c>
      <c r="G124" s="4">
        <v>2006.0</v>
      </c>
      <c r="H124" s="32"/>
      <c r="I124" s="32"/>
      <c r="J124" s="32"/>
      <c r="K124" s="32"/>
      <c r="L124" s="21">
        <f t="shared" si="1"/>
        <v>0</v>
      </c>
      <c r="M124" s="32"/>
      <c r="N124" s="32"/>
      <c r="O124" s="21">
        <f t="shared" si="2"/>
        <v>0</v>
      </c>
      <c r="P124" s="32"/>
      <c r="Q124" s="21">
        <f t="shared" si="3"/>
        <v>0</v>
      </c>
      <c r="R124" s="26">
        <f t="shared" si="4"/>
        <v>0</v>
      </c>
    </row>
    <row r="125" hidden="1">
      <c r="A125" s="27" t="s">
        <v>1013</v>
      </c>
      <c r="B125" s="27" t="s">
        <v>1014</v>
      </c>
      <c r="C125" s="27" t="s">
        <v>51</v>
      </c>
      <c r="D125" s="57" t="s">
        <v>1015</v>
      </c>
      <c r="E125" s="57" t="s">
        <v>1016</v>
      </c>
      <c r="F125" s="27" t="s">
        <v>1017</v>
      </c>
      <c r="G125" s="27">
        <v>2008.0</v>
      </c>
      <c r="H125" s="32"/>
      <c r="I125" s="32"/>
      <c r="J125" s="32"/>
      <c r="K125" s="32"/>
      <c r="L125" s="21">
        <f t="shared" si="1"/>
        <v>0</v>
      </c>
      <c r="M125" s="32"/>
      <c r="N125" s="32"/>
      <c r="O125" s="21">
        <f t="shared" si="2"/>
        <v>0</v>
      </c>
      <c r="P125" s="32"/>
      <c r="Q125" s="21">
        <f t="shared" si="3"/>
        <v>0</v>
      </c>
      <c r="R125" s="26">
        <f t="shared" si="4"/>
        <v>0</v>
      </c>
    </row>
    <row r="126">
      <c r="A126" s="70" t="s">
        <v>1013</v>
      </c>
      <c r="B126" s="70" t="s">
        <v>1018</v>
      </c>
      <c r="C126" s="70" t="s">
        <v>77</v>
      </c>
      <c r="D126" s="75" t="s">
        <v>1020</v>
      </c>
      <c r="E126" s="75" t="s">
        <v>1021</v>
      </c>
      <c r="F126" s="70" t="s">
        <v>1022</v>
      </c>
      <c r="G126" s="70">
        <v>2009.0</v>
      </c>
      <c r="H126" s="17">
        <v>1.0</v>
      </c>
      <c r="I126" s="17">
        <v>0.0</v>
      </c>
      <c r="J126" s="17">
        <v>1.0</v>
      </c>
      <c r="K126" s="17">
        <v>0.5</v>
      </c>
      <c r="L126" s="21">
        <f t="shared" si="1"/>
        <v>2.5</v>
      </c>
      <c r="M126" s="17">
        <v>0.0</v>
      </c>
      <c r="N126" s="17">
        <v>0.0</v>
      </c>
      <c r="O126" s="21">
        <f t="shared" si="2"/>
        <v>0</v>
      </c>
      <c r="P126" s="17">
        <v>0.5</v>
      </c>
      <c r="Q126" s="21">
        <f t="shared" si="3"/>
        <v>0.5</v>
      </c>
      <c r="R126" s="72">
        <f t="shared" si="4"/>
        <v>1.125</v>
      </c>
    </row>
    <row r="127" hidden="1">
      <c r="A127" s="56"/>
      <c r="B127" s="27" t="s">
        <v>1027</v>
      </c>
      <c r="C127" s="27" t="s">
        <v>51</v>
      </c>
      <c r="D127" s="57" t="s">
        <v>1015</v>
      </c>
      <c r="E127" s="57" t="s">
        <v>1028</v>
      </c>
      <c r="F127" s="27" t="s">
        <v>275</v>
      </c>
      <c r="G127" s="27">
        <v>2009.0</v>
      </c>
      <c r="H127" s="32"/>
      <c r="I127" s="32"/>
      <c r="J127" s="32"/>
      <c r="K127" s="32"/>
      <c r="L127" s="21">
        <f t="shared" si="1"/>
        <v>0</v>
      </c>
      <c r="M127" s="32"/>
      <c r="N127" s="32"/>
      <c r="O127" s="21">
        <f t="shared" si="2"/>
        <v>0</v>
      </c>
      <c r="P127" s="32"/>
      <c r="Q127" s="21">
        <f t="shared" si="3"/>
        <v>0</v>
      </c>
      <c r="R127" s="26">
        <f t="shared" si="4"/>
        <v>0</v>
      </c>
    </row>
    <row r="128" hidden="1">
      <c r="A128" s="4" t="s">
        <v>617</v>
      </c>
      <c r="B128" s="4" t="s">
        <v>1030</v>
      </c>
      <c r="C128" s="4" t="s">
        <v>51</v>
      </c>
      <c r="D128" s="77" t="s">
        <v>619</v>
      </c>
      <c r="E128" s="77" t="s">
        <v>1031</v>
      </c>
      <c r="F128" s="61" t="s">
        <v>1032</v>
      </c>
      <c r="G128" s="4">
        <v>2010.0</v>
      </c>
      <c r="H128" s="32"/>
      <c r="I128" s="32"/>
      <c r="J128" s="32"/>
      <c r="K128" s="32"/>
      <c r="L128" s="21">
        <f t="shared" si="1"/>
        <v>0</v>
      </c>
      <c r="M128" s="32"/>
      <c r="N128" s="32"/>
      <c r="O128" s="21">
        <f t="shared" si="2"/>
        <v>0</v>
      </c>
      <c r="P128" s="32"/>
      <c r="Q128" s="21">
        <f t="shared" si="3"/>
        <v>0</v>
      </c>
      <c r="R128" s="26">
        <f t="shared" si="4"/>
        <v>0</v>
      </c>
    </row>
    <row r="129">
      <c r="A129" s="4" t="s">
        <v>617</v>
      </c>
      <c r="B129" s="4" t="s">
        <v>618</v>
      </c>
      <c r="C129" s="4" t="s">
        <v>77</v>
      </c>
      <c r="D129" s="58" t="s">
        <v>619</v>
      </c>
      <c r="E129" s="58" t="s">
        <v>620</v>
      </c>
      <c r="F129" s="4" t="s">
        <v>621</v>
      </c>
      <c r="G129" s="4">
        <v>2010.0</v>
      </c>
      <c r="H129" s="17">
        <v>1.0</v>
      </c>
      <c r="I129" s="17">
        <v>0.0</v>
      </c>
      <c r="J129" s="17">
        <v>1.0</v>
      </c>
      <c r="K129" s="17">
        <v>1.0</v>
      </c>
      <c r="L129" s="21">
        <f t="shared" si="1"/>
        <v>3</v>
      </c>
      <c r="M129" s="17">
        <v>0.0</v>
      </c>
      <c r="N129" s="17">
        <v>0.0</v>
      </c>
      <c r="O129" s="21">
        <f t="shared" si="2"/>
        <v>0</v>
      </c>
      <c r="P129" s="17">
        <v>1.0</v>
      </c>
      <c r="Q129" s="21">
        <f t="shared" si="3"/>
        <v>1</v>
      </c>
      <c r="R129" s="26">
        <f t="shared" si="4"/>
        <v>1.75</v>
      </c>
    </row>
    <row r="130" hidden="1">
      <c r="A130" s="4"/>
      <c r="B130" s="4" t="s">
        <v>1039</v>
      </c>
      <c r="C130" s="4" t="s">
        <v>51</v>
      </c>
      <c r="D130" s="77" t="s">
        <v>1040</v>
      </c>
      <c r="E130" s="4" t="s">
        <v>1041</v>
      </c>
      <c r="F130" s="61" t="s">
        <v>1042</v>
      </c>
      <c r="G130" s="4">
        <v>2009.0</v>
      </c>
      <c r="H130" s="32"/>
      <c r="I130" s="32"/>
      <c r="J130" s="32"/>
      <c r="K130" s="32"/>
      <c r="L130" s="21">
        <f t="shared" si="1"/>
        <v>0</v>
      </c>
      <c r="M130" s="32"/>
      <c r="N130" s="32"/>
      <c r="O130" s="21">
        <f t="shared" si="2"/>
        <v>0</v>
      </c>
      <c r="P130" s="32"/>
      <c r="Q130" s="21">
        <f t="shared" si="3"/>
        <v>0</v>
      </c>
      <c r="R130" s="26">
        <f t="shared" si="4"/>
        <v>0</v>
      </c>
    </row>
    <row r="131" hidden="1">
      <c r="A131" s="4"/>
      <c r="B131" s="4" t="s">
        <v>1045</v>
      </c>
      <c r="C131" s="4" t="s">
        <v>51</v>
      </c>
      <c r="D131" s="77" t="s">
        <v>1046</v>
      </c>
      <c r="E131" s="77" t="s">
        <v>1047</v>
      </c>
      <c r="F131" s="4" t="s">
        <v>1048</v>
      </c>
      <c r="G131" s="4">
        <v>2009.0</v>
      </c>
      <c r="H131" s="32"/>
      <c r="I131" s="32"/>
      <c r="J131" s="32"/>
      <c r="K131" s="32"/>
      <c r="L131" s="21">
        <f t="shared" si="1"/>
        <v>0</v>
      </c>
      <c r="M131" s="32"/>
      <c r="N131" s="32"/>
      <c r="O131" s="21">
        <f t="shared" si="2"/>
        <v>0</v>
      </c>
      <c r="P131" s="32"/>
      <c r="Q131" s="21">
        <f t="shared" si="3"/>
        <v>0</v>
      </c>
      <c r="R131" s="26">
        <f t="shared" si="4"/>
        <v>0</v>
      </c>
    </row>
    <row r="132">
      <c r="A132" s="27" t="s">
        <v>631</v>
      </c>
      <c r="B132" s="27" t="s">
        <v>632</v>
      </c>
      <c r="C132" s="27" t="s">
        <v>51</v>
      </c>
      <c r="D132" s="60" t="s">
        <v>633</v>
      </c>
      <c r="E132" s="60" t="s">
        <v>634</v>
      </c>
      <c r="F132" s="27" t="s">
        <v>635</v>
      </c>
      <c r="G132" s="27">
        <v>2007.0</v>
      </c>
      <c r="H132" s="17">
        <v>1.0</v>
      </c>
      <c r="I132" s="17">
        <v>1.0</v>
      </c>
      <c r="J132" s="17">
        <v>1.0</v>
      </c>
      <c r="K132" s="17">
        <v>0.0</v>
      </c>
      <c r="L132" s="21">
        <f t="shared" si="1"/>
        <v>3</v>
      </c>
      <c r="M132" s="17">
        <v>0.5</v>
      </c>
      <c r="N132" s="17">
        <v>0.0</v>
      </c>
      <c r="O132" s="21">
        <f t="shared" si="2"/>
        <v>0.5</v>
      </c>
      <c r="P132" s="17">
        <v>0.5</v>
      </c>
      <c r="Q132" s="21">
        <f t="shared" si="3"/>
        <v>0.5</v>
      </c>
      <c r="R132" s="26">
        <f t="shared" si="4"/>
        <v>1.5</v>
      </c>
    </row>
    <row r="133" hidden="1">
      <c r="A133" s="27"/>
      <c r="B133" s="27" t="s">
        <v>1054</v>
      </c>
      <c r="C133" s="27" t="s">
        <v>51</v>
      </c>
      <c r="D133" s="60" t="s">
        <v>633</v>
      </c>
      <c r="E133" s="60" t="s">
        <v>1055</v>
      </c>
      <c r="F133" s="27" t="s">
        <v>1056</v>
      </c>
      <c r="G133" s="27">
        <v>2008.0</v>
      </c>
      <c r="H133" s="32"/>
      <c r="I133" s="32"/>
      <c r="J133" s="32"/>
      <c r="K133" s="32"/>
      <c r="L133" s="21">
        <f t="shared" si="1"/>
        <v>0</v>
      </c>
      <c r="M133" s="32"/>
      <c r="N133" s="32"/>
      <c r="O133" s="21">
        <f t="shared" si="2"/>
        <v>0</v>
      </c>
      <c r="P133" s="32"/>
      <c r="Q133" s="21">
        <f t="shared" si="3"/>
        <v>0</v>
      </c>
      <c r="R133" s="26">
        <f t="shared" si="4"/>
        <v>0</v>
      </c>
    </row>
    <row r="134">
      <c r="A134" s="70" t="s">
        <v>1058</v>
      </c>
      <c r="B134" s="70" t="s">
        <v>1059</v>
      </c>
      <c r="C134" s="70" t="s">
        <v>51</v>
      </c>
      <c r="D134" s="75" t="s">
        <v>1060</v>
      </c>
      <c r="E134" s="75" t="s">
        <v>1061</v>
      </c>
      <c r="F134" s="70" t="s">
        <v>1062</v>
      </c>
      <c r="G134" s="70">
        <v>2020.0</v>
      </c>
      <c r="H134" s="17">
        <v>0.0</v>
      </c>
      <c r="I134" s="17">
        <v>0.0</v>
      </c>
      <c r="J134" s="17">
        <v>0.0</v>
      </c>
      <c r="K134" s="17">
        <v>0.0</v>
      </c>
      <c r="L134" s="21">
        <f t="shared" si="1"/>
        <v>0</v>
      </c>
      <c r="M134" s="17">
        <v>0.0</v>
      </c>
      <c r="N134" s="17">
        <v>0.0</v>
      </c>
      <c r="O134" s="21">
        <f t="shared" si="2"/>
        <v>0</v>
      </c>
      <c r="P134" s="17">
        <v>0.5</v>
      </c>
      <c r="Q134" s="21">
        <f t="shared" si="3"/>
        <v>0.5</v>
      </c>
      <c r="R134" s="72">
        <f t="shared" si="4"/>
        <v>0.5</v>
      </c>
    </row>
    <row r="135">
      <c r="A135" s="70" t="s">
        <v>1064</v>
      </c>
      <c r="B135" s="70" t="s">
        <v>1065</v>
      </c>
      <c r="C135" s="70" t="s">
        <v>77</v>
      </c>
      <c r="D135" s="75" t="s">
        <v>1066</v>
      </c>
      <c r="E135" s="75" t="s">
        <v>1067</v>
      </c>
      <c r="F135" s="70" t="s">
        <v>494</v>
      </c>
      <c r="G135" s="70">
        <v>2001.0</v>
      </c>
      <c r="H135" s="17">
        <v>0.0</v>
      </c>
      <c r="I135" s="17">
        <v>0.5</v>
      </c>
      <c r="J135" s="17">
        <v>0.0</v>
      </c>
      <c r="K135" s="17">
        <v>0.0</v>
      </c>
      <c r="L135" s="21">
        <f t="shared" si="1"/>
        <v>0.5</v>
      </c>
      <c r="M135" s="17">
        <v>0.0</v>
      </c>
      <c r="N135" s="17">
        <v>0.0</v>
      </c>
      <c r="O135" s="21">
        <f t="shared" si="2"/>
        <v>0</v>
      </c>
      <c r="P135" s="17">
        <v>0.5</v>
      </c>
      <c r="Q135" s="21">
        <f t="shared" si="3"/>
        <v>0.5</v>
      </c>
      <c r="R135" s="72">
        <f t="shared" si="4"/>
        <v>0.625</v>
      </c>
    </row>
    <row r="136">
      <c r="A136" s="70" t="s">
        <v>1071</v>
      </c>
      <c r="B136" s="70" t="s">
        <v>1072</v>
      </c>
      <c r="C136" s="70" t="s">
        <v>51</v>
      </c>
      <c r="D136" s="75" t="s">
        <v>1073</v>
      </c>
      <c r="E136" s="70" t="s">
        <v>1075</v>
      </c>
      <c r="F136" s="75" t="s">
        <v>1076</v>
      </c>
      <c r="G136" s="70">
        <v>2011.0</v>
      </c>
      <c r="H136" s="17">
        <v>0.5</v>
      </c>
      <c r="I136" s="17">
        <v>0.5</v>
      </c>
      <c r="J136" s="17">
        <v>0.5</v>
      </c>
      <c r="K136" s="17">
        <v>0.0</v>
      </c>
      <c r="L136" s="21">
        <f t="shared" si="1"/>
        <v>1.5</v>
      </c>
      <c r="M136" s="17">
        <v>0.0</v>
      </c>
      <c r="N136" s="17">
        <v>0.0</v>
      </c>
      <c r="O136" s="21">
        <f t="shared" si="2"/>
        <v>0</v>
      </c>
      <c r="P136" s="17">
        <v>1.0</v>
      </c>
      <c r="Q136" s="21">
        <f t="shared" si="3"/>
        <v>1</v>
      </c>
      <c r="R136" s="72">
        <f t="shared" si="4"/>
        <v>1.375</v>
      </c>
    </row>
    <row r="137">
      <c r="A137" s="27" t="s">
        <v>639</v>
      </c>
      <c r="B137" s="27" t="s">
        <v>640</v>
      </c>
      <c r="C137" s="27" t="s">
        <v>77</v>
      </c>
      <c r="D137" s="60" t="s">
        <v>641</v>
      </c>
      <c r="E137" s="27" t="s">
        <v>642</v>
      </c>
      <c r="F137" s="27" t="s">
        <v>643</v>
      </c>
      <c r="G137" s="27">
        <v>2017.0</v>
      </c>
      <c r="H137" s="17">
        <v>1.0</v>
      </c>
      <c r="I137" s="17">
        <v>0.0</v>
      </c>
      <c r="J137" s="17">
        <v>1.0</v>
      </c>
      <c r="K137" s="17">
        <v>0.0</v>
      </c>
      <c r="L137" s="21">
        <f t="shared" si="1"/>
        <v>2</v>
      </c>
      <c r="M137" s="17">
        <v>0.0</v>
      </c>
      <c r="N137" s="17">
        <v>0.0</v>
      </c>
      <c r="O137" s="21">
        <f t="shared" si="2"/>
        <v>0</v>
      </c>
      <c r="P137" s="17">
        <v>1.0</v>
      </c>
      <c r="Q137" s="21">
        <f t="shared" si="3"/>
        <v>1</v>
      </c>
      <c r="R137" s="26">
        <f t="shared" si="4"/>
        <v>1.5</v>
      </c>
    </row>
    <row r="138">
      <c r="A138" s="4" t="s">
        <v>647</v>
      </c>
      <c r="B138" s="4" t="s">
        <v>648</v>
      </c>
      <c r="C138" s="4" t="s">
        <v>51</v>
      </c>
      <c r="D138" s="83" t="s">
        <v>649</v>
      </c>
      <c r="E138" s="83" t="s">
        <v>650</v>
      </c>
      <c r="F138" s="4" t="s">
        <v>651</v>
      </c>
      <c r="G138" s="4">
        <v>2011.0</v>
      </c>
      <c r="H138" s="17">
        <v>1.0</v>
      </c>
      <c r="I138" s="17">
        <v>0.5</v>
      </c>
      <c r="J138" s="17">
        <v>1.0</v>
      </c>
      <c r="K138" s="17">
        <v>0.5</v>
      </c>
      <c r="L138" s="21">
        <f t="shared" si="1"/>
        <v>3</v>
      </c>
      <c r="M138" s="17">
        <v>0.5</v>
      </c>
      <c r="N138" s="17">
        <v>0.0</v>
      </c>
      <c r="O138" s="21">
        <f t="shared" si="2"/>
        <v>0.5</v>
      </c>
      <c r="P138" s="17">
        <v>0.5</v>
      </c>
      <c r="Q138" s="21">
        <f t="shared" si="3"/>
        <v>0.5</v>
      </c>
      <c r="R138" s="26">
        <f t="shared" si="4"/>
        <v>1.5</v>
      </c>
    </row>
    <row r="139">
      <c r="A139" s="27" t="s">
        <v>657</v>
      </c>
      <c r="B139" s="27" t="s">
        <v>659</v>
      </c>
      <c r="C139" s="27" t="s">
        <v>77</v>
      </c>
      <c r="D139" s="60" t="s">
        <v>660</v>
      </c>
      <c r="E139" s="60" t="s">
        <v>663</v>
      </c>
      <c r="F139" s="60" t="s">
        <v>665</v>
      </c>
      <c r="G139" s="27">
        <v>2013.0</v>
      </c>
      <c r="H139" s="17">
        <v>1.0</v>
      </c>
      <c r="I139" s="17">
        <v>1.0</v>
      </c>
      <c r="J139" s="17">
        <v>1.0</v>
      </c>
      <c r="K139" s="17">
        <v>0.0</v>
      </c>
      <c r="L139" s="21">
        <f t="shared" si="1"/>
        <v>3</v>
      </c>
      <c r="M139" s="17">
        <v>1.0</v>
      </c>
      <c r="N139" s="17">
        <v>0.0</v>
      </c>
      <c r="O139" s="21">
        <f t="shared" si="2"/>
        <v>1</v>
      </c>
      <c r="P139" s="17">
        <v>1.0</v>
      </c>
      <c r="Q139" s="21">
        <f t="shared" si="3"/>
        <v>1</v>
      </c>
      <c r="R139" s="26">
        <f t="shared" si="4"/>
        <v>2.25</v>
      </c>
    </row>
    <row r="140">
      <c r="A140" s="4" t="s">
        <v>669</v>
      </c>
      <c r="B140" s="4" t="s">
        <v>670</v>
      </c>
      <c r="C140" s="4" t="s">
        <v>77</v>
      </c>
      <c r="D140" s="58" t="s">
        <v>671</v>
      </c>
      <c r="E140" s="58" t="s">
        <v>672</v>
      </c>
      <c r="F140" s="4" t="s">
        <v>673</v>
      </c>
      <c r="G140" s="4">
        <v>2018.0</v>
      </c>
      <c r="H140" s="17">
        <v>0.5</v>
      </c>
      <c r="I140" s="17">
        <v>0.0</v>
      </c>
      <c r="J140" s="17">
        <v>0.5</v>
      </c>
      <c r="K140" s="17">
        <v>0.0</v>
      </c>
      <c r="L140" s="21">
        <f t="shared" si="1"/>
        <v>1</v>
      </c>
      <c r="M140" s="17">
        <v>1.0</v>
      </c>
      <c r="N140" s="17">
        <v>0.0</v>
      </c>
      <c r="O140" s="21">
        <f t="shared" si="2"/>
        <v>1</v>
      </c>
      <c r="P140" s="17">
        <v>1.0</v>
      </c>
      <c r="Q140" s="21">
        <f t="shared" si="3"/>
        <v>1</v>
      </c>
      <c r="R140" s="26">
        <f t="shared" si="4"/>
        <v>1.75</v>
      </c>
    </row>
    <row r="141">
      <c r="A141" s="27" t="s">
        <v>726</v>
      </c>
      <c r="B141" s="27" t="s">
        <v>727</v>
      </c>
      <c r="C141" s="27" t="s">
        <v>77</v>
      </c>
      <c r="D141" s="60" t="s">
        <v>728</v>
      </c>
      <c r="E141" s="60" t="s">
        <v>729</v>
      </c>
      <c r="F141" s="27" t="s">
        <v>182</v>
      </c>
      <c r="G141" s="27">
        <v>2019.0</v>
      </c>
      <c r="H141" s="17">
        <v>1.0</v>
      </c>
      <c r="I141" s="17">
        <v>1.0</v>
      </c>
      <c r="J141" s="17">
        <v>1.0</v>
      </c>
      <c r="K141" s="17">
        <v>0.0</v>
      </c>
      <c r="L141" s="21">
        <f t="shared" si="1"/>
        <v>3</v>
      </c>
      <c r="M141" s="17">
        <v>0.0</v>
      </c>
      <c r="N141" s="17">
        <v>0.0</v>
      </c>
      <c r="O141" s="21">
        <f t="shared" si="2"/>
        <v>0</v>
      </c>
      <c r="P141" s="17">
        <v>1.0</v>
      </c>
      <c r="Q141" s="21">
        <f t="shared" si="3"/>
        <v>1</v>
      </c>
      <c r="R141" s="26">
        <f t="shared" si="4"/>
        <v>1.75</v>
      </c>
    </row>
    <row r="142">
      <c r="A142" s="70" t="s">
        <v>1088</v>
      </c>
      <c r="B142" s="70" t="s">
        <v>1089</v>
      </c>
      <c r="C142" s="70" t="s">
        <v>51</v>
      </c>
      <c r="D142" s="75" t="s">
        <v>1090</v>
      </c>
      <c r="E142" s="75" t="s">
        <v>1091</v>
      </c>
      <c r="F142" s="70" t="s">
        <v>1092</v>
      </c>
      <c r="G142" s="70">
        <v>2012.0</v>
      </c>
      <c r="H142" s="17">
        <v>1.0</v>
      </c>
      <c r="I142" s="17">
        <v>0.5</v>
      </c>
      <c r="J142" s="17">
        <v>0.0</v>
      </c>
      <c r="K142" s="17">
        <v>0.0</v>
      </c>
      <c r="L142" s="21">
        <f t="shared" si="1"/>
        <v>1.5</v>
      </c>
      <c r="M142" s="17">
        <v>0.0</v>
      </c>
      <c r="N142" s="17">
        <v>0.0</v>
      </c>
      <c r="O142" s="21">
        <f t="shared" si="2"/>
        <v>0</v>
      </c>
      <c r="P142" s="17">
        <v>0.5</v>
      </c>
      <c r="Q142" s="21">
        <f t="shared" si="3"/>
        <v>0.5</v>
      </c>
      <c r="R142" s="72">
        <f t="shared" si="4"/>
        <v>0.875</v>
      </c>
    </row>
    <row r="143">
      <c r="A143" s="70" t="s">
        <v>1096</v>
      </c>
      <c r="B143" s="70" t="s">
        <v>1097</v>
      </c>
      <c r="C143" s="70" t="s">
        <v>51</v>
      </c>
      <c r="D143" s="75" t="s">
        <v>1098</v>
      </c>
      <c r="E143" s="75" t="s">
        <v>1099</v>
      </c>
      <c r="F143" s="70" t="s">
        <v>1100</v>
      </c>
      <c r="G143" s="70">
        <v>2012.0</v>
      </c>
      <c r="H143" s="17">
        <v>0.0</v>
      </c>
      <c r="I143" s="17">
        <v>0.0</v>
      </c>
      <c r="J143" s="17">
        <v>0.0</v>
      </c>
      <c r="K143" s="17">
        <v>0.0</v>
      </c>
      <c r="L143" s="21">
        <f t="shared" si="1"/>
        <v>0</v>
      </c>
      <c r="M143" s="17">
        <v>0.5</v>
      </c>
      <c r="N143" s="17">
        <v>0.0</v>
      </c>
      <c r="O143" s="21">
        <f t="shared" si="2"/>
        <v>0.5</v>
      </c>
      <c r="P143" s="17">
        <v>0.0</v>
      </c>
      <c r="Q143" s="21">
        <f t="shared" si="3"/>
        <v>0</v>
      </c>
      <c r="R143" s="72">
        <f t="shared" si="4"/>
        <v>0.25</v>
      </c>
    </row>
    <row r="144">
      <c r="A144" s="70" t="s">
        <v>1103</v>
      </c>
      <c r="B144" s="70" t="s">
        <v>1104</v>
      </c>
      <c r="C144" s="70" t="s">
        <v>51</v>
      </c>
      <c r="D144" s="75" t="s">
        <v>1105</v>
      </c>
      <c r="E144" s="75" t="s">
        <v>1106</v>
      </c>
      <c r="F144" s="70" t="s">
        <v>1108</v>
      </c>
      <c r="G144" s="70">
        <v>2006.0</v>
      </c>
      <c r="H144" s="17">
        <v>1.0</v>
      </c>
      <c r="I144" s="17">
        <v>0.0</v>
      </c>
      <c r="J144" s="17">
        <v>1.0</v>
      </c>
      <c r="K144" s="17">
        <v>0.0</v>
      </c>
      <c r="L144" s="21">
        <f t="shared" si="1"/>
        <v>2</v>
      </c>
      <c r="M144" s="17">
        <v>0.0</v>
      </c>
      <c r="N144" s="17">
        <v>0.0</v>
      </c>
      <c r="O144" s="21">
        <f t="shared" si="2"/>
        <v>0</v>
      </c>
      <c r="P144" s="17">
        <v>0.5</v>
      </c>
      <c r="Q144" s="21">
        <f t="shared" si="3"/>
        <v>0.5</v>
      </c>
      <c r="R144" s="72">
        <f t="shared" si="4"/>
        <v>1</v>
      </c>
    </row>
    <row r="145">
      <c r="A145" s="70" t="s">
        <v>1109</v>
      </c>
      <c r="B145" s="70" t="s">
        <v>1111</v>
      </c>
      <c r="C145" s="70" t="s">
        <v>77</v>
      </c>
      <c r="D145" s="75" t="s">
        <v>1112</v>
      </c>
      <c r="E145" s="75" t="s">
        <v>1113</v>
      </c>
      <c r="F145" s="70" t="s">
        <v>1114</v>
      </c>
      <c r="G145" s="70">
        <v>2015.0</v>
      </c>
      <c r="H145" s="17">
        <v>0.5</v>
      </c>
      <c r="I145" s="17">
        <v>0.0</v>
      </c>
      <c r="J145" s="17">
        <v>0.5</v>
      </c>
      <c r="K145" s="17">
        <v>0.0</v>
      </c>
      <c r="L145" s="21">
        <f t="shared" si="1"/>
        <v>1</v>
      </c>
      <c r="M145" s="17">
        <v>0.0</v>
      </c>
      <c r="N145" s="17">
        <v>0.0</v>
      </c>
      <c r="O145" s="21">
        <f t="shared" si="2"/>
        <v>0</v>
      </c>
      <c r="P145" s="17">
        <v>0.5</v>
      </c>
      <c r="Q145" s="21">
        <f t="shared" si="3"/>
        <v>0.5</v>
      </c>
      <c r="R145" s="72">
        <f t="shared" si="4"/>
        <v>0.75</v>
      </c>
    </row>
    <row r="146">
      <c r="A146" s="4" t="s">
        <v>737</v>
      </c>
      <c r="B146" s="4" t="s">
        <v>738</v>
      </c>
      <c r="C146" s="4" t="s">
        <v>77</v>
      </c>
      <c r="D146" s="58" t="s">
        <v>739</v>
      </c>
      <c r="E146" s="4" t="s">
        <v>740</v>
      </c>
      <c r="F146" s="4" t="s">
        <v>665</v>
      </c>
      <c r="G146" s="4">
        <v>2018.0</v>
      </c>
      <c r="H146" s="17">
        <v>1.0</v>
      </c>
      <c r="I146" s="17">
        <v>0.5</v>
      </c>
      <c r="J146" s="17">
        <v>1.0</v>
      </c>
      <c r="K146" s="17">
        <v>1.0</v>
      </c>
      <c r="L146" s="21">
        <f t="shared" si="1"/>
        <v>3.5</v>
      </c>
      <c r="M146" s="17">
        <v>0.5</v>
      </c>
      <c r="N146" s="17">
        <v>0.0</v>
      </c>
      <c r="O146" s="21">
        <f t="shared" si="2"/>
        <v>0.5</v>
      </c>
      <c r="P146" s="17">
        <v>0.5</v>
      </c>
      <c r="Q146" s="21">
        <f t="shared" si="3"/>
        <v>0.5</v>
      </c>
      <c r="R146" s="26">
        <f t="shared" si="4"/>
        <v>1.625</v>
      </c>
    </row>
    <row r="147">
      <c r="A147" s="70" t="s">
        <v>1127</v>
      </c>
      <c r="B147" s="70" t="s">
        <v>1128</v>
      </c>
      <c r="C147" s="70" t="s">
        <v>51</v>
      </c>
      <c r="D147" s="75" t="s">
        <v>1129</v>
      </c>
      <c r="E147" s="75" t="s">
        <v>1130</v>
      </c>
      <c r="F147" s="70" t="s">
        <v>1131</v>
      </c>
      <c r="G147" s="70">
        <v>2015.0</v>
      </c>
      <c r="H147" s="17">
        <v>1.0</v>
      </c>
      <c r="I147" s="17">
        <v>0.0</v>
      </c>
      <c r="J147" s="17">
        <v>1.0</v>
      </c>
      <c r="K147" s="17">
        <v>0.0</v>
      </c>
      <c r="L147" s="21">
        <f t="shared" si="1"/>
        <v>2</v>
      </c>
      <c r="M147" s="17">
        <v>0.0</v>
      </c>
      <c r="N147" s="17">
        <v>0.0</v>
      </c>
      <c r="O147" s="21">
        <f t="shared" si="2"/>
        <v>0</v>
      </c>
      <c r="P147" s="17">
        <v>0.0</v>
      </c>
      <c r="Q147" s="21">
        <f t="shared" si="3"/>
        <v>0</v>
      </c>
      <c r="R147" s="72">
        <f t="shared" si="4"/>
        <v>0.5</v>
      </c>
    </row>
    <row r="148">
      <c r="A148" s="4" t="s">
        <v>748</v>
      </c>
      <c r="B148" s="4" t="s">
        <v>749</v>
      </c>
      <c r="C148" s="4" t="s">
        <v>51</v>
      </c>
      <c r="D148" s="83" t="s">
        <v>750</v>
      </c>
      <c r="E148" s="83" t="s">
        <v>751</v>
      </c>
      <c r="F148" s="4" t="s">
        <v>752</v>
      </c>
      <c r="G148" s="4">
        <v>2020.0</v>
      </c>
      <c r="H148" s="17">
        <v>1.0</v>
      </c>
      <c r="I148" s="17">
        <v>0.0</v>
      </c>
      <c r="J148" s="17">
        <v>1.0</v>
      </c>
      <c r="K148" s="17">
        <v>0.0</v>
      </c>
      <c r="L148" s="21">
        <f t="shared" si="1"/>
        <v>2</v>
      </c>
      <c r="M148" s="17">
        <v>0.0</v>
      </c>
      <c r="N148" s="17">
        <v>0.0</v>
      </c>
      <c r="O148" s="21">
        <f t="shared" si="2"/>
        <v>0</v>
      </c>
      <c r="P148" s="17">
        <v>1.0</v>
      </c>
      <c r="Q148" s="21">
        <f t="shared" si="3"/>
        <v>1</v>
      </c>
      <c r="R148" s="26">
        <f t="shared" si="4"/>
        <v>1.5</v>
      </c>
    </row>
    <row r="149">
      <c r="A149" s="27" t="s">
        <v>756</v>
      </c>
      <c r="B149" s="27" t="s">
        <v>757</v>
      </c>
      <c r="C149" s="27" t="s">
        <v>51</v>
      </c>
      <c r="D149" s="60" t="s">
        <v>758</v>
      </c>
      <c r="E149" s="60" t="s">
        <v>759</v>
      </c>
      <c r="F149" s="27" t="s">
        <v>760</v>
      </c>
      <c r="G149" s="27">
        <v>2017.0</v>
      </c>
      <c r="H149" s="17">
        <v>1.0</v>
      </c>
      <c r="I149" s="17">
        <v>0.0</v>
      </c>
      <c r="J149" s="17">
        <v>1.0</v>
      </c>
      <c r="K149" s="17">
        <v>0.0</v>
      </c>
      <c r="L149" s="21">
        <f t="shared" si="1"/>
        <v>2</v>
      </c>
      <c r="M149" s="17">
        <v>1.0</v>
      </c>
      <c r="N149" s="17">
        <v>0.0</v>
      </c>
      <c r="O149" s="21">
        <f t="shared" si="2"/>
        <v>1</v>
      </c>
      <c r="P149" s="17">
        <v>1.0</v>
      </c>
      <c r="Q149" s="21">
        <f t="shared" si="3"/>
        <v>1</v>
      </c>
      <c r="R149" s="26">
        <f t="shared" si="4"/>
        <v>2</v>
      </c>
    </row>
    <row r="150">
      <c r="A150" s="70" t="s">
        <v>1139</v>
      </c>
      <c r="B150" s="70" t="s">
        <v>1140</v>
      </c>
      <c r="C150" s="98" t="s">
        <v>77</v>
      </c>
      <c r="D150" s="98" t="s">
        <v>1145</v>
      </c>
      <c r="E150" s="99" t="s">
        <v>1148</v>
      </c>
      <c r="F150" s="98" t="s">
        <v>576</v>
      </c>
      <c r="G150" s="100">
        <v>2008.0</v>
      </c>
      <c r="H150" s="17">
        <v>0.0</v>
      </c>
      <c r="I150" s="17">
        <v>0.0</v>
      </c>
      <c r="J150" s="17">
        <v>0.0</v>
      </c>
      <c r="K150" s="17">
        <v>0.0</v>
      </c>
      <c r="L150" s="21">
        <f t="shared" si="1"/>
        <v>0</v>
      </c>
      <c r="M150" s="17">
        <v>0.0</v>
      </c>
      <c r="N150" s="17">
        <v>0.0</v>
      </c>
      <c r="O150" s="21">
        <f t="shared" si="2"/>
        <v>0</v>
      </c>
      <c r="P150" s="17">
        <v>1.0</v>
      </c>
      <c r="Q150" s="21">
        <f t="shared" si="3"/>
        <v>1</v>
      </c>
      <c r="R150" s="72">
        <f t="shared" si="4"/>
        <v>1</v>
      </c>
    </row>
    <row r="151">
      <c r="A151" s="70" t="s">
        <v>1150</v>
      </c>
      <c r="B151" s="70" t="s">
        <v>1151</v>
      </c>
      <c r="C151" s="98" t="s">
        <v>51</v>
      </c>
      <c r="D151" s="98" t="s">
        <v>1152</v>
      </c>
      <c r="E151" s="98" t="s">
        <v>1153</v>
      </c>
      <c r="F151" s="98" t="s">
        <v>1154</v>
      </c>
      <c r="G151" s="100">
        <v>2010.0</v>
      </c>
      <c r="H151" s="17">
        <v>0.0</v>
      </c>
      <c r="I151" s="17">
        <v>0.0</v>
      </c>
      <c r="J151" s="17">
        <v>0.0</v>
      </c>
      <c r="K151" s="17">
        <v>0.0</v>
      </c>
      <c r="L151" s="21">
        <f t="shared" si="1"/>
        <v>0</v>
      </c>
      <c r="M151" s="17">
        <v>0.0</v>
      </c>
      <c r="N151" s="17">
        <v>0.0</v>
      </c>
      <c r="O151" s="21">
        <f t="shared" si="2"/>
        <v>0</v>
      </c>
      <c r="P151" s="17">
        <v>0.5</v>
      </c>
      <c r="Q151" s="21">
        <f t="shared" si="3"/>
        <v>0.5</v>
      </c>
      <c r="R151" s="72">
        <f t="shared" si="4"/>
        <v>0.5</v>
      </c>
    </row>
    <row r="152">
      <c r="A152" s="4" t="s">
        <v>768</v>
      </c>
      <c r="B152" s="88" t="s">
        <v>769</v>
      </c>
      <c r="C152" s="89" t="s">
        <v>77</v>
      </c>
      <c r="D152" s="89" t="s">
        <v>770</v>
      </c>
      <c r="E152" s="89" t="s">
        <v>771</v>
      </c>
      <c r="F152" s="89" t="s">
        <v>772</v>
      </c>
      <c r="G152" s="90">
        <v>2012.0</v>
      </c>
      <c r="H152" s="17">
        <v>1.0</v>
      </c>
      <c r="I152" s="17">
        <v>1.0</v>
      </c>
      <c r="J152" s="17">
        <v>1.0</v>
      </c>
      <c r="K152" s="17">
        <v>0.5</v>
      </c>
      <c r="L152" s="21">
        <f t="shared" si="1"/>
        <v>3.5</v>
      </c>
      <c r="M152" s="17">
        <v>0.0</v>
      </c>
      <c r="N152" s="17">
        <v>0.0</v>
      </c>
      <c r="O152" s="21">
        <f t="shared" si="2"/>
        <v>0</v>
      </c>
      <c r="P152" s="17">
        <v>1.0</v>
      </c>
      <c r="Q152" s="21">
        <f t="shared" si="3"/>
        <v>1</v>
      </c>
      <c r="R152" s="26">
        <f t="shared" si="4"/>
        <v>1.875</v>
      </c>
    </row>
    <row r="153">
      <c r="A153" s="27" t="s">
        <v>774</v>
      </c>
      <c r="B153" s="91" t="s">
        <v>775</v>
      </c>
      <c r="C153" s="92" t="s">
        <v>77</v>
      </c>
      <c r="D153" s="92" t="s">
        <v>776</v>
      </c>
      <c r="E153" s="92" t="s">
        <v>777</v>
      </c>
      <c r="F153" s="92" t="s">
        <v>778</v>
      </c>
      <c r="G153" s="93">
        <v>2013.0</v>
      </c>
      <c r="H153" s="17">
        <v>1.0</v>
      </c>
      <c r="I153" s="17">
        <v>1.0</v>
      </c>
      <c r="J153" s="17">
        <v>1.0</v>
      </c>
      <c r="K153" s="17">
        <v>0.0</v>
      </c>
      <c r="L153" s="21">
        <f t="shared" si="1"/>
        <v>3</v>
      </c>
      <c r="M153" s="17">
        <v>0.0</v>
      </c>
      <c r="N153" s="17">
        <v>0.0</v>
      </c>
      <c r="O153" s="21">
        <f t="shared" si="2"/>
        <v>0</v>
      </c>
      <c r="P153" s="17">
        <v>1.0</v>
      </c>
      <c r="Q153" s="21">
        <f t="shared" si="3"/>
        <v>1</v>
      </c>
      <c r="R153" s="26">
        <f t="shared" si="4"/>
        <v>1.75</v>
      </c>
    </row>
    <row r="154">
      <c r="A154" s="70" t="s">
        <v>1158</v>
      </c>
      <c r="B154" s="101" t="s">
        <v>1159</v>
      </c>
      <c r="C154" s="102" t="s">
        <v>77</v>
      </c>
      <c r="D154" s="102" t="s">
        <v>1160</v>
      </c>
      <c r="E154" s="102" t="s">
        <v>1161</v>
      </c>
      <c r="F154" s="102" t="s">
        <v>784</v>
      </c>
      <c r="G154" s="103">
        <v>2011.0</v>
      </c>
      <c r="H154" s="17">
        <v>1.0</v>
      </c>
      <c r="I154" s="17">
        <v>0.5</v>
      </c>
      <c r="J154" s="17">
        <v>1.0</v>
      </c>
      <c r="K154" s="17">
        <v>0.0</v>
      </c>
      <c r="L154" s="21">
        <f t="shared" si="1"/>
        <v>2.5</v>
      </c>
      <c r="M154" s="17">
        <v>1.0</v>
      </c>
      <c r="N154" s="17">
        <v>0.0</v>
      </c>
      <c r="O154" s="21">
        <f t="shared" si="2"/>
        <v>1</v>
      </c>
      <c r="P154" s="17">
        <v>0.0</v>
      </c>
      <c r="Q154" s="21">
        <f t="shared" si="3"/>
        <v>0</v>
      </c>
      <c r="R154" s="72">
        <f t="shared" si="4"/>
        <v>1.125</v>
      </c>
    </row>
    <row r="155">
      <c r="A155" s="27" t="s">
        <v>785</v>
      </c>
      <c r="B155" s="91" t="s">
        <v>786</v>
      </c>
      <c r="C155" s="92" t="s">
        <v>51</v>
      </c>
      <c r="D155" s="92" t="s">
        <v>787</v>
      </c>
      <c r="E155" s="92" t="s">
        <v>788</v>
      </c>
      <c r="F155" s="92" t="s">
        <v>789</v>
      </c>
      <c r="G155" s="93">
        <v>2003.0</v>
      </c>
      <c r="H155" s="17">
        <v>1.0</v>
      </c>
      <c r="I155" s="17">
        <v>0.5</v>
      </c>
      <c r="J155" s="17">
        <v>1.0</v>
      </c>
      <c r="K155" s="17">
        <v>0.5</v>
      </c>
      <c r="L155" s="21">
        <f t="shared" si="1"/>
        <v>3</v>
      </c>
      <c r="M155" s="17">
        <v>0.0</v>
      </c>
      <c r="N155" s="17">
        <v>0.0</v>
      </c>
      <c r="O155" s="21">
        <f t="shared" si="2"/>
        <v>0</v>
      </c>
      <c r="P155" s="17">
        <v>1.0</v>
      </c>
      <c r="Q155" s="21">
        <f t="shared" si="3"/>
        <v>1</v>
      </c>
      <c r="R155" s="26">
        <f t="shared" si="4"/>
        <v>1.75</v>
      </c>
    </row>
    <row r="156">
      <c r="A156" s="4" t="s">
        <v>791</v>
      </c>
      <c r="B156" s="88" t="s">
        <v>792</v>
      </c>
      <c r="C156" s="89" t="s">
        <v>51</v>
      </c>
      <c r="D156" s="89" t="s">
        <v>793</v>
      </c>
      <c r="E156" s="89" t="s">
        <v>794</v>
      </c>
      <c r="F156" s="89" t="s">
        <v>795</v>
      </c>
      <c r="G156" s="90">
        <v>2009.0</v>
      </c>
      <c r="H156" s="17">
        <v>1.0</v>
      </c>
      <c r="I156" s="17">
        <v>0.5</v>
      </c>
      <c r="J156" s="17">
        <v>0.5</v>
      </c>
      <c r="K156" s="17">
        <v>0.0</v>
      </c>
      <c r="L156" s="21">
        <f t="shared" si="1"/>
        <v>2</v>
      </c>
      <c r="M156" s="17">
        <v>0.0</v>
      </c>
      <c r="N156" s="17">
        <v>0.0</v>
      </c>
      <c r="O156" s="21">
        <f t="shared" si="2"/>
        <v>0</v>
      </c>
      <c r="P156" s="17">
        <v>1.0</v>
      </c>
      <c r="Q156" s="21">
        <f t="shared" si="3"/>
        <v>1</v>
      </c>
      <c r="R156" s="26">
        <f t="shared" si="4"/>
        <v>1.5</v>
      </c>
    </row>
    <row r="157">
      <c r="A157" s="70" t="s">
        <v>1168</v>
      </c>
      <c r="B157" s="101" t="s">
        <v>1169</v>
      </c>
      <c r="C157" s="102" t="s">
        <v>51</v>
      </c>
      <c r="D157" s="102" t="s">
        <v>1170</v>
      </c>
      <c r="E157" s="102" t="s">
        <v>1171</v>
      </c>
      <c r="F157" s="102" t="s">
        <v>1173</v>
      </c>
      <c r="G157" s="103">
        <v>2008.0</v>
      </c>
      <c r="H157" s="17">
        <v>1.0</v>
      </c>
      <c r="I157" s="17">
        <v>0.0</v>
      </c>
      <c r="J157" s="17">
        <v>1.0</v>
      </c>
      <c r="K157" s="17">
        <v>0.0</v>
      </c>
      <c r="L157" s="21">
        <f t="shared" si="1"/>
        <v>2</v>
      </c>
      <c r="M157" s="17">
        <v>0.5</v>
      </c>
      <c r="N157" s="17">
        <v>0.0</v>
      </c>
      <c r="O157" s="21">
        <f t="shared" si="2"/>
        <v>0.5</v>
      </c>
      <c r="P157" s="17">
        <v>0.5</v>
      </c>
      <c r="Q157" s="21">
        <f t="shared" si="3"/>
        <v>0.5</v>
      </c>
      <c r="R157" s="72">
        <f t="shared" si="4"/>
        <v>1.25</v>
      </c>
    </row>
    <row r="158">
      <c r="A158" s="4" t="s">
        <v>797</v>
      </c>
      <c r="B158" s="88" t="s">
        <v>798</v>
      </c>
      <c r="C158" s="89" t="s">
        <v>51</v>
      </c>
      <c r="D158" s="89" t="s">
        <v>149</v>
      </c>
      <c r="E158" s="89" t="s">
        <v>799</v>
      </c>
      <c r="F158" s="89" t="s">
        <v>800</v>
      </c>
      <c r="G158" s="90">
        <v>2007.0</v>
      </c>
      <c r="H158" s="17">
        <v>1.0</v>
      </c>
      <c r="I158" s="17">
        <v>1.0</v>
      </c>
      <c r="J158" s="17">
        <v>1.0</v>
      </c>
      <c r="K158" s="17">
        <v>1.0</v>
      </c>
      <c r="L158" s="21">
        <f t="shared" si="1"/>
        <v>4</v>
      </c>
      <c r="M158" s="17">
        <v>0.5</v>
      </c>
      <c r="N158" s="17">
        <v>0.5</v>
      </c>
      <c r="O158" s="21">
        <f t="shared" si="2"/>
        <v>1</v>
      </c>
      <c r="P158" s="17">
        <v>1.0</v>
      </c>
      <c r="Q158" s="21">
        <f t="shared" si="3"/>
        <v>1</v>
      </c>
      <c r="R158" s="26">
        <f t="shared" si="4"/>
        <v>2.5</v>
      </c>
    </row>
    <row r="159">
      <c r="A159" s="27" t="s">
        <v>809</v>
      </c>
      <c r="B159" s="91" t="s">
        <v>810</v>
      </c>
      <c r="C159" s="92" t="s">
        <v>51</v>
      </c>
      <c r="D159" s="92" t="s">
        <v>811</v>
      </c>
      <c r="E159" s="92" t="s">
        <v>812</v>
      </c>
      <c r="F159" s="92" t="s">
        <v>813</v>
      </c>
      <c r="G159" s="93">
        <v>2010.0</v>
      </c>
      <c r="H159" s="17">
        <v>1.0</v>
      </c>
      <c r="I159" s="17">
        <v>1.0</v>
      </c>
      <c r="J159" s="17">
        <v>1.0</v>
      </c>
      <c r="K159" s="17">
        <v>0.0</v>
      </c>
      <c r="L159" s="21">
        <f t="shared" si="1"/>
        <v>3</v>
      </c>
      <c r="M159" s="17">
        <v>0.0</v>
      </c>
      <c r="N159" s="17">
        <v>0.0</v>
      </c>
      <c r="O159" s="21">
        <f t="shared" si="2"/>
        <v>0</v>
      </c>
      <c r="P159" s="17">
        <v>1.0</v>
      </c>
      <c r="Q159" s="21">
        <f t="shared" si="3"/>
        <v>1</v>
      </c>
      <c r="R159" s="26">
        <f t="shared" si="4"/>
        <v>1.75</v>
      </c>
    </row>
    <row r="160">
      <c r="A160" s="70" t="s">
        <v>1180</v>
      </c>
      <c r="B160" s="101" t="s">
        <v>1181</v>
      </c>
      <c r="C160" s="102" t="s">
        <v>51</v>
      </c>
      <c r="D160" s="105" t="s">
        <v>1182</v>
      </c>
      <c r="E160" s="105" t="s">
        <v>1183</v>
      </c>
      <c r="F160" s="102" t="s">
        <v>1184</v>
      </c>
      <c r="G160" s="103">
        <v>2021.0</v>
      </c>
      <c r="H160" s="17">
        <v>0.0</v>
      </c>
      <c r="I160" s="17">
        <v>0.0</v>
      </c>
      <c r="J160" s="17">
        <v>0.0</v>
      </c>
      <c r="K160" s="17">
        <v>0.0</v>
      </c>
      <c r="L160" s="21">
        <f t="shared" si="1"/>
        <v>0</v>
      </c>
      <c r="M160" s="17">
        <v>1.0</v>
      </c>
      <c r="N160" s="17">
        <v>0.0</v>
      </c>
      <c r="O160" s="21">
        <f t="shared" si="2"/>
        <v>1</v>
      </c>
      <c r="P160" s="17">
        <v>0.5</v>
      </c>
      <c r="Q160" s="21">
        <f t="shared" si="3"/>
        <v>0.5</v>
      </c>
      <c r="R160" s="72">
        <f t="shared" si="4"/>
        <v>1</v>
      </c>
    </row>
    <row r="161">
      <c r="A161" s="27" t="s">
        <v>821</v>
      </c>
      <c r="B161" s="91" t="s">
        <v>822</v>
      </c>
      <c r="C161" s="92" t="s">
        <v>77</v>
      </c>
      <c r="D161" s="106" t="s">
        <v>823</v>
      </c>
      <c r="E161" s="106" t="s">
        <v>824</v>
      </c>
      <c r="F161" s="92" t="s">
        <v>827</v>
      </c>
      <c r="G161" s="93">
        <v>2010.0</v>
      </c>
      <c r="H161" s="17">
        <v>0.5</v>
      </c>
      <c r="I161" s="17">
        <v>1.0</v>
      </c>
      <c r="J161" s="17">
        <v>0.5</v>
      </c>
      <c r="K161" s="17">
        <v>0.0</v>
      </c>
      <c r="L161" s="21">
        <f t="shared" si="1"/>
        <v>2</v>
      </c>
      <c r="M161" s="17">
        <v>0.0</v>
      </c>
      <c r="N161" s="17">
        <v>0.0</v>
      </c>
      <c r="O161" s="21">
        <f t="shared" si="2"/>
        <v>0</v>
      </c>
      <c r="P161" s="17">
        <v>1.0</v>
      </c>
      <c r="Q161" s="21">
        <f t="shared" si="3"/>
        <v>1</v>
      </c>
      <c r="R161" s="26">
        <f t="shared" si="4"/>
        <v>1.5</v>
      </c>
    </row>
    <row r="162">
      <c r="A162" s="70" t="s">
        <v>1189</v>
      </c>
      <c r="B162" s="101" t="s">
        <v>1191</v>
      </c>
      <c r="C162" s="102" t="s">
        <v>77</v>
      </c>
      <c r="D162" s="105" t="s">
        <v>1192</v>
      </c>
      <c r="E162" s="105" t="s">
        <v>1193</v>
      </c>
      <c r="F162" s="102" t="s">
        <v>665</v>
      </c>
      <c r="G162" s="103">
        <v>2021.0</v>
      </c>
      <c r="H162" s="17">
        <v>0.5</v>
      </c>
      <c r="I162" s="17">
        <v>0.0</v>
      </c>
      <c r="J162" s="17">
        <v>0.5</v>
      </c>
      <c r="K162" s="17">
        <v>0.0</v>
      </c>
      <c r="L162" s="21">
        <f t="shared" si="1"/>
        <v>1</v>
      </c>
      <c r="M162" s="17">
        <v>0.5</v>
      </c>
      <c r="N162" s="17">
        <v>0.0</v>
      </c>
      <c r="O162" s="21">
        <f t="shared" si="2"/>
        <v>0.5</v>
      </c>
      <c r="P162" s="17">
        <v>0.0</v>
      </c>
      <c r="Q162" s="21">
        <f t="shared" si="3"/>
        <v>0</v>
      </c>
      <c r="R162" s="72">
        <f t="shared" si="4"/>
        <v>0.5</v>
      </c>
    </row>
    <row r="163">
      <c r="A163" s="24" t="s">
        <v>833</v>
      </c>
      <c r="B163" s="24" t="s">
        <v>836</v>
      </c>
      <c r="C163" s="24" t="s">
        <v>77</v>
      </c>
      <c r="D163" s="24" t="s">
        <v>838</v>
      </c>
      <c r="E163" s="24" t="s">
        <v>840</v>
      </c>
      <c r="F163" s="24" t="s">
        <v>841</v>
      </c>
      <c r="G163" s="24">
        <v>2013.0</v>
      </c>
      <c r="H163" s="17">
        <v>0.5</v>
      </c>
      <c r="I163" s="17">
        <v>0.5</v>
      </c>
      <c r="J163" s="17">
        <v>0.5</v>
      </c>
      <c r="K163" s="17">
        <v>0.5</v>
      </c>
      <c r="L163" s="21">
        <f t="shared" si="1"/>
        <v>2</v>
      </c>
      <c r="M163" s="17">
        <v>0.0</v>
      </c>
      <c r="N163" s="17">
        <v>0.0</v>
      </c>
      <c r="O163" s="21">
        <f t="shared" si="2"/>
        <v>0</v>
      </c>
      <c r="P163" s="17">
        <v>1.0</v>
      </c>
      <c r="Q163" s="21">
        <f t="shared" si="3"/>
        <v>1</v>
      </c>
      <c r="R163" s="26">
        <f t="shared" si="4"/>
        <v>1.5</v>
      </c>
    </row>
    <row r="164">
      <c r="H164" s="26"/>
      <c r="I164" s="26"/>
      <c r="J164" s="26"/>
      <c r="K164" s="26"/>
      <c r="L164" s="21"/>
      <c r="M164" s="26"/>
      <c r="N164" s="26"/>
      <c r="O164" s="21"/>
      <c r="P164" s="26"/>
      <c r="Q164" s="21"/>
      <c r="R164" s="26"/>
    </row>
    <row r="165">
      <c r="H165" s="26"/>
      <c r="I165" s="26"/>
      <c r="J165" s="26"/>
      <c r="K165" s="26"/>
      <c r="L165" s="21"/>
      <c r="M165" s="26"/>
      <c r="N165" s="26"/>
      <c r="O165" s="21"/>
      <c r="P165" s="26"/>
      <c r="Q165" s="21"/>
      <c r="R165" s="26"/>
    </row>
    <row r="166">
      <c r="H166" s="26"/>
      <c r="I166" s="26"/>
      <c r="J166" s="26"/>
      <c r="K166" s="26"/>
      <c r="L166" s="21"/>
      <c r="M166" s="26"/>
      <c r="N166" s="26"/>
      <c r="O166" s="21"/>
      <c r="P166" s="26"/>
      <c r="Q166" s="21"/>
      <c r="R166" s="26"/>
    </row>
    <row r="167">
      <c r="H167" s="26"/>
      <c r="I167" s="26"/>
      <c r="J167" s="26"/>
      <c r="K167" s="26"/>
      <c r="L167" s="21"/>
      <c r="M167" s="26"/>
      <c r="N167" s="26"/>
      <c r="O167" s="21"/>
      <c r="P167" s="26"/>
      <c r="Q167" s="21"/>
      <c r="R167" s="26"/>
    </row>
    <row r="168">
      <c r="H168" s="26"/>
      <c r="I168" s="26"/>
      <c r="J168" s="26"/>
      <c r="K168" s="26"/>
      <c r="L168" s="21"/>
      <c r="M168" s="26"/>
      <c r="N168" s="26"/>
      <c r="O168" s="21"/>
      <c r="P168" s="26"/>
      <c r="Q168" s="21"/>
      <c r="R168" s="26"/>
    </row>
    <row r="169">
      <c r="H169" s="26"/>
      <c r="I169" s="26"/>
      <c r="J169" s="26"/>
      <c r="K169" s="26"/>
      <c r="L169" s="21"/>
      <c r="M169" s="26"/>
      <c r="N169" s="26"/>
      <c r="O169" s="21"/>
      <c r="P169" s="26"/>
      <c r="Q169" s="21"/>
      <c r="R169" s="26"/>
    </row>
    <row r="170">
      <c r="H170" s="26"/>
      <c r="I170" s="26"/>
      <c r="J170" s="26"/>
      <c r="K170" s="26"/>
      <c r="L170" s="21"/>
      <c r="M170" s="26"/>
      <c r="N170" s="26"/>
      <c r="O170" s="21"/>
      <c r="P170" s="26"/>
      <c r="Q170" s="21"/>
      <c r="R170" s="26"/>
    </row>
    <row r="171">
      <c r="H171" s="26"/>
      <c r="I171" s="26"/>
      <c r="J171" s="26"/>
      <c r="K171" s="26"/>
      <c r="L171" s="21"/>
      <c r="M171" s="26"/>
      <c r="N171" s="26"/>
      <c r="O171" s="21"/>
      <c r="P171" s="26"/>
      <c r="Q171" s="21"/>
      <c r="R171" s="26"/>
    </row>
    <row r="172">
      <c r="L172" s="21"/>
      <c r="O172" s="21"/>
      <c r="Q172" s="21"/>
      <c r="R172" s="26"/>
    </row>
    <row r="173">
      <c r="L173" s="21"/>
      <c r="O173" s="21"/>
      <c r="Q173" s="21"/>
      <c r="R173" s="26"/>
    </row>
    <row r="174">
      <c r="L174" s="21"/>
      <c r="O174" s="21"/>
      <c r="Q174" s="21"/>
      <c r="R174" s="26"/>
    </row>
    <row r="175">
      <c r="L175" s="21"/>
      <c r="O175" s="21"/>
      <c r="Q175" s="21"/>
      <c r="R175" s="26"/>
    </row>
    <row r="176">
      <c r="L176" s="21"/>
      <c r="O176" s="21"/>
      <c r="Q176" s="21"/>
      <c r="R176" s="26"/>
    </row>
    <row r="177">
      <c r="L177" s="21"/>
      <c r="O177" s="21"/>
      <c r="Q177" s="21"/>
      <c r="R177" s="26"/>
    </row>
    <row r="178">
      <c r="L178" s="21"/>
      <c r="O178" s="21"/>
      <c r="Q178" s="21"/>
      <c r="R178" s="26"/>
    </row>
    <row r="179">
      <c r="L179" s="21"/>
      <c r="O179" s="21"/>
      <c r="Q179" s="21"/>
      <c r="R179" s="26"/>
    </row>
    <row r="180">
      <c r="L180" s="21"/>
      <c r="O180" s="21"/>
      <c r="Q180" s="21"/>
      <c r="R180" s="26"/>
    </row>
    <row r="181">
      <c r="L181" s="21"/>
      <c r="O181" s="21"/>
      <c r="Q181" s="21"/>
      <c r="R181" s="26"/>
    </row>
    <row r="182">
      <c r="L182" s="21"/>
      <c r="O182" s="21"/>
      <c r="Q182" s="21"/>
      <c r="R182" s="26"/>
    </row>
    <row r="183">
      <c r="L183" s="21"/>
      <c r="O183" s="21"/>
      <c r="Q183" s="21"/>
      <c r="R183" s="26"/>
    </row>
    <row r="184">
      <c r="L184" s="21"/>
      <c r="O184" s="21"/>
      <c r="Q184" s="21"/>
      <c r="R184" s="26"/>
    </row>
    <row r="185">
      <c r="L185" s="21"/>
      <c r="O185" s="21"/>
      <c r="Q185" s="21"/>
      <c r="R185" s="26"/>
    </row>
    <row r="186">
      <c r="L186" s="21"/>
      <c r="O186" s="21"/>
      <c r="Q186" s="21"/>
      <c r="R186" s="26"/>
    </row>
    <row r="187">
      <c r="L187" s="21"/>
      <c r="O187" s="21"/>
      <c r="Q187" s="21"/>
      <c r="R187" s="26"/>
    </row>
    <row r="188">
      <c r="L188" s="21"/>
      <c r="O188" s="21"/>
      <c r="Q188" s="21"/>
      <c r="R188" s="26"/>
    </row>
    <row r="189">
      <c r="L189" s="21"/>
      <c r="O189" s="21"/>
      <c r="Q189" s="21"/>
      <c r="R189" s="26"/>
    </row>
    <row r="190">
      <c r="L190" s="21"/>
      <c r="O190" s="21"/>
      <c r="Q190" s="21"/>
      <c r="R190" s="26"/>
    </row>
    <row r="191">
      <c r="L191" s="21"/>
      <c r="O191" s="21"/>
      <c r="Q191" s="21"/>
      <c r="R191" s="26"/>
    </row>
    <row r="192">
      <c r="L192" s="21"/>
      <c r="O192" s="21"/>
      <c r="Q192" s="21"/>
      <c r="R192" s="26"/>
    </row>
    <row r="193">
      <c r="L193" s="21"/>
      <c r="O193" s="21"/>
      <c r="Q193" s="21"/>
      <c r="R193" s="26"/>
    </row>
    <row r="194">
      <c r="L194" s="21"/>
      <c r="O194" s="21"/>
      <c r="Q194" s="21"/>
      <c r="R194" s="26"/>
    </row>
    <row r="195">
      <c r="L195" s="21"/>
      <c r="O195" s="21"/>
      <c r="Q195" s="21"/>
      <c r="R195" s="26"/>
    </row>
    <row r="196">
      <c r="L196" s="21"/>
      <c r="O196" s="21"/>
      <c r="Q196" s="21"/>
      <c r="R196" s="26"/>
    </row>
    <row r="197">
      <c r="L197" s="21"/>
      <c r="O197" s="21"/>
      <c r="Q197" s="21"/>
      <c r="R197" s="26"/>
    </row>
    <row r="198">
      <c r="L198" s="21"/>
      <c r="O198" s="21"/>
      <c r="Q198" s="21"/>
      <c r="R198" s="26"/>
    </row>
    <row r="199">
      <c r="L199" s="21"/>
      <c r="O199" s="21"/>
      <c r="Q199" s="21"/>
      <c r="R199" s="26"/>
    </row>
    <row r="200">
      <c r="L200" s="21"/>
      <c r="O200" s="21"/>
      <c r="Q200" s="21"/>
      <c r="R200" s="26"/>
    </row>
    <row r="201">
      <c r="L201" s="21"/>
      <c r="O201" s="21"/>
      <c r="Q201" s="21"/>
      <c r="R201" s="26"/>
    </row>
    <row r="202">
      <c r="L202" s="21"/>
      <c r="O202" s="21"/>
      <c r="Q202" s="21"/>
      <c r="R202" s="26"/>
    </row>
    <row r="203">
      <c r="L203" s="21"/>
      <c r="O203" s="21"/>
      <c r="Q203" s="21"/>
      <c r="R203" s="26"/>
    </row>
    <row r="204">
      <c r="L204" s="21"/>
      <c r="O204" s="21"/>
      <c r="Q204" s="21"/>
      <c r="R204" s="26"/>
    </row>
    <row r="205">
      <c r="L205" s="21"/>
      <c r="O205" s="21"/>
      <c r="Q205" s="21"/>
      <c r="R205" s="26"/>
    </row>
    <row r="206">
      <c r="L206" s="21"/>
      <c r="O206" s="21"/>
      <c r="Q206" s="21"/>
      <c r="R206" s="26"/>
    </row>
    <row r="207">
      <c r="L207" s="21"/>
      <c r="O207" s="21"/>
      <c r="Q207" s="21"/>
      <c r="R207" s="26"/>
    </row>
    <row r="208">
      <c r="L208" s="21"/>
      <c r="O208" s="21"/>
      <c r="Q208" s="21"/>
      <c r="R208" s="26"/>
    </row>
    <row r="209">
      <c r="L209" s="21"/>
      <c r="O209" s="21"/>
      <c r="Q209" s="21"/>
      <c r="R209" s="26"/>
    </row>
    <row r="210">
      <c r="L210" s="21"/>
      <c r="O210" s="21"/>
      <c r="Q210" s="21"/>
      <c r="R210" s="26"/>
    </row>
    <row r="211">
      <c r="L211" s="21"/>
      <c r="O211" s="21"/>
      <c r="Q211" s="21"/>
      <c r="R211" s="26"/>
    </row>
    <row r="212">
      <c r="L212" s="21"/>
      <c r="O212" s="21"/>
      <c r="Q212" s="21"/>
      <c r="R212" s="26"/>
    </row>
    <row r="213">
      <c r="L213" s="21"/>
      <c r="O213" s="21"/>
      <c r="Q213" s="21"/>
      <c r="R213" s="26"/>
    </row>
    <row r="214">
      <c r="L214" s="21"/>
      <c r="O214" s="21"/>
      <c r="Q214" s="21"/>
      <c r="R214" s="26"/>
    </row>
    <row r="215">
      <c r="L215" s="21"/>
      <c r="O215" s="21"/>
      <c r="Q215" s="21"/>
      <c r="R215" s="26"/>
    </row>
    <row r="216">
      <c r="L216" s="21"/>
      <c r="O216" s="21"/>
      <c r="Q216" s="21"/>
      <c r="R216" s="26"/>
    </row>
    <row r="217">
      <c r="L217" s="21"/>
      <c r="O217" s="21"/>
      <c r="Q217" s="21"/>
      <c r="R217" s="26"/>
    </row>
    <row r="218">
      <c r="L218" s="21"/>
      <c r="O218" s="21"/>
      <c r="Q218" s="21"/>
      <c r="R218" s="26"/>
    </row>
    <row r="219">
      <c r="L219" s="21"/>
      <c r="O219" s="21"/>
      <c r="Q219" s="21"/>
      <c r="R219" s="26"/>
    </row>
    <row r="220">
      <c r="L220" s="21"/>
      <c r="O220" s="21"/>
      <c r="Q220" s="21"/>
      <c r="R220" s="26"/>
    </row>
    <row r="221">
      <c r="L221" s="21"/>
      <c r="O221" s="21"/>
      <c r="Q221" s="21"/>
      <c r="R221" s="26"/>
    </row>
    <row r="222">
      <c r="L222" s="21"/>
      <c r="O222" s="21"/>
      <c r="Q222" s="21"/>
      <c r="R222" s="26"/>
    </row>
    <row r="223">
      <c r="L223" s="21"/>
      <c r="O223" s="21"/>
      <c r="Q223" s="21"/>
      <c r="R223" s="26"/>
    </row>
    <row r="224">
      <c r="L224" s="21"/>
      <c r="O224" s="21"/>
      <c r="Q224" s="21"/>
      <c r="R224" s="26"/>
    </row>
    <row r="225">
      <c r="L225" s="21"/>
      <c r="O225" s="21"/>
      <c r="Q225" s="21"/>
      <c r="R225" s="26"/>
    </row>
    <row r="226">
      <c r="L226" s="21"/>
      <c r="O226" s="21"/>
      <c r="Q226" s="21"/>
      <c r="R226" s="26"/>
    </row>
    <row r="227">
      <c r="L227" s="21"/>
      <c r="O227" s="21"/>
      <c r="Q227" s="21"/>
      <c r="R227" s="26"/>
    </row>
    <row r="228">
      <c r="L228" s="21"/>
      <c r="O228" s="21"/>
      <c r="Q228" s="21"/>
      <c r="R228" s="26"/>
    </row>
    <row r="229">
      <c r="L229" s="21"/>
      <c r="O229" s="21"/>
      <c r="Q229" s="21"/>
      <c r="R229" s="26"/>
    </row>
    <row r="230">
      <c r="L230" s="21"/>
      <c r="O230" s="21"/>
      <c r="Q230" s="21"/>
      <c r="R230" s="26"/>
    </row>
    <row r="231">
      <c r="L231" s="21"/>
      <c r="O231" s="21"/>
      <c r="Q231" s="21"/>
      <c r="R231" s="26"/>
    </row>
    <row r="232">
      <c r="L232" s="21"/>
      <c r="O232" s="21"/>
      <c r="Q232" s="21"/>
      <c r="R232" s="26"/>
    </row>
    <row r="233">
      <c r="L233" s="21"/>
      <c r="O233" s="21"/>
      <c r="Q233" s="21"/>
      <c r="R233" s="26"/>
    </row>
    <row r="234">
      <c r="L234" s="21"/>
      <c r="O234" s="21"/>
      <c r="Q234" s="21"/>
      <c r="R234" s="26"/>
    </row>
    <row r="235">
      <c r="L235" s="21"/>
      <c r="O235" s="21"/>
      <c r="Q235" s="21"/>
      <c r="R235" s="26"/>
    </row>
    <row r="236">
      <c r="L236" s="21"/>
      <c r="O236" s="21"/>
      <c r="Q236" s="21"/>
      <c r="R236" s="26"/>
    </row>
    <row r="237">
      <c r="L237" s="21"/>
      <c r="O237" s="21"/>
      <c r="Q237" s="21"/>
      <c r="R237" s="26"/>
    </row>
    <row r="238">
      <c r="L238" s="21"/>
      <c r="O238" s="21"/>
      <c r="Q238" s="21"/>
      <c r="R238" s="26"/>
    </row>
    <row r="239">
      <c r="L239" s="21"/>
      <c r="O239" s="21"/>
      <c r="Q239" s="21"/>
      <c r="R239" s="26"/>
    </row>
    <row r="240">
      <c r="L240" s="21"/>
      <c r="O240" s="21"/>
      <c r="Q240" s="21"/>
      <c r="R240" s="26"/>
    </row>
    <row r="241">
      <c r="L241" s="21"/>
      <c r="O241" s="21"/>
      <c r="Q241" s="21"/>
      <c r="R241" s="26"/>
    </row>
    <row r="242">
      <c r="L242" s="21"/>
      <c r="O242" s="21"/>
      <c r="Q242" s="21"/>
      <c r="R242" s="26"/>
    </row>
    <row r="243">
      <c r="L243" s="21"/>
      <c r="O243" s="21"/>
      <c r="Q243" s="21"/>
      <c r="R243" s="26"/>
    </row>
    <row r="244">
      <c r="L244" s="21"/>
      <c r="O244" s="21"/>
      <c r="Q244" s="21"/>
      <c r="R244" s="26"/>
    </row>
    <row r="245">
      <c r="L245" s="21"/>
      <c r="O245" s="21"/>
      <c r="Q245" s="21"/>
      <c r="R245" s="26"/>
    </row>
    <row r="246">
      <c r="L246" s="21"/>
      <c r="O246" s="21"/>
      <c r="Q246" s="21"/>
      <c r="R246" s="26"/>
    </row>
    <row r="247">
      <c r="L247" s="21"/>
      <c r="O247" s="21"/>
      <c r="Q247" s="21"/>
      <c r="R247" s="26"/>
    </row>
    <row r="248">
      <c r="L248" s="21"/>
      <c r="O248" s="21"/>
      <c r="Q248" s="21"/>
      <c r="R248" s="26"/>
    </row>
    <row r="249">
      <c r="L249" s="21"/>
      <c r="O249" s="21"/>
      <c r="Q249" s="21"/>
      <c r="R249" s="26"/>
    </row>
    <row r="250">
      <c r="L250" s="21"/>
      <c r="O250" s="21"/>
      <c r="Q250" s="21"/>
      <c r="R250" s="26"/>
    </row>
    <row r="251">
      <c r="L251" s="21"/>
      <c r="O251" s="21"/>
      <c r="Q251" s="21"/>
      <c r="R251" s="26"/>
    </row>
    <row r="252">
      <c r="L252" s="21"/>
      <c r="O252" s="21"/>
      <c r="Q252" s="21"/>
      <c r="R252" s="26"/>
    </row>
    <row r="253">
      <c r="L253" s="21"/>
      <c r="O253" s="21"/>
      <c r="Q253" s="21"/>
      <c r="R253" s="26"/>
    </row>
    <row r="254">
      <c r="L254" s="21"/>
      <c r="O254" s="21"/>
      <c r="Q254" s="21"/>
      <c r="R254" s="26"/>
    </row>
    <row r="255">
      <c r="L255" s="21"/>
      <c r="O255" s="21"/>
      <c r="Q255" s="21"/>
      <c r="R255" s="26"/>
    </row>
    <row r="256">
      <c r="L256" s="21"/>
      <c r="O256" s="21"/>
      <c r="Q256" s="21"/>
      <c r="R256" s="26"/>
    </row>
    <row r="257">
      <c r="L257" s="21"/>
      <c r="O257" s="21"/>
      <c r="Q257" s="21"/>
      <c r="R257" s="26"/>
    </row>
    <row r="258">
      <c r="L258" s="21"/>
      <c r="O258" s="21"/>
      <c r="Q258" s="21"/>
      <c r="R258" s="26"/>
    </row>
    <row r="259">
      <c r="L259" s="21"/>
      <c r="O259" s="21"/>
      <c r="Q259" s="21"/>
      <c r="R259" s="26"/>
    </row>
    <row r="260">
      <c r="L260" s="21"/>
      <c r="O260" s="21"/>
      <c r="Q260" s="21"/>
      <c r="R260" s="26"/>
    </row>
    <row r="261">
      <c r="L261" s="21"/>
      <c r="O261" s="21"/>
      <c r="Q261" s="21"/>
      <c r="R261" s="26"/>
    </row>
    <row r="262">
      <c r="L262" s="21"/>
      <c r="O262" s="21"/>
      <c r="Q262" s="21"/>
      <c r="R262" s="26"/>
    </row>
    <row r="263">
      <c r="L263" s="21"/>
      <c r="O263" s="21"/>
      <c r="Q263" s="21"/>
      <c r="R263" s="26"/>
    </row>
    <row r="264">
      <c r="L264" s="21"/>
      <c r="O264" s="21"/>
      <c r="Q264" s="21"/>
      <c r="R264" s="26"/>
    </row>
    <row r="265">
      <c r="L265" s="21"/>
      <c r="O265" s="21"/>
      <c r="Q265" s="21"/>
      <c r="R265" s="26"/>
    </row>
    <row r="266">
      <c r="L266" s="21"/>
      <c r="O266" s="21"/>
      <c r="Q266" s="21"/>
      <c r="R266" s="26"/>
    </row>
    <row r="267">
      <c r="L267" s="21"/>
      <c r="O267" s="21"/>
      <c r="Q267" s="21"/>
      <c r="R267" s="26"/>
    </row>
    <row r="268">
      <c r="L268" s="21"/>
      <c r="O268" s="21"/>
      <c r="Q268" s="21"/>
      <c r="R268" s="26"/>
    </row>
    <row r="269">
      <c r="L269" s="21"/>
      <c r="O269" s="21"/>
      <c r="Q269" s="21"/>
      <c r="R269" s="26"/>
    </row>
    <row r="270">
      <c r="L270" s="21"/>
      <c r="O270" s="21"/>
      <c r="Q270" s="21"/>
      <c r="R270" s="26"/>
    </row>
    <row r="271">
      <c r="L271" s="21"/>
      <c r="O271" s="21"/>
      <c r="Q271" s="21"/>
      <c r="R271" s="26"/>
    </row>
    <row r="272">
      <c r="L272" s="21"/>
      <c r="O272" s="21"/>
      <c r="Q272" s="21"/>
      <c r="R272" s="26"/>
    </row>
    <row r="273">
      <c r="L273" s="21"/>
      <c r="O273" s="21"/>
      <c r="Q273" s="21"/>
      <c r="R273" s="26"/>
    </row>
    <row r="274">
      <c r="L274" s="21"/>
      <c r="O274" s="21"/>
      <c r="Q274" s="21"/>
      <c r="R274" s="26"/>
    </row>
    <row r="275">
      <c r="L275" s="21"/>
      <c r="O275" s="21"/>
      <c r="Q275" s="21"/>
      <c r="R275" s="26"/>
    </row>
    <row r="276">
      <c r="L276" s="21"/>
      <c r="O276" s="21"/>
      <c r="Q276" s="21"/>
      <c r="R276" s="26"/>
    </row>
    <row r="277">
      <c r="L277" s="21"/>
      <c r="O277" s="21"/>
      <c r="Q277" s="21"/>
      <c r="R277" s="26"/>
    </row>
    <row r="278">
      <c r="L278" s="21"/>
      <c r="O278" s="21"/>
      <c r="Q278" s="21"/>
      <c r="R278" s="26"/>
    </row>
    <row r="279">
      <c r="L279" s="21"/>
      <c r="O279" s="21"/>
      <c r="Q279" s="21"/>
      <c r="R279" s="26"/>
    </row>
    <row r="280">
      <c r="L280" s="21"/>
      <c r="O280" s="21"/>
      <c r="Q280" s="21"/>
      <c r="R280" s="26"/>
    </row>
    <row r="281">
      <c r="L281" s="21"/>
      <c r="O281" s="21"/>
      <c r="Q281" s="21"/>
      <c r="R281" s="26"/>
    </row>
    <row r="282">
      <c r="L282" s="21"/>
      <c r="O282" s="21"/>
      <c r="Q282" s="21"/>
      <c r="R282" s="26"/>
    </row>
    <row r="283">
      <c r="L283" s="21"/>
      <c r="O283" s="21"/>
      <c r="Q283" s="21"/>
      <c r="R283" s="26"/>
    </row>
    <row r="284">
      <c r="L284" s="21"/>
      <c r="O284" s="21"/>
      <c r="Q284" s="21"/>
      <c r="R284" s="26"/>
    </row>
    <row r="285">
      <c r="L285" s="21"/>
      <c r="O285" s="21"/>
      <c r="Q285" s="21"/>
      <c r="R285" s="26"/>
    </row>
    <row r="286">
      <c r="L286" s="21"/>
      <c r="O286" s="21"/>
      <c r="Q286" s="21"/>
      <c r="R286" s="26"/>
    </row>
    <row r="287">
      <c r="L287" s="21"/>
      <c r="O287" s="21"/>
      <c r="Q287" s="21"/>
      <c r="R287" s="26"/>
    </row>
    <row r="288">
      <c r="L288" s="21"/>
      <c r="O288" s="21"/>
      <c r="Q288" s="21"/>
      <c r="R288" s="26"/>
    </row>
    <row r="289">
      <c r="L289" s="21"/>
      <c r="O289" s="21"/>
      <c r="Q289" s="21"/>
      <c r="R289" s="26"/>
    </row>
    <row r="290">
      <c r="L290" s="21"/>
      <c r="O290" s="21"/>
      <c r="Q290" s="21"/>
      <c r="R290" s="26"/>
    </row>
    <row r="291">
      <c r="L291" s="21"/>
      <c r="O291" s="21"/>
      <c r="Q291" s="21"/>
      <c r="R291" s="26"/>
    </row>
    <row r="292">
      <c r="L292" s="21"/>
      <c r="O292" s="21"/>
      <c r="Q292" s="21"/>
      <c r="R292" s="26"/>
    </row>
    <row r="293">
      <c r="L293" s="21"/>
      <c r="O293" s="21"/>
      <c r="Q293" s="21"/>
      <c r="R293" s="26"/>
    </row>
    <row r="294">
      <c r="L294" s="21"/>
      <c r="O294" s="21"/>
      <c r="Q294" s="21"/>
      <c r="R294" s="26"/>
    </row>
    <row r="295">
      <c r="L295" s="21"/>
      <c r="O295" s="21"/>
      <c r="Q295" s="21"/>
      <c r="R295" s="26"/>
    </row>
    <row r="296">
      <c r="L296" s="21"/>
      <c r="O296" s="21"/>
      <c r="Q296" s="21"/>
      <c r="R296" s="26"/>
    </row>
    <row r="297">
      <c r="L297" s="21"/>
      <c r="O297" s="21"/>
      <c r="Q297" s="21"/>
      <c r="R297" s="26"/>
    </row>
    <row r="298">
      <c r="L298" s="21"/>
      <c r="O298" s="21"/>
      <c r="Q298" s="21"/>
      <c r="R298" s="26"/>
    </row>
    <row r="299">
      <c r="L299" s="21"/>
      <c r="O299" s="21"/>
      <c r="Q299" s="21"/>
      <c r="R299" s="26"/>
    </row>
    <row r="300">
      <c r="L300" s="21"/>
      <c r="O300" s="21"/>
      <c r="Q300" s="21"/>
      <c r="R300" s="26"/>
    </row>
    <row r="301">
      <c r="L301" s="21"/>
      <c r="O301" s="21"/>
      <c r="Q301" s="21"/>
      <c r="R301" s="26"/>
    </row>
    <row r="302">
      <c r="L302" s="21"/>
      <c r="O302" s="21"/>
      <c r="Q302" s="21"/>
      <c r="R302" s="26"/>
    </row>
    <row r="303">
      <c r="L303" s="21"/>
      <c r="O303" s="21"/>
      <c r="Q303" s="21"/>
      <c r="R303" s="26"/>
    </row>
    <row r="304">
      <c r="L304" s="21"/>
      <c r="O304" s="21"/>
      <c r="Q304" s="21"/>
      <c r="R304" s="26"/>
    </row>
    <row r="305">
      <c r="L305" s="21"/>
      <c r="O305" s="21"/>
      <c r="Q305" s="21"/>
      <c r="R305" s="26"/>
    </row>
    <row r="306">
      <c r="L306" s="21"/>
      <c r="O306" s="21"/>
      <c r="Q306" s="21"/>
      <c r="R306" s="26"/>
    </row>
    <row r="307">
      <c r="L307" s="21"/>
      <c r="O307" s="21"/>
      <c r="Q307" s="21"/>
      <c r="R307" s="26"/>
    </row>
    <row r="308">
      <c r="L308" s="21"/>
      <c r="O308" s="21"/>
      <c r="Q308" s="21"/>
      <c r="R308" s="26"/>
    </row>
    <row r="309">
      <c r="L309" s="21"/>
      <c r="O309" s="21"/>
      <c r="Q309" s="21"/>
      <c r="R309" s="26"/>
    </row>
    <row r="310">
      <c r="L310" s="21"/>
      <c r="O310" s="21"/>
      <c r="Q310" s="21"/>
      <c r="R310" s="26"/>
    </row>
    <row r="311">
      <c r="L311" s="21"/>
      <c r="O311" s="21"/>
      <c r="Q311" s="21"/>
      <c r="R311" s="26"/>
    </row>
    <row r="312">
      <c r="L312" s="21"/>
      <c r="O312" s="21"/>
      <c r="Q312" s="21"/>
      <c r="R312" s="26"/>
    </row>
    <row r="313">
      <c r="L313" s="21"/>
      <c r="O313" s="21"/>
      <c r="Q313" s="21"/>
      <c r="R313" s="26"/>
    </row>
    <row r="314">
      <c r="L314" s="21"/>
      <c r="O314" s="21"/>
      <c r="Q314" s="21"/>
      <c r="R314" s="26"/>
    </row>
    <row r="315">
      <c r="L315" s="21"/>
      <c r="O315" s="21"/>
      <c r="Q315" s="21"/>
      <c r="R315" s="26"/>
    </row>
    <row r="316">
      <c r="L316" s="21"/>
      <c r="O316" s="21"/>
      <c r="Q316" s="21"/>
      <c r="R316" s="26"/>
    </row>
    <row r="317">
      <c r="L317" s="21"/>
      <c r="O317" s="21"/>
      <c r="Q317" s="21"/>
      <c r="R317" s="26"/>
    </row>
    <row r="318">
      <c r="L318" s="21"/>
      <c r="O318" s="21"/>
      <c r="Q318" s="21"/>
      <c r="R318" s="26"/>
    </row>
    <row r="319">
      <c r="L319" s="21"/>
      <c r="O319" s="21"/>
      <c r="Q319" s="21"/>
      <c r="R319" s="26"/>
    </row>
    <row r="320">
      <c r="L320" s="21"/>
      <c r="O320" s="21"/>
      <c r="Q320" s="21"/>
      <c r="R320" s="26"/>
    </row>
    <row r="321">
      <c r="L321" s="21"/>
      <c r="O321" s="21"/>
      <c r="Q321" s="21"/>
      <c r="R321" s="26"/>
    </row>
    <row r="322">
      <c r="L322" s="21"/>
      <c r="O322" s="21"/>
      <c r="Q322" s="21"/>
      <c r="R322" s="26"/>
    </row>
    <row r="323">
      <c r="L323" s="21"/>
      <c r="O323" s="21"/>
      <c r="Q323" s="21"/>
      <c r="R323" s="26"/>
    </row>
    <row r="324">
      <c r="L324" s="21"/>
      <c r="O324" s="21"/>
      <c r="Q324" s="21"/>
      <c r="R324" s="26"/>
    </row>
    <row r="325">
      <c r="L325" s="21"/>
      <c r="O325" s="21"/>
      <c r="Q325" s="21"/>
      <c r="R325" s="26"/>
    </row>
    <row r="326">
      <c r="L326" s="21"/>
      <c r="O326" s="21"/>
      <c r="Q326" s="21"/>
      <c r="R326" s="26"/>
    </row>
    <row r="327">
      <c r="L327" s="21"/>
      <c r="O327" s="21"/>
      <c r="Q327" s="21"/>
      <c r="R327" s="26"/>
    </row>
    <row r="328">
      <c r="L328" s="21"/>
      <c r="O328" s="21"/>
      <c r="Q328" s="21"/>
      <c r="R328" s="26"/>
    </row>
    <row r="329">
      <c r="L329" s="21"/>
      <c r="O329" s="21"/>
      <c r="Q329" s="21"/>
      <c r="R329" s="26"/>
    </row>
    <row r="330">
      <c r="L330" s="21"/>
      <c r="O330" s="21"/>
      <c r="Q330" s="21"/>
      <c r="R330" s="26"/>
    </row>
    <row r="331">
      <c r="L331" s="21"/>
      <c r="O331" s="21"/>
      <c r="Q331" s="21"/>
      <c r="R331" s="26"/>
    </row>
    <row r="332">
      <c r="L332" s="21"/>
      <c r="O332" s="21"/>
      <c r="Q332" s="21"/>
      <c r="R332" s="26"/>
    </row>
    <row r="333">
      <c r="L333" s="21"/>
      <c r="O333" s="21"/>
      <c r="Q333" s="21"/>
      <c r="R333" s="26"/>
    </row>
    <row r="334">
      <c r="L334" s="21"/>
      <c r="O334" s="21"/>
      <c r="Q334" s="21"/>
      <c r="R334" s="26"/>
    </row>
    <row r="335">
      <c r="L335" s="21"/>
      <c r="O335" s="21"/>
      <c r="Q335" s="21"/>
      <c r="R335" s="26"/>
    </row>
    <row r="336">
      <c r="L336" s="21"/>
      <c r="O336" s="21"/>
      <c r="Q336" s="21"/>
      <c r="R336" s="26"/>
    </row>
    <row r="337">
      <c r="L337" s="21"/>
      <c r="O337" s="21"/>
      <c r="Q337" s="21"/>
      <c r="R337" s="26"/>
    </row>
    <row r="338">
      <c r="L338" s="21"/>
      <c r="O338" s="21"/>
      <c r="Q338" s="21"/>
      <c r="R338" s="26"/>
    </row>
    <row r="339">
      <c r="L339" s="21"/>
      <c r="O339" s="21"/>
      <c r="Q339" s="21"/>
      <c r="R339" s="26"/>
    </row>
    <row r="340">
      <c r="L340" s="21"/>
      <c r="O340" s="21"/>
      <c r="Q340" s="21"/>
      <c r="R340" s="26"/>
    </row>
    <row r="341">
      <c r="L341" s="21"/>
      <c r="O341" s="21"/>
      <c r="Q341" s="21"/>
      <c r="R341" s="26"/>
    </row>
    <row r="342">
      <c r="L342" s="21"/>
      <c r="O342" s="21"/>
      <c r="Q342" s="21"/>
      <c r="R342" s="26"/>
    </row>
    <row r="343">
      <c r="L343" s="21"/>
      <c r="O343" s="21"/>
      <c r="Q343" s="21"/>
      <c r="R343" s="26"/>
    </row>
    <row r="344">
      <c r="L344" s="21"/>
      <c r="O344" s="21"/>
      <c r="Q344" s="21"/>
      <c r="R344" s="26"/>
    </row>
    <row r="345">
      <c r="L345" s="21"/>
      <c r="O345" s="21"/>
      <c r="Q345" s="21"/>
      <c r="R345" s="26"/>
    </row>
    <row r="346">
      <c r="L346" s="21"/>
      <c r="O346" s="21"/>
      <c r="Q346" s="21"/>
      <c r="R346" s="26"/>
    </row>
    <row r="347">
      <c r="L347" s="21"/>
      <c r="O347" s="21"/>
      <c r="Q347" s="21"/>
      <c r="R347" s="26"/>
    </row>
    <row r="348">
      <c r="L348" s="21"/>
      <c r="O348" s="21"/>
      <c r="Q348" s="21"/>
      <c r="R348" s="26"/>
    </row>
    <row r="349">
      <c r="L349" s="21"/>
      <c r="O349" s="21"/>
      <c r="Q349" s="21"/>
      <c r="R349" s="26"/>
    </row>
    <row r="350">
      <c r="L350" s="21"/>
      <c r="O350" s="21"/>
      <c r="Q350" s="21"/>
      <c r="R350" s="26"/>
    </row>
    <row r="351">
      <c r="L351" s="21"/>
      <c r="O351" s="21"/>
      <c r="Q351" s="21"/>
      <c r="R351" s="26"/>
    </row>
    <row r="352">
      <c r="L352" s="21"/>
      <c r="O352" s="21"/>
      <c r="Q352" s="21"/>
      <c r="R352" s="26"/>
    </row>
    <row r="353">
      <c r="L353" s="21"/>
      <c r="O353" s="21"/>
      <c r="Q353" s="21"/>
      <c r="R353" s="26"/>
    </row>
    <row r="354">
      <c r="L354" s="21"/>
      <c r="O354" s="21"/>
      <c r="Q354" s="21"/>
      <c r="R354" s="26"/>
    </row>
    <row r="355">
      <c r="L355" s="21"/>
      <c r="O355" s="21"/>
      <c r="Q355" s="21"/>
      <c r="R355" s="26"/>
    </row>
    <row r="356">
      <c r="L356" s="21"/>
      <c r="O356" s="21"/>
      <c r="Q356" s="21"/>
      <c r="R356" s="26"/>
    </row>
    <row r="357">
      <c r="L357" s="21"/>
      <c r="O357" s="21"/>
      <c r="Q357" s="21"/>
      <c r="R357" s="26"/>
    </row>
    <row r="358">
      <c r="L358" s="21"/>
      <c r="O358" s="21"/>
      <c r="Q358" s="21"/>
      <c r="R358" s="26"/>
    </row>
    <row r="359">
      <c r="L359" s="21"/>
      <c r="O359" s="21"/>
      <c r="Q359" s="21"/>
      <c r="R359" s="26"/>
    </row>
    <row r="360">
      <c r="L360" s="21"/>
      <c r="O360" s="21"/>
      <c r="Q360" s="21"/>
      <c r="R360" s="26"/>
    </row>
    <row r="361">
      <c r="L361" s="21"/>
      <c r="O361" s="21"/>
      <c r="Q361" s="21"/>
      <c r="R361" s="26"/>
    </row>
    <row r="362">
      <c r="L362" s="21"/>
      <c r="O362" s="21"/>
      <c r="Q362" s="21"/>
      <c r="R362" s="26"/>
    </row>
    <row r="363">
      <c r="L363" s="21"/>
      <c r="O363" s="21"/>
      <c r="Q363" s="21"/>
      <c r="R363" s="26"/>
    </row>
    <row r="364">
      <c r="L364" s="21"/>
      <c r="O364" s="21"/>
      <c r="Q364" s="21"/>
      <c r="R364" s="26"/>
    </row>
    <row r="365">
      <c r="L365" s="21"/>
      <c r="O365" s="21"/>
      <c r="Q365" s="21"/>
      <c r="R365" s="26"/>
    </row>
    <row r="366">
      <c r="L366" s="21"/>
      <c r="O366" s="21"/>
      <c r="Q366" s="21"/>
      <c r="R366" s="26"/>
    </row>
    <row r="367">
      <c r="L367" s="21"/>
      <c r="O367" s="21"/>
      <c r="Q367" s="21"/>
      <c r="R367" s="26"/>
    </row>
    <row r="368">
      <c r="L368" s="21"/>
      <c r="O368" s="21"/>
      <c r="Q368" s="21"/>
      <c r="R368" s="26"/>
    </row>
    <row r="369">
      <c r="L369" s="21"/>
      <c r="O369" s="21"/>
      <c r="Q369" s="21"/>
      <c r="R369" s="26"/>
    </row>
    <row r="370">
      <c r="L370" s="21"/>
      <c r="O370" s="21"/>
      <c r="Q370" s="21"/>
      <c r="R370" s="26"/>
    </row>
    <row r="371">
      <c r="L371" s="21"/>
      <c r="O371" s="21"/>
      <c r="Q371" s="21"/>
      <c r="R371" s="26"/>
    </row>
    <row r="372">
      <c r="L372" s="21"/>
      <c r="O372" s="21"/>
      <c r="Q372" s="21"/>
      <c r="R372" s="26"/>
    </row>
    <row r="373">
      <c r="L373" s="21"/>
      <c r="O373" s="21"/>
      <c r="Q373" s="21"/>
      <c r="R373" s="26"/>
    </row>
    <row r="374">
      <c r="L374" s="21"/>
      <c r="O374" s="21"/>
      <c r="Q374" s="21"/>
      <c r="R374" s="26"/>
    </row>
    <row r="375">
      <c r="L375" s="21"/>
      <c r="O375" s="21"/>
      <c r="Q375" s="21"/>
      <c r="R375" s="26"/>
    </row>
    <row r="376">
      <c r="L376" s="21"/>
      <c r="O376" s="21"/>
      <c r="Q376" s="21"/>
      <c r="R376" s="26"/>
    </row>
    <row r="377">
      <c r="L377" s="21"/>
      <c r="O377" s="21"/>
      <c r="Q377" s="21"/>
      <c r="R377" s="26"/>
    </row>
    <row r="378">
      <c r="L378" s="21"/>
      <c r="O378" s="21"/>
      <c r="Q378" s="21"/>
      <c r="R378" s="26"/>
    </row>
    <row r="379">
      <c r="L379" s="21"/>
      <c r="O379" s="21"/>
      <c r="Q379" s="21"/>
      <c r="R379" s="26"/>
    </row>
    <row r="380">
      <c r="L380" s="21"/>
      <c r="O380" s="21"/>
      <c r="Q380" s="21"/>
      <c r="R380" s="26"/>
    </row>
    <row r="381">
      <c r="L381" s="21"/>
      <c r="O381" s="21"/>
      <c r="Q381" s="21"/>
      <c r="R381" s="26"/>
    </row>
    <row r="382">
      <c r="L382" s="21"/>
      <c r="O382" s="21"/>
      <c r="Q382" s="21"/>
      <c r="R382" s="26"/>
    </row>
    <row r="383">
      <c r="L383" s="21"/>
      <c r="O383" s="21"/>
      <c r="Q383" s="21"/>
      <c r="R383" s="26"/>
    </row>
    <row r="384">
      <c r="L384" s="21"/>
      <c r="O384" s="21"/>
      <c r="Q384" s="21"/>
      <c r="R384" s="26"/>
    </row>
    <row r="385">
      <c r="L385" s="21"/>
      <c r="O385" s="21"/>
      <c r="Q385" s="21"/>
      <c r="R385" s="26"/>
    </row>
    <row r="386">
      <c r="L386" s="21"/>
      <c r="O386" s="21"/>
      <c r="Q386" s="21"/>
      <c r="R386" s="26"/>
    </row>
    <row r="387">
      <c r="L387" s="21"/>
      <c r="O387" s="21"/>
      <c r="Q387" s="21"/>
      <c r="R387" s="26"/>
    </row>
    <row r="388">
      <c r="L388" s="21"/>
      <c r="O388" s="21"/>
      <c r="Q388" s="21"/>
      <c r="R388" s="26"/>
    </row>
    <row r="389">
      <c r="L389" s="21"/>
      <c r="O389" s="21"/>
      <c r="Q389" s="21"/>
      <c r="R389" s="26"/>
    </row>
    <row r="390">
      <c r="L390" s="21"/>
      <c r="O390" s="21"/>
      <c r="Q390" s="21"/>
      <c r="R390" s="26"/>
    </row>
    <row r="391">
      <c r="L391" s="21"/>
      <c r="O391" s="21"/>
      <c r="Q391" s="21"/>
      <c r="R391" s="26"/>
    </row>
    <row r="392">
      <c r="L392" s="21"/>
      <c r="O392" s="21"/>
      <c r="Q392" s="21"/>
      <c r="R392" s="26"/>
    </row>
    <row r="393">
      <c r="L393" s="21"/>
      <c r="O393" s="21"/>
      <c r="Q393" s="21"/>
      <c r="R393" s="26"/>
    </row>
    <row r="394">
      <c r="L394" s="21"/>
      <c r="O394" s="21"/>
      <c r="Q394" s="21"/>
      <c r="R394" s="26"/>
    </row>
    <row r="395">
      <c r="L395" s="21"/>
      <c r="O395" s="21"/>
      <c r="Q395" s="21"/>
      <c r="R395" s="26"/>
    </row>
    <row r="396">
      <c r="L396" s="21"/>
      <c r="O396" s="21"/>
      <c r="Q396" s="21"/>
      <c r="R396" s="26"/>
    </row>
    <row r="397">
      <c r="L397" s="21"/>
      <c r="O397" s="21"/>
      <c r="Q397" s="21"/>
      <c r="R397" s="26"/>
    </row>
    <row r="398">
      <c r="L398" s="21"/>
      <c r="O398" s="21"/>
      <c r="Q398" s="21"/>
      <c r="R398" s="26"/>
    </row>
    <row r="399">
      <c r="L399" s="21"/>
      <c r="O399" s="21"/>
      <c r="Q399" s="21"/>
      <c r="R399" s="26"/>
    </row>
    <row r="400">
      <c r="L400" s="21"/>
      <c r="O400" s="21"/>
      <c r="Q400" s="21"/>
      <c r="R400" s="26"/>
    </row>
    <row r="401">
      <c r="L401" s="21"/>
      <c r="O401" s="21"/>
      <c r="Q401" s="21"/>
      <c r="R401" s="26"/>
    </row>
    <row r="402">
      <c r="L402" s="21"/>
      <c r="O402" s="21"/>
      <c r="Q402" s="21"/>
      <c r="R402" s="26"/>
    </row>
    <row r="403">
      <c r="L403" s="21"/>
      <c r="O403" s="21"/>
      <c r="Q403" s="21"/>
      <c r="R403" s="26"/>
    </row>
    <row r="404">
      <c r="L404" s="21"/>
      <c r="O404" s="21"/>
      <c r="Q404" s="21"/>
      <c r="R404" s="26"/>
    </row>
    <row r="405">
      <c r="L405" s="21"/>
      <c r="O405" s="21"/>
      <c r="Q405" s="21"/>
      <c r="R405" s="26"/>
    </row>
    <row r="406">
      <c r="L406" s="21"/>
      <c r="O406" s="21"/>
      <c r="Q406" s="21"/>
      <c r="R406" s="26"/>
    </row>
    <row r="407">
      <c r="L407" s="21"/>
      <c r="O407" s="21"/>
      <c r="Q407" s="21"/>
      <c r="R407" s="26"/>
    </row>
    <row r="408">
      <c r="L408" s="21"/>
      <c r="O408" s="21"/>
      <c r="Q408" s="21"/>
      <c r="R408" s="26"/>
    </row>
    <row r="409">
      <c r="L409" s="21"/>
      <c r="O409" s="21"/>
      <c r="Q409" s="21"/>
      <c r="R409" s="26"/>
    </row>
    <row r="410">
      <c r="L410" s="21"/>
      <c r="O410" s="21"/>
      <c r="Q410" s="21"/>
      <c r="R410" s="26"/>
    </row>
    <row r="411">
      <c r="L411" s="21"/>
      <c r="O411" s="21"/>
      <c r="Q411" s="21"/>
      <c r="R411" s="26"/>
    </row>
    <row r="412">
      <c r="L412" s="21"/>
      <c r="O412" s="21"/>
      <c r="Q412" s="21"/>
      <c r="R412" s="26"/>
    </row>
    <row r="413">
      <c r="L413" s="21"/>
      <c r="O413" s="21"/>
      <c r="Q413" s="21"/>
      <c r="R413" s="26"/>
    </row>
    <row r="414">
      <c r="L414" s="21"/>
      <c r="O414" s="21"/>
      <c r="Q414" s="21"/>
      <c r="R414" s="26"/>
    </row>
    <row r="415">
      <c r="L415" s="21"/>
      <c r="O415" s="21"/>
      <c r="Q415" s="21"/>
      <c r="R415" s="26"/>
    </row>
    <row r="416">
      <c r="L416" s="21"/>
      <c r="O416" s="21"/>
      <c r="Q416" s="21"/>
      <c r="R416" s="26"/>
    </row>
    <row r="417">
      <c r="L417" s="21"/>
      <c r="O417" s="21"/>
      <c r="Q417" s="21"/>
      <c r="R417" s="26"/>
    </row>
    <row r="418">
      <c r="L418" s="21"/>
      <c r="O418" s="21"/>
      <c r="Q418" s="21"/>
      <c r="R418" s="26"/>
    </row>
    <row r="419">
      <c r="L419" s="21"/>
      <c r="O419" s="21"/>
      <c r="Q419" s="21"/>
      <c r="R419" s="26"/>
    </row>
    <row r="420">
      <c r="L420" s="21"/>
      <c r="O420" s="21"/>
      <c r="Q420" s="21"/>
      <c r="R420" s="26"/>
    </row>
    <row r="421">
      <c r="L421" s="21"/>
      <c r="O421" s="21"/>
      <c r="Q421" s="21"/>
      <c r="R421" s="26"/>
    </row>
    <row r="422">
      <c r="L422" s="21"/>
      <c r="O422" s="21"/>
      <c r="Q422" s="21"/>
      <c r="R422" s="26"/>
    </row>
    <row r="423">
      <c r="L423" s="21"/>
      <c r="O423" s="21"/>
      <c r="Q423" s="21"/>
      <c r="R423" s="26"/>
    </row>
    <row r="424">
      <c r="L424" s="21"/>
      <c r="O424" s="21"/>
      <c r="Q424" s="21"/>
      <c r="R424" s="26"/>
    </row>
    <row r="425">
      <c r="L425" s="21"/>
      <c r="O425" s="21"/>
      <c r="Q425" s="21"/>
      <c r="R425" s="26"/>
    </row>
    <row r="426">
      <c r="L426" s="21"/>
      <c r="O426" s="21"/>
      <c r="Q426" s="21"/>
      <c r="R426" s="26"/>
    </row>
    <row r="427">
      <c r="L427" s="21"/>
      <c r="O427" s="21"/>
      <c r="Q427" s="21"/>
      <c r="R427" s="26"/>
    </row>
    <row r="428">
      <c r="L428" s="21"/>
      <c r="O428" s="21"/>
      <c r="Q428" s="21"/>
      <c r="R428" s="26"/>
    </row>
    <row r="429">
      <c r="L429" s="21"/>
      <c r="O429" s="21"/>
      <c r="Q429" s="21"/>
      <c r="R429" s="26"/>
    </row>
    <row r="430">
      <c r="L430" s="21"/>
      <c r="O430" s="21"/>
      <c r="Q430" s="21"/>
      <c r="R430" s="26"/>
    </row>
    <row r="431">
      <c r="L431" s="21"/>
      <c r="O431" s="21"/>
      <c r="Q431" s="21"/>
      <c r="R431" s="26"/>
    </row>
    <row r="432">
      <c r="L432" s="21"/>
      <c r="O432" s="21"/>
      <c r="Q432" s="21"/>
      <c r="R432" s="26"/>
    </row>
    <row r="433">
      <c r="L433" s="21"/>
      <c r="O433" s="21"/>
      <c r="Q433" s="21"/>
      <c r="R433" s="26"/>
    </row>
    <row r="434">
      <c r="L434" s="21"/>
      <c r="O434" s="21"/>
      <c r="Q434" s="21"/>
      <c r="R434" s="26"/>
    </row>
    <row r="435">
      <c r="L435" s="21"/>
      <c r="O435" s="21"/>
      <c r="Q435" s="21"/>
      <c r="R435" s="26"/>
    </row>
    <row r="436">
      <c r="L436" s="21"/>
      <c r="O436" s="21"/>
      <c r="Q436" s="21"/>
      <c r="R436" s="26"/>
    </row>
    <row r="437">
      <c r="L437" s="21"/>
      <c r="O437" s="21"/>
      <c r="Q437" s="21"/>
      <c r="R437" s="26"/>
    </row>
    <row r="438">
      <c r="L438" s="21"/>
      <c r="O438" s="21"/>
      <c r="Q438" s="21"/>
      <c r="R438" s="26"/>
    </row>
    <row r="439">
      <c r="L439" s="21"/>
      <c r="O439" s="21"/>
      <c r="Q439" s="21"/>
      <c r="R439" s="26"/>
    </row>
    <row r="440">
      <c r="L440" s="21"/>
      <c r="O440" s="21"/>
      <c r="Q440" s="21"/>
      <c r="R440" s="26"/>
    </row>
    <row r="441">
      <c r="L441" s="21"/>
      <c r="O441" s="21"/>
      <c r="Q441" s="21"/>
      <c r="R441" s="26"/>
    </row>
    <row r="442">
      <c r="L442" s="21"/>
      <c r="O442" s="21"/>
      <c r="Q442" s="21"/>
      <c r="R442" s="26"/>
    </row>
    <row r="443">
      <c r="L443" s="21"/>
      <c r="O443" s="21"/>
      <c r="Q443" s="21"/>
      <c r="R443" s="26"/>
    </row>
    <row r="444">
      <c r="L444" s="21"/>
      <c r="O444" s="21"/>
      <c r="Q444" s="21"/>
      <c r="R444" s="26"/>
    </row>
    <row r="445">
      <c r="L445" s="21"/>
      <c r="O445" s="21"/>
      <c r="Q445" s="21"/>
      <c r="R445" s="26"/>
    </row>
    <row r="446">
      <c r="L446" s="21"/>
      <c r="O446" s="21"/>
      <c r="Q446" s="21"/>
      <c r="R446" s="26"/>
    </row>
    <row r="447">
      <c r="L447" s="21"/>
      <c r="O447" s="21"/>
      <c r="Q447" s="21"/>
      <c r="R447" s="26"/>
    </row>
    <row r="448">
      <c r="L448" s="21"/>
      <c r="O448" s="21"/>
      <c r="Q448" s="21"/>
      <c r="R448" s="26"/>
    </row>
    <row r="449">
      <c r="L449" s="21"/>
      <c r="O449" s="21"/>
      <c r="Q449" s="21"/>
      <c r="R449" s="26"/>
    </row>
    <row r="450">
      <c r="L450" s="21"/>
      <c r="O450" s="21"/>
      <c r="Q450" s="21"/>
      <c r="R450" s="26"/>
    </row>
    <row r="451">
      <c r="L451" s="21"/>
      <c r="O451" s="21"/>
      <c r="Q451" s="21"/>
      <c r="R451" s="26"/>
    </row>
    <row r="452">
      <c r="L452" s="21"/>
      <c r="O452" s="21"/>
      <c r="Q452" s="21"/>
      <c r="R452" s="26"/>
    </row>
    <row r="453">
      <c r="L453" s="21"/>
      <c r="O453" s="21"/>
      <c r="Q453" s="21"/>
      <c r="R453" s="26"/>
    </row>
    <row r="454">
      <c r="L454" s="21"/>
      <c r="O454" s="21"/>
      <c r="Q454" s="21"/>
      <c r="R454" s="26"/>
    </row>
    <row r="455">
      <c r="L455" s="21"/>
      <c r="O455" s="21"/>
      <c r="Q455" s="21"/>
      <c r="R455" s="26"/>
    </row>
    <row r="456">
      <c r="L456" s="21"/>
      <c r="O456" s="21"/>
      <c r="Q456" s="21"/>
      <c r="R456" s="26"/>
    </row>
    <row r="457">
      <c r="L457" s="21"/>
      <c r="O457" s="21"/>
      <c r="Q457" s="21"/>
      <c r="R457" s="26"/>
    </row>
    <row r="458">
      <c r="L458" s="21"/>
      <c r="O458" s="21"/>
      <c r="Q458" s="21"/>
      <c r="R458" s="26"/>
    </row>
    <row r="459">
      <c r="L459" s="21"/>
      <c r="O459" s="21"/>
      <c r="Q459" s="21"/>
      <c r="R459" s="26"/>
    </row>
    <row r="460">
      <c r="L460" s="21"/>
      <c r="O460" s="21"/>
      <c r="Q460" s="21"/>
      <c r="R460" s="26"/>
    </row>
    <row r="461">
      <c r="L461" s="21"/>
      <c r="O461" s="21"/>
      <c r="Q461" s="21"/>
      <c r="R461" s="26"/>
    </row>
    <row r="462">
      <c r="L462" s="21"/>
      <c r="O462" s="21"/>
      <c r="Q462" s="21"/>
      <c r="R462" s="26"/>
    </row>
    <row r="463">
      <c r="L463" s="21"/>
      <c r="O463" s="21"/>
      <c r="Q463" s="21"/>
      <c r="R463" s="26"/>
    </row>
    <row r="464">
      <c r="L464" s="21"/>
      <c r="O464" s="21"/>
      <c r="Q464" s="21"/>
      <c r="R464" s="26"/>
    </row>
    <row r="465">
      <c r="L465" s="21"/>
      <c r="O465" s="21"/>
      <c r="Q465" s="21"/>
      <c r="R465" s="26"/>
    </row>
    <row r="466">
      <c r="L466" s="21"/>
      <c r="O466" s="21"/>
      <c r="Q466" s="21"/>
      <c r="R466" s="26"/>
    </row>
    <row r="467">
      <c r="L467" s="21"/>
      <c r="O467" s="21"/>
      <c r="Q467" s="21"/>
      <c r="R467" s="26"/>
    </row>
    <row r="468">
      <c r="L468" s="21"/>
      <c r="O468" s="21"/>
      <c r="Q468" s="21"/>
      <c r="R468" s="26"/>
    </row>
    <row r="469">
      <c r="L469" s="21"/>
      <c r="O469" s="21"/>
      <c r="Q469" s="21"/>
      <c r="R469" s="26"/>
    </row>
    <row r="470">
      <c r="L470" s="21"/>
      <c r="O470" s="21"/>
      <c r="Q470" s="21"/>
      <c r="R470" s="26"/>
    </row>
    <row r="471">
      <c r="L471" s="21"/>
      <c r="O471" s="21"/>
      <c r="Q471" s="21"/>
      <c r="R471" s="26"/>
    </row>
    <row r="472">
      <c r="L472" s="21"/>
      <c r="O472" s="21"/>
      <c r="Q472" s="21"/>
      <c r="R472" s="26"/>
    </row>
    <row r="473">
      <c r="L473" s="21"/>
      <c r="O473" s="21"/>
      <c r="Q473" s="21"/>
      <c r="R473" s="26"/>
    </row>
    <row r="474">
      <c r="L474" s="21"/>
      <c r="O474" s="21"/>
      <c r="Q474" s="21"/>
      <c r="R474" s="26"/>
    </row>
    <row r="475">
      <c r="L475" s="21"/>
      <c r="O475" s="21"/>
      <c r="Q475" s="21"/>
      <c r="R475" s="26"/>
    </row>
    <row r="476">
      <c r="L476" s="21"/>
      <c r="O476" s="21"/>
      <c r="Q476" s="21"/>
      <c r="R476" s="26"/>
    </row>
    <row r="477">
      <c r="L477" s="21"/>
      <c r="O477" s="21"/>
      <c r="Q477" s="21"/>
      <c r="R477" s="26"/>
    </row>
    <row r="478">
      <c r="L478" s="21"/>
      <c r="O478" s="21"/>
      <c r="Q478" s="21"/>
      <c r="R478" s="26"/>
    </row>
    <row r="479">
      <c r="L479" s="21"/>
      <c r="O479" s="21"/>
      <c r="Q479" s="21"/>
      <c r="R479" s="26"/>
    </row>
    <row r="480">
      <c r="L480" s="21"/>
      <c r="O480" s="21"/>
      <c r="Q480" s="21"/>
      <c r="R480" s="26"/>
    </row>
    <row r="481">
      <c r="L481" s="21"/>
      <c r="O481" s="21"/>
      <c r="Q481" s="21"/>
      <c r="R481" s="26"/>
    </row>
    <row r="482">
      <c r="L482" s="21"/>
      <c r="O482" s="21"/>
      <c r="Q482" s="21"/>
      <c r="R482" s="26"/>
    </row>
    <row r="483">
      <c r="L483" s="21"/>
      <c r="O483" s="21"/>
      <c r="Q483" s="21"/>
      <c r="R483" s="26"/>
    </row>
    <row r="484">
      <c r="L484" s="21"/>
      <c r="O484" s="21"/>
      <c r="Q484" s="21"/>
      <c r="R484" s="26"/>
    </row>
    <row r="485">
      <c r="L485" s="21"/>
      <c r="O485" s="21"/>
      <c r="Q485" s="21"/>
      <c r="R485" s="26"/>
    </row>
    <row r="486">
      <c r="L486" s="21"/>
      <c r="O486" s="21"/>
      <c r="Q486" s="21"/>
      <c r="R486" s="26"/>
    </row>
    <row r="487">
      <c r="L487" s="21"/>
      <c r="O487" s="21"/>
      <c r="Q487" s="21"/>
      <c r="R487" s="26"/>
    </row>
    <row r="488">
      <c r="L488" s="21"/>
      <c r="O488" s="21"/>
      <c r="Q488" s="21"/>
      <c r="R488" s="26"/>
    </row>
    <row r="489">
      <c r="L489" s="21"/>
      <c r="O489" s="21"/>
      <c r="Q489" s="21"/>
      <c r="R489" s="26"/>
    </row>
    <row r="490">
      <c r="L490" s="21"/>
      <c r="O490" s="21"/>
      <c r="Q490" s="21"/>
      <c r="R490" s="26"/>
    </row>
    <row r="491">
      <c r="L491" s="21"/>
      <c r="O491" s="21"/>
      <c r="Q491" s="21"/>
      <c r="R491" s="26"/>
    </row>
    <row r="492">
      <c r="L492" s="21"/>
      <c r="O492" s="21"/>
      <c r="Q492" s="21"/>
      <c r="R492" s="26"/>
    </row>
    <row r="493">
      <c r="L493" s="21"/>
      <c r="O493" s="21"/>
      <c r="Q493" s="21"/>
      <c r="R493" s="26"/>
    </row>
    <row r="494">
      <c r="L494" s="21"/>
      <c r="O494" s="21"/>
      <c r="Q494" s="21"/>
      <c r="R494" s="26"/>
    </row>
    <row r="495">
      <c r="L495" s="21"/>
      <c r="O495" s="21"/>
      <c r="Q495" s="21"/>
      <c r="R495" s="26"/>
    </row>
    <row r="496">
      <c r="L496" s="21"/>
      <c r="O496" s="21"/>
      <c r="Q496" s="21"/>
      <c r="R496" s="26"/>
    </row>
    <row r="497">
      <c r="L497" s="21"/>
      <c r="O497" s="21"/>
      <c r="Q497" s="21"/>
      <c r="R497" s="26"/>
    </row>
    <row r="498">
      <c r="L498" s="21"/>
      <c r="O498" s="21"/>
      <c r="Q498" s="21"/>
      <c r="R498" s="26"/>
    </row>
    <row r="499">
      <c r="L499" s="21"/>
      <c r="O499" s="21"/>
      <c r="Q499" s="21"/>
      <c r="R499" s="26"/>
    </row>
    <row r="500">
      <c r="L500" s="21"/>
      <c r="O500" s="21"/>
      <c r="Q500" s="21"/>
      <c r="R500" s="26"/>
    </row>
    <row r="501">
      <c r="L501" s="21"/>
      <c r="O501" s="21"/>
      <c r="Q501" s="21"/>
      <c r="R501" s="26"/>
    </row>
    <row r="502">
      <c r="L502" s="21"/>
      <c r="O502" s="21"/>
      <c r="Q502" s="21"/>
      <c r="R502" s="26"/>
    </row>
    <row r="503">
      <c r="L503" s="21"/>
      <c r="O503" s="21"/>
      <c r="Q503" s="21"/>
      <c r="R503" s="26"/>
    </row>
    <row r="504">
      <c r="L504" s="21"/>
      <c r="O504" s="21"/>
      <c r="Q504" s="21"/>
      <c r="R504" s="26"/>
    </row>
    <row r="505">
      <c r="L505" s="21"/>
      <c r="O505" s="21"/>
      <c r="Q505" s="21"/>
      <c r="R505" s="26"/>
    </row>
    <row r="506">
      <c r="L506" s="21"/>
      <c r="O506" s="21"/>
      <c r="Q506" s="21"/>
      <c r="R506" s="26"/>
    </row>
    <row r="507">
      <c r="L507" s="21"/>
      <c r="O507" s="21"/>
      <c r="Q507" s="21"/>
      <c r="R507" s="26"/>
    </row>
    <row r="508">
      <c r="L508" s="21"/>
      <c r="O508" s="21"/>
      <c r="Q508" s="21"/>
      <c r="R508" s="26"/>
    </row>
    <row r="509">
      <c r="L509" s="21"/>
      <c r="O509" s="21"/>
      <c r="Q509" s="21"/>
      <c r="R509" s="26"/>
    </row>
    <row r="510">
      <c r="L510" s="21"/>
      <c r="O510" s="21"/>
      <c r="Q510" s="21"/>
      <c r="R510" s="26"/>
    </row>
    <row r="511">
      <c r="L511" s="21"/>
      <c r="O511" s="21"/>
      <c r="Q511" s="21"/>
      <c r="R511" s="26"/>
    </row>
    <row r="512">
      <c r="L512" s="21"/>
      <c r="O512" s="21"/>
      <c r="Q512" s="21"/>
      <c r="R512" s="26"/>
    </row>
    <row r="513">
      <c r="L513" s="21"/>
      <c r="O513" s="21"/>
      <c r="Q513" s="21"/>
      <c r="R513" s="26"/>
    </row>
    <row r="514">
      <c r="L514" s="21"/>
      <c r="O514" s="21"/>
      <c r="Q514" s="21"/>
      <c r="R514" s="26"/>
    </row>
    <row r="515">
      <c r="L515" s="21"/>
      <c r="O515" s="21"/>
      <c r="Q515" s="21"/>
      <c r="R515" s="26"/>
    </row>
    <row r="516">
      <c r="L516" s="21"/>
      <c r="O516" s="21"/>
      <c r="Q516" s="21"/>
      <c r="R516" s="26"/>
    </row>
    <row r="517">
      <c r="L517" s="21"/>
      <c r="O517" s="21"/>
      <c r="Q517" s="21"/>
      <c r="R517" s="26"/>
    </row>
    <row r="518">
      <c r="L518" s="21"/>
      <c r="O518" s="21"/>
      <c r="Q518" s="21"/>
      <c r="R518" s="26"/>
    </row>
    <row r="519">
      <c r="L519" s="21"/>
      <c r="O519" s="21"/>
      <c r="Q519" s="21"/>
      <c r="R519" s="26"/>
    </row>
    <row r="520">
      <c r="L520" s="21"/>
      <c r="O520" s="21"/>
      <c r="Q520" s="21"/>
      <c r="R520" s="26"/>
    </row>
    <row r="521">
      <c r="L521" s="21"/>
      <c r="O521" s="21"/>
      <c r="Q521" s="21"/>
      <c r="R521" s="26"/>
    </row>
    <row r="522">
      <c r="L522" s="21"/>
      <c r="O522" s="21"/>
      <c r="Q522" s="21"/>
      <c r="R522" s="26"/>
    </row>
    <row r="523">
      <c r="L523" s="21"/>
      <c r="O523" s="21"/>
      <c r="Q523" s="21"/>
      <c r="R523" s="26"/>
    </row>
    <row r="524">
      <c r="L524" s="21"/>
      <c r="O524" s="21"/>
      <c r="Q524" s="21"/>
      <c r="R524" s="26"/>
    </row>
    <row r="525">
      <c r="L525" s="21"/>
      <c r="O525" s="21"/>
      <c r="Q525" s="21"/>
      <c r="R525" s="26"/>
    </row>
    <row r="526">
      <c r="L526" s="21"/>
      <c r="O526" s="21"/>
      <c r="Q526" s="21"/>
      <c r="R526" s="26"/>
    </row>
    <row r="527">
      <c r="L527" s="21"/>
      <c r="O527" s="21"/>
      <c r="Q527" s="21"/>
      <c r="R527" s="26"/>
    </row>
    <row r="528">
      <c r="L528" s="21"/>
      <c r="O528" s="21"/>
      <c r="Q528" s="21"/>
      <c r="R528" s="26"/>
    </row>
    <row r="529">
      <c r="L529" s="21"/>
      <c r="O529" s="21"/>
      <c r="Q529" s="21"/>
      <c r="R529" s="26"/>
    </row>
    <row r="530">
      <c r="L530" s="21"/>
      <c r="O530" s="21"/>
      <c r="Q530" s="21"/>
      <c r="R530" s="26"/>
    </row>
    <row r="531">
      <c r="L531" s="21"/>
      <c r="O531" s="21"/>
      <c r="Q531" s="21"/>
      <c r="R531" s="26"/>
    </row>
    <row r="532">
      <c r="L532" s="21"/>
      <c r="O532" s="21"/>
      <c r="Q532" s="21"/>
      <c r="R532" s="26"/>
    </row>
    <row r="533">
      <c r="L533" s="21"/>
      <c r="O533" s="21"/>
      <c r="Q533" s="21"/>
      <c r="R533" s="26"/>
    </row>
    <row r="534">
      <c r="L534" s="21"/>
      <c r="O534" s="21"/>
      <c r="Q534" s="21"/>
      <c r="R534" s="26"/>
    </row>
    <row r="535">
      <c r="L535" s="21"/>
      <c r="O535" s="21"/>
      <c r="Q535" s="21"/>
      <c r="R535" s="26"/>
    </row>
    <row r="536">
      <c r="L536" s="21"/>
      <c r="O536" s="21"/>
      <c r="Q536" s="21"/>
      <c r="R536" s="26"/>
    </row>
    <row r="537">
      <c r="L537" s="21"/>
      <c r="O537" s="21"/>
      <c r="Q537" s="21"/>
      <c r="R537" s="26"/>
    </row>
    <row r="538">
      <c r="L538" s="21"/>
      <c r="O538" s="21"/>
      <c r="Q538" s="21"/>
      <c r="R538" s="26"/>
    </row>
    <row r="539">
      <c r="L539" s="21"/>
      <c r="O539" s="21"/>
      <c r="Q539" s="21"/>
      <c r="R539" s="26"/>
    </row>
    <row r="540">
      <c r="L540" s="21"/>
      <c r="O540" s="21"/>
      <c r="Q540" s="21"/>
      <c r="R540" s="26"/>
    </row>
    <row r="541">
      <c r="L541" s="21"/>
      <c r="O541" s="21"/>
      <c r="Q541" s="21"/>
      <c r="R541" s="26"/>
    </row>
    <row r="542">
      <c r="L542" s="21"/>
      <c r="O542" s="21"/>
      <c r="Q542" s="21"/>
      <c r="R542" s="26"/>
    </row>
    <row r="543">
      <c r="L543" s="21"/>
      <c r="O543" s="21"/>
      <c r="Q543" s="21"/>
      <c r="R543" s="26"/>
    </row>
    <row r="544">
      <c r="L544" s="21"/>
      <c r="O544" s="21"/>
      <c r="Q544" s="21"/>
      <c r="R544" s="26"/>
    </row>
    <row r="545">
      <c r="L545" s="21"/>
      <c r="O545" s="21"/>
      <c r="Q545" s="21"/>
      <c r="R545" s="26"/>
    </row>
    <row r="546">
      <c r="L546" s="21"/>
      <c r="O546" s="21"/>
      <c r="Q546" s="21"/>
      <c r="R546" s="26"/>
    </row>
    <row r="547">
      <c r="L547" s="21"/>
      <c r="O547" s="21"/>
      <c r="Q547" s="21"/>
      <c r="R547" s="26"/>
    </row>
    <row r="548">
      <c r="L548" s="21"/>
      <c r="O548" s="21"/>
      <c r="Q548" s="21"/>
      <c r="R548" s="26"/>
    </row>
    <row r="549">
      <c r="L549" s="21"/>
      <c r="O549" s="21"/>
      <c r="Q549" s="21"/>
      <c r="R549" s="26"/>
    </row>
    <row r="550">
      <c r="L550" s="21"/>
      <c r="O550" s="21"/>
      <c r="Q550" s="21"/>
      <c r="R550" s="26"/>
    </row>
    <row r="551">
      <c r="L551" s="21"/>
      <c r="O551" s="21"/>
      <c r="Q551" s="21"/>
      <c r="R551" s="26"/>
    </row>
    <row r="552">
      <c r="L552" s="21"/>
      <c r="O552" s="21"/>
      <c r="Q552" s="21"/>
      <c r="R552" s="26"/>
    </row>
    <row r="553">
      <c r="L553" s="21"/>
      <c r="O553" s="21"/>
      <c r="Q553" s="21"/>
      <c r="R553" s="26"/>
    </row>
    <row r="554">
      <c r="L554" s="21"/>
      <c r="O554" s="21"/>
      <c r="Q554" s="21"/>
      <c r="R554" s="26"/>
    </row>
    <row r="555">
      <c r="L555" s="21"/>
      <c r="O555" s="21"/>
      <c r="Q555" s="21"/>
      <c r="R555" s="26"/>
    </row>
    <row r="556">
      <c r="L556" s="21"/>
      <c r="O556" s="21"/>
      <c r="Q556" s="21"/>
      <c r="R556" s="26"/>
    </row>
    <row r="557">
      <c r="L557" s="21"/>
      <c r="O557" s="21"/>
      <c r="Q557" s="21"/>
      <c r="R557" s="26"/>
    </row>
    <row r="558">
      <c r="L558" s="21"/>
      <c r="O558" s="21"/>
      <c r="Q558" s="21"/>
      <c r="R558" s="26"/>
    </row>
    <row r="559">
      <c r="L559" s="21"/>
      <c r="O559" s="21"/>
      <c r="Q559" s="21"/>
      <c r="R559" s="26"/>
    </row>
    <row r="560">
      <c r="L560" s="21"/>
      <c r="O560" s="21"/>
      <c r="Q560" s="21"/>
      <c r="R560" s="26"/>
    </row>
    <row r="561">
      <c r="L561" s="21"/>
      <c r="O561" s="21"/>
      <c r="Q561" s="21"/>
      <c r="R561" s="26"/>
    </row>
    <row r="562">
      <c r="L562" s="21"/>
      <c r="O562" s="21"/>
      <c r="Q562" s="21"/>
      <c r="R562" s="26"/>
    </row>
    <row r="563">
      <c r="L563" s="21"/>
      <c r="O563" s="21"/>
      <c r="Q563" s="21"/>
      <c r="R563" s="26"/>
    </row>
    <row r="564">
      <c r="L564" s="21"/>
      <c r="O564" s="21"/>
      <c r="Q564" s="21"/>
      <c r="R564" s="26"/>
    </row>
    <row r="565">
      <c r="L565" s="21"/>
      <c r="O565" s="21"/>
      <c r="Q565" s="21"/>
      <c r="R565" s="26"/>
    </row>
    <row r="566">
      <c r="L566" s="21"/>
      <c r="O566" s="21"/>
      <c r="Q566" s="21"/>
      <c r="R566" s="26"/>
    </row>
    <row r="567">
      <c r="L567" s="21"/>
      <c r="O567" s="21"/>
      <c r="Q567" s="21"/>
      <c r="R567" s="26"/>
    </row>
    <row r="568">
      <c r="L568" s="21"/>
      <c r="O568" s="21"/>
      <c r="Q568" s="21"/>
      <c r="R568" s="26"/>
    </row>
    <row r="569">
      <c r="L569" s="21"/>
      <c r="O569" s="21"/>
      <c r="Q569" s="21"/>
      <c r="R569" s="26"/>
    </row>
    <row r="570">
      <c r="L570" s="21"/>
      <c r="O570" s="21"/>
      <c r="Q570" s="21"/>
      <c r="R570" s="26"/>
    </row>
    <row r="571">
      <c r="L571" s="21"/>
      <c r="O571" s="21"/>
      <c r="Q571" s="21"/>
      <c r="R571" s="26"/>
    </row>
    <row r="572">
      <c r="L572" s="21"/>
      <c r="O572" s="21"/>
      <c r="Q572" s="21"/>
      <c r="R572" s="26"/>
    </row>
    <row r="573">
      <c r="L573" s="21"/>
      <c r="O573" s="21"/>
      <c r="Q573" s="21"/>
      <c r="R573" s="26"/>
    </row>
    <row r="574">
      <c r="L574" s="21"/>
      <c r="O574" s="21"/>
      <c r="Q574" s="21"/>
      <c r="R574" s="26"/>
    </row>
    <row r="575">
      <c r="L575" s="21"/>
      <c r="O575" s="21"/>
      <c r="Q575" s="21"/>
      <c r="R575" s="26"/>
    </row>
    <row r="576">
      <c r="L576" s="21"/>
      <c r="O576" s="21"/>
      <c r="Q576" s="21"/>
      <c r="R576" s="26"/>
    </row>
    <row r="577">
      <c r="L577" s="21"/>
      <c r="O577" s="21"/>
      <c r="Q577" s="21"/>
      <c r="R577" s="26"/>
    </row>
    <row r="578">
      <c r="L578" s="21"/>
      <c r="O578" s="21"/>
      <c r="Q578" s="21"/>
      <c r="R578" s="26"/>
    </row>
    <row r="579">
      <c r="L579" s="21"/>
      <c r="O579" s="21"/>
      <c r="Q579" s="21"/>
      <c r="R579" s="26"/>
    </row>
    <row r="580">
      <c r="L580" s="21"/>
      <c r="O580" s="21"/>
      <c r="Q580" s="21"/>
      <c r="R580" s="26"/>
    </row>
    <row r="581">
      <c r="L581" s="21"/>
      <c r="O581" s="21"/>
      <c r="Q581" s="21"/>
      <c r="R581" s="26"/>
    </row>
    <row r="582">
      <c r="L582" s="21"/>
      <c r="O582" s="21"/>
      <c r="Q582" s="21"/>
      <c r="R582" s="26"/>
    </row>
    <row r="583">
      <c r="L583" s="21"/>
      <c r="O583" s="21"/>
      <c r="Q583" s="21"/>
      <c r="R583" s="26"/>
    </row>
    <row r="584">
      <c r="L584" s="21"/>
      <c r="O584" s="21"/>
      <c r="Q584" s="21"/>
      <c r="R584" s="26"/>
    </row>
    <row r="585">
      <c r="L585" s="21"/>
      <c r="O585" s="21"/>
      <c r="Q585" s="21"/>
      <c r="R585" s="26"/>
    </row>
    <row r="586">
      <c r="L586" s="21"/>
      <c r="O586" s="21"/>
      <c r="Q586" s="21"/>
      <c r="R586" s="26"/>
    </row>
    <row r="587">
      <c r="L587" s="21"/>
      <c r="O587" s="21"/>
      <c r="Q587" s="21"/>
      <c r="R587" s="26"/>
    </row>
    <row r="588">
      <c r="L588" s="21"/>
      <c r="O588" s="21"/>
      <c r="Q588" s="21"/>
      <c r="R588" s="26"/>
    </row>
    <row r="589">
      <c r="L589" s="21"/>
      <c r="O589" s="21"/>
      <c r="Q589" s="21"/>
      <c r="R589" s="26"/>
    </row>
    <row r="590">
      <c r="L590" s="21"/>
      <c r="O590" s="21"/>
      <c r="Q590" s="21"/>
      <c r="R590" s="26"/>
    </row>
    <row r="591">
      <c r="L591" s="21"/>
      <c r="O591" s="21"/>
      <c r="Q591" s="21"/>
      <c r="R591" s="26"/>
    </row>
    <row r="592">
      <c r="L592" s="21"/>
      <c r="O592" s="21"/>
      <c r="Q592" s="21"/>
      <c r="R592" s="26"/>
    </row>
    <row r="593">
      <c r="L593" s="21"/>
      <c r="O593" s="21"/>
      <c r="Q593" s="21"/>
      <c r="R593" s="26"/>
    </row>
    <row r="594">
      <c r="L594" s="21"/>
      <c r="O594" s="21"/>
      <c r="Q594" s="21"/>
      <c r="R594" s="26"/>
    </row>
    <row r="595">
      <c r="L595" s="21"/>
      <c r="O595" s="21"/>
      <c r="Q595" s="21"/>
      <c r="R595" s="26"/>
    </row>
    <row r="596">
      <c r="L596" s="21"/>
      <c r="O596" s="21"/>
      <c r="Q596" s="21"/>
      <c r="R596" s="26"/>
    </row>
    <row r="597">
      <c r="L597" s="21"/>
      <c r="O597" s="21"/>
      <c r="Q597" s="21"/>
      <c r="R597" s="26"/>
    </row>
    <row r="598">
      <c r="L598" s="21"/>
      <c r="O598" s="21"/>
      <c r="Q598" s="21"/>
      <c r="R598" s="26"/>
    </row>
    <row r="599">
      <c r="L599" s="21"/>
      <c r="O599" s="21"/>
      <c r="Q599" s="21"/>
      <c r="R599" s="26"/>
    </row>
    <row r="600">
      <c r="L600" s="21"/>
      <c r="O600" s="21"/>
      <c r="Q600" s="21"/>
      <c r="R600" s="26"/>
    </row>
    <row r="601">
      <c r="L601" s="21"/>
      <c r="O601" s="21"/>
      <c r="Q601" s="21"/>
      <c r="R601" s="26"/>
    </row>
    <row r="602">
      <c r="L602" s="21"/>
      <c r="O602" s="21"/>
      <c r="Q602" s="21"/>
      <c r="R602" s="26"/>
    </row>
    <row r="603">
      <c r="L603" s="21"/>
      <c r="O603" s="21"/>
      <c r="Q603" s="21"/>
      <c r="R603" s="26"/>
    </row>
    <row r="604">
      <c r="L604" s="21"/>
      <c r="O604" s="21"/>
      <c r="Q604" s="21"/>
      <c r="R604" s="26"/>
    </row>
    <row r="605">
      <c r="L605" s="21"/>
      <c r="O605" s="21"/>
      <c r="Q605" s="21"/>
      <c r="R605" s="26"/>
    </row>
    <row r="606">
      <c r="L606" s="21"/>
      <c r="O606" s="21"/>
      <c r="Q606" s="21"/>
      <c r="R606" s="26"/>
    </row>
    <row r="607">
      <c r="L607" s="21"/>
      <c r="O607" s="21"/>
      <c r="Q607" s="21"/>
      <c r="R607" s="26"/>
    </row>
    <row r="608">
      <c r="L608" s="21"/>
      <c r="O608" s="21"/>
      <c r="Q608" s="21"/>
      <c r="R608" s="26"/>
    </row>
    <row r="609">
      <c r="L609" s="21"/>
      <c r="O609" s="21"/>
      <c r="Q609" s="21"/>
      <c r="R609" s="26"/>
    </row>
    <row r="610">
      <c r="L610" s="21"/>
      <c r="O610" s="21"/>
      <c r="Q610" s="21"/>
      <c r="R610" s="26"/>
    </row>
    <row r="611">
      <c r="L611" s="21"/>
      <c r="O611" s="21"/>
      <c r="Q611" s="21"/>
      <c r="R611" s="26"/>
    </row>
    <row r="612">
      <c r="L612" s="21"/>
      <c r="O612" s="21"/>
      <c r="Q612" s="21"/>
      <c r="R612" s="26"/>
    </row>
    <row r="613">
      <c r="L613" s="21"/>
      <c r="O613" s="21"/>
      <c r="Q613" s="21"/>
      <c r="R613" s="26"/>
    </row>
    <row r="614">
      <c r="L614" s="21"/>
      <c r="O614" s="21"/>
      <c r="Q614" s="21"/>
      <c r="R614" s="26"/>
    </row>
    <row r="615">
      <c r="L615" s="21"/>
      <c r="O615" s="21"/>
      <c r="Q615" s="21"/>
      <c r="R615" s="26"/>
    </row>
    <row r="616">
      <c r="L616" s="21"/>
      <c r="O616" s="21"/>
      <c r="Q616" s="21"/>
      <c r="R616" s="26"/>
    </row>
    <row r="617">
      <c r="L617" s="21"/>
      <c r="O617" s="21"/>
      <c r="Q617" s="21"/>
      <c r="R617" s="26"/>
    </row>
    <row r="618">
      <c r="L618" s="21"/>
      <c r="O618" s="21"/>
      <c r="Q618" s="21"/>
      <c r="R618" s="26"/>
    </row>
    <row r="619">
      <c r="L619" s="21"/>
      <c r="O619" s="21"/>
      <c r="Q619" s="21"/>
      <c r="R619" s="26"/>
    </row>
    <row r="620">
      <c r="L620" s="21"/>
      <c r="O620" s="21"/>
      <c r="Q620" s="21"/>
      <c r="R620" s="26"/>
    </row>
    <row r="621">
      <c r="L621" s="21"/>
      <c r="O621" s="21"/>
      <c r="Q621" s="21"/>
      <c r="R621" s="26"/>
    </row>
    <row r="622">
      <c r="L622" s="21"/>
      <c r="O622" s="21"/>
      <c r="Q622" s="21"/>
      <c r="R622" s="26"/>
    </row>
    <row r="623">
      <c r="L623" s="21"/>
      <c r="O623" s="21"/>
      <c r="Q623" s="21"/>
      <c r="R623" s="26"/>
    </row>
    <row r="624">
      <c r="L624" s="21"/>
      <c r="O624" s="21"/>
      <c r="Q624" s="21"/>
      <c r="R624" s="26"/>
    </row>
    <row r="625">
      <c r="L625" s="21"/>
      <c r="O625" s="21"/>
      <c r="Q625" s="21"/>
      <c r="R625" s="26"/>
    </row>
    <row r="626">
      <c r="L626" s="21"/>
      <c r="O626" s="21"/>
      <c r="Q626" s="21"/>
      <c r="R626" s="26"/>
    </row>
    <row r="627">
      <c r="L627" s="21"/>
      <c r="O627" s="21"/>
      <c r="Q627" s="21"/>
      <c r="R627" s="26"/>
    </row>
    <row r="628">
      <c r="L628" s="21"/>
      <c r="O628" s="21"/>
      <c r="Q628" s="21"/>
      <c r="R628" s="26"/>
    </row>
    <row r="629">
      <c r="L629" s="21"/>
      <c r="O629" s="21"/>
      <c r="Q629" s="21"/>
      <c r="R629" s="26"/>
    </row>
    <row r="630">
      <c r="L630" s="21"/>
      <c r="O630" s="21"/>
      <c r="Q630" s="21"/>
      <c r="R630" s="26"/>
    </row>
    <row r="631">
      <c r="L631" s="21"/>
      <c r="O631" s="21"/>
      <c r="Q631" s="21"/>
      <c r="R631" s="26"/>
    </row>
    <row r="632">
      <c r="L632" s="21"/>
      <c r="O632" s="21"/>
      <c r="Q632" s="21"/>
      <c r="R632" s="26"/>
    </row>
    <row r="633">
      <c r="L633" s="21"/>
      <c r="O633" s="21"/>
      <c r="Q633" s="21"/>
      <c r="R633" s="26"/>
    </row>
    <row r="634">
      <c r="L634" s="21"/>
      <c r="O634" s="21"/>
      <c r="Q634" s="21"/>
      <c r="R634" s="26"/>
    </row>
    <row r="635">
      <c r="L635" s="21"/>
      <c r="O635" s="21"/>
      <c r="Q635" s="21"/>
      <c r="R635" s="26"/>
    </row>
    <row r="636">
      <c r="L636" s="21"/>
      <c r="O636" s="21"/>
      <c r="Q636" s="21"/>
      <c r="R636" s="26"/>
    </row>
    <row r="637">
      <c r="L637" s="21"/>
      <c r="O637" s="21"/>
      <c r="Q637" s="21"/>
      <c r="R637" s="26"/>
    </row>
    <row r="638">
      <c r="L638" s="21"/>
      <c r="O638" s="21"/>
      <c r="Q638" s="21"/>
      <c r="R638" s="26"/>
    </row>
    <row r="639">
      <c r="L639" s="21"/>
      <c r="O639" s="21"/>
      <c r="Q639" s="21"/>
      <c r="R639" s="26"/>
    </row>
    <row r="640">
      <c r="L640" s="21"/>
      <c r="O640" s="21"/>
      <c r="Q640" s="21"/>
      <c r="R640" s="26"/>
    </row>
    <row r="641">
      <c r="L641" s="21"/>
      <c r="O641" s="21"/>
      <c r="Q641" s="21"/>
      <c r="R641" s="26"/>
    </row>
    <row r="642">
      <c r="L642" s="21"/>
      <c r="O642" s="21"/>
      <c r="Q642" s="21"/>
      <c r="R642" s="26"/>
    </row>
    <row r="643">
      <c r="L643" s="21"/>
      <c r="O643" s="21"/>
      <c r="Q643" s="21"/>
      <c r="R643" s="26"/>
    </row>
    <row r="644">
      <c r="L644" s="21"/>
      <c r="O644" s="21"/>
      <c r="Q644" s="21"/>
      <c r="R644" s="26"/>
    </row>
    <row r="645">
      <c r="L645" s="21"/>
      <c r="O645" s="21"/>
      <c r="Q645" s="21"/>
      <c r="R645" s="26"/>
    </row>
    <row r="646">
      <c r="L646" s="21"/>
      <c r="O646" s="21"/>
      <c r="Q646" s="21"/>
      <c r="R646" s="26"/>
    </row>
    <row r="647">
      <c r="L647" s="21"/>
      <c r="O647" s="21"/>
      <c r="Q647" s="21"/>
      <c r="R647" s="26"/>
    </row>
    <row r="648">
      <c r="L648" s="21"/>
      <c r="O648" s="21"/>
      <c r="Q648" s="21"/>
      <c r="R648" s="26"/>
    </row>
    <row r="649">
      <c r="L649" s="21"/>
      <c r="O649" s="21"/>
      <c r="Q649" s="21"/>
      <c r="R649" s="26"/>
    </row>
    <row r="650">
      <c r="L650" s="21"/>
      <c r="O650" s="21"/>
      <c r="Q650" s="21"/>
      <c r="R650" s="26"/>
    </row>
    <row r="651">
      <c r="L651" s="21"/>
      <c r="O651" s="21"/>
      <c r="Q651" s="21"/>
      <c r="R651" s="26"/>
    </row>
    <row r="652">
      <c r="L652" s="21"/>
      <c r="O652" s="21"/>
      <c r="Q652" s="21"/>
      <c r="R652" s="26"/>
    </row>
    <row r="653">
      <c r="L653" s="21"/>
      <c r="O653" s="21"/>
      <c r="Q653" s="21"/>
      <c r="R653" s="26"/>
    </row>
    <row r="654">
      <c r="L654" s="21"/>
      <c r="O654" s="21"/>
      <c r="Q654" s="21"/>
      <c r="R654" s="26"/>
    </row>
    <row r="655">
      <c r="L655" s="21"/>
      <c r="O655" s="21"/>
      <c r="Q655" s="21"/>
      <c r="R655" s="26"/>
    </row>
    <row r="656">
      <c r="L656" s="21"/>
      <c r="O656" s="21"/>
      <c r="Q656" s="21"/>
      <c r="R656" s="26"/>
    </row>
    <row r="657">
      <c r="L657" s="21"/>
      <c r="O657" s="21"/>
      <c r="Q657" s="21"/>
      <c r="R657" s="26"/>
    </row>
    <row r="658">
      <c r="L658" s="21"/>
      <c r="O658" s="21"/>
      <c r="Q658" s="21"/>
      <c r="R658" s="26"/>
    </row>
    <row r="659">
      <c r="L659" s="21"/>
      <c r="O659" s="21"/>
      <c r="Q659" s="21"/>
      <c r="R659" s="26"/>
    </row>
    <row r="660">
      <c r="L660" s="21"/>
      <c r="O660" s="21"/>
      <c r="Q660" s="21"/>
      <c r="R660" s="26"/>
    </row>
    <row r="661">
      <c r="L661" s="21"/>
      <c r="O661" s="21"/>
      <c r="Q661" s="21"/>
      <c r="R661" s="26"/>
    </row>
    <row r="662">
      <c r="L662" s="21"/>
      <c r="O662" s="21"/>
      <c r="Q662" s="21"/>
      <c r="R662" s="26"/>
    </row>
    <row r="663">
      <c r="L663" s="21"/>
      <c r="O663" s="21"/>
      <c r="Q663" s="21"/>
      <c r="R663" s="26"/>
    </row>
    <row r="664">
      <c r="L664" s="21"/>
      <c r="O664" s="21"/>
      <c r="Q664" s="21"/>
      <c r="R664" s="26"/>
    </row>
    <row r="665">
      <c r="L665" s="21"/>
      <c r="O665" s="21"/>
      <c r="Q665" s="21"/>
      <c r="R665" s="26"/>
    </row>
    <row r="666">
      <c r="L666" s="21"/>
      <c r="O666" s="21"/>
      <c r="Q666" s="21"/>
      <c r="R666" s="26"/>
    </row>
    <row r="667">
      <c r="L667" s="21"/>
      <c r="O667" s="21"/>
      <c r="Q667" s="21"/>
      <c r="R667" s="26"/>
    </row>
    <row r="668">
      <c r="L668" s="21"/>
      <c r="O668" s="21"/>
      <c r="Q668" s="21"/>
      <c r="R668" s="26"/>
    </row>
    <row r="669">
      <c r="L669" s="21"/>
      <c r="O669" s="21"/>
      <c r="Q669" s="21"/>
      <c r="R669" s="26"/>
    </row>
    <row r="670">
      <c r="L670" s="21"/>
      <c r="O670" s="21"/>
      <c r="Q670" s="21"/>
      <c r="R670" s="26"/>
    </row>
    <row r="671">
      <c r="L671" s="21"/>
      <c r="O671" s="21"/>
      <c r="Q671" s="21"/>
      <c r="R671" s="26"/>
    </row>
    <row r="672">
      <c r="L672" s="21"/>
      <c r="O672" s="21"/>
      <c r="Q672" s="21"/>
      <c r="R672" s="26"/>
    </row>
    <row r="673">
      <c r="L673" s="21"/>
      <c r="O673" s="21"/>
      <c r="Q673" s="21"/>
      <c r="R673" s="26"/>
    </row>
    <row r="674">
      <c r="L674" s="21"/>
      <c r="O674" s="21"/>
      <c r="Q674" s="21"/>
      <c r="R674" s="26"/>
    </row>
    <row r="675">
      <c r="L675" s="21"/>
      <c r="O675" s="21"/>
      <c r="Q675" s="21"/>
      <c r="R675" s="26"/>
    </row>
    <row r="676">
      <c r="L676" s="21"/>
      <c r="O676" s="21"/>
      <c r="Q676" s="21"/>
      <c r="R676" s="26"/>
    </row>
    <row r="677">
      <c r="L677" s="21"/>
      <c r="O677" s="21"/>
      <c r="Q677" s="21"/>
      <c r="R677" s="26"/>
    </row>
    <row r="678">
      <c r="L678" s="21"/>
      <c r="O678" s="21"/>
      <c r="Q678" s="21"/>
      <c r="R678" s="26"/>
    </row>
    <row r="679">
      <c r="L679" s="21"/>
      <c r="O679" s="21"/>
      <c r="Q679" s="21"/>
      <c r="R679" s="26"/>
    </row>
    <row r="680">
      <c r="L680" s="21"/>
      <c r="O680" s="21"/>
      <c r="Q680" s="21"/>
      <c r="R680" s="26"/>
    </row>
    <row r="681">
      <c r="L681" s="21"/>
      <c r="O681" s="21"/>
      <c r="Q681" s="21"/>
      <c r="R681" s="26"/>
    </row>
    <row r="682">
      <c r="L682" s="21"/>
      <c r="O682" s="21"/>
      <c r="Q682" s="21"/>
      <c r="R682" s="26"/>
    </row>
    <row r="683">
      <c r="L683" s="21"/>
      <c r="O683" s="21"/>
      <c r="Q683" s="21"/>
      <c r="R683" s="26"/>
    </row>
    <row r="684">
      <c r="L684" s="21"/>
      <c r="O684" s="21"/>
      <c r="Q684" s="21"/>
      <c r="R684" s="26"/>
    </row>
    <row r="685">
      <c r="L685" s="21"/>
      <c r="O685" s="21"/>
      <c r="Q685" s="21"/>
      <c r="R685" s="26"/>
    </row>
    <row r="686">
      <c r="L686" s="21"/>
      <c r="O686" s="21"/>
      <c r="Q686" s="21"/>
      <c r="R686" s="26"/>
    </row>
    <row r="687">
      <c r="L687" s="21"/>
      <c r="O687" s="21"/>
      <c r="Q687" s="21"/>
      <c r="R687" s="26"/>
    </row>
    <row r="688">
      <c r="L688" s="21"/>
      <c r="O688" s="21"/>
      <c r="Q688" s="21"/>
      <c r="R688" s="26"/>
    </row>
    <row r="689">
      <c r="L689" s="21"/>
      <c r="O689" s="21"/>
      <c r="Q689" s="21"/>
      <c r="R689" s="26"/>
    </row>
    <row r="690">
      <c r="L690" s="21"/>
      <c r="O690" s="21"/>
      <c r="Q690" s="21"/>
      <c r="R690" s="26"/>
    </row>
    <row r="691">
      <c r="L691" s="21"/>
      <c r="O691" s="21"/>
      <c r="Q691" s="21"/>
      <c r="R691" s="26"/>
    </row>
    <row r="692">
      <c r="L692" s="21"/>
      <c r="O692" s="21"/>
      <c r="Q692" s="21"/>
      <c r="R692" s="26"/>
    </row>
    <row r="693">
      <c r="L693" s="21"/>
      <c r="O693" s="21"/>
      <c r="Q693" s="21"/>
      <c r="R693" s="26"/>
    </row>
    <row r="694">
      <c r="L694" s="21"/>
      <c r="O694" s="21"/>
      <c r="Q694" s="21"/>
      <c r="R694" s="26"/>
    </row>
    <row r="695">
      <c r="L695" s="21"/>
      <c r="O695" s="21"/>
      <c r="Q695" s="21"/>
      <c r="R695" s="26"/>
    </row>
    <row r="696">
      <c r="L696" s="21"/>
      <c r="O696" s="21"/>
      <c r="Q696" s="21"/>
      <c r="R696" s="26"/>
    </row>
    <row r="697">
      <c r="L697" s="21"/>
      <c r="O697" s="21"/>
      <c r="Q697" s="21"/>
      <c r="R697" s="26"/>
    </row>
    <row r="698">
      <c r="L698" s="21"/>
      <c r="O698" s="21"/>
      <c r="Q698" s="21"/>
      <c r="R698" s="26"/>
    </row>
    <row r="699">
      <c r="L699" s="21"/>
      <c r="O699" s="21"/>
      <c r="Q699" s="21"/>
      <c r="R699" s="26"/>
    </row>
    <row r="700">
      <c r="L700" s="21"/>
      <c r="O700" s="21"/>
      <c r="Q700" s="21"/>
      <c r="R700" s="26"/>
    </row>
    <row r="701">
      <c r="L701" s="21"/>
      <c r="O701" s="21"/>
      <c r="Q701" s="21"/>
      <c r="R701" s="26"/>
    </row>
    <row r="702">
      <c r="L702" s="21"/>
      <c r="O702" s="21"/>
      <c r="Q702" s="21"/>
      <c r="R702" s="26"/>
    </row>
    <row r="703">
      <c r="L703" s="21"/>
      <c r="O703" s="21"/>
      <c r="Q703" s="21"/>
      <c r="R703" s="26"/>
    </row>
    <row r="704">
      <c r="L704" s="21"/>
      <c r="O704" s="21"/>
      <c r="Q704" s="21"/>
      <c r="R704" s="26"/>
    </row>
    <row r="705">
      <c r="L705" s="21"/>
      <c r="O705" s="21"/>
      <c r="Q705" s="21"/>
      <c r="R705" s="26"/>
    </row>
    <row r="706">
      <c r="L706" s="21"/>
      <c r="O706" s="21"/>
      <c r="Q706" s="21"/>
      <c r="R706" s="26"/>
    </row>
    <row r="707">
      <c r="L707" s="21"/>
      <c r="O707" s="21"/>
      <c r="Q707" s="21"/>
      <c r="R707" s="26"/>
    </row>
    <row r="708">
      <c r="L708" s="21"/>
      <c r="O708" s="21"/>
      <c r="Q708" s="21"/>
      <c r="R708" s="26"/>
    </row>
    <row r="709">
      <c r="L709" s="21"/>
      <c r="O709" s="21"/>
      <c r="Q709" s="21"/>
      <c r="R709" s="26"/>
    </row>
    <row r="710">
      <c r="L710" s="21"/>
      <c r="O710" s="21"/>
      <c r="Q710" s="21"/>
      <c r="R710" s="26"/>
    </row>
    <row r="711">
      <c r="L711" s="21"/>
      <c r="O711" s="21"/>
      <c r="Q711" s="21"/>
      <c r="R711" s="26"/>
    </row>
    <row r="712">
      <c r="L712" s="21"/>
      <c r="O712" s="21"/>
      <c r="Q712" s="21"/>
      <c r="R712" s="26"/>
    </row>
    <row r="713">
      <c r="L713" s="21"/>
      <c r="O713" s="21"/>
      <c r="Q713" s="21"/>
      <c r="R713" s="26"/>
    </row>
    <row r="714">
      <c r="L714" s="21"/>
      <c r="O714" s="21"/>
      <c r="Q714" s="21"/>
      <c r="R714" s="26"/>
    </row>
    <row r="715">
      <c r="L715" s="21"/>
      <c r="O715" s="21"/>
      <c r="Q715" s="21"/>
      <c r="R715" s="26"/>
    </row>
    <row r="716">
      <c r="L716" s="21"/>
      <c r="O716" s="21"/>
      <c r="Q716" s="21"/>
      <c r="R716" s="26"/>
    </row>
    <row r="717">
      <c r="L717" s="21"/>
      <c r="O717" s="21"/>
      <c r="Q717" s="21"/>
      <c r="R717" s="26"/>
    </row>
    <row r="718">
      <c r="L718" s="21"/>
      <c r="O718" s="21"/>
      <c r="Q718" s="21"/>
      <c r="R718" s="26"/>
    </row>
    <row r="719">
      <c r="L719" s="21"/>
      <c r="O719" s="21"/>
      <c r="Q719" s="21"/>
      <c r="R719" s="26"/>
    </row>
    <row r="720">
      <c r="L720" s="21"/>
      <c r="O720" s="21"/>
      <c r="Q720" s="21"/>
      <c r="R720" s="26"/>
    </row>
    <row r="721">
      <c r="L721" s="21"/>
      <c r="O721" s="21"/>
      <c r="Q721" s="21"/>
      <c r="R721" s="26"/>
    </row>
    <row r="722">
      <c r="L722" s="21"/>
      <c r="O722" s="21"/>
      <c r="Q722" s="21"/>
      <c r="R722" s="26"/>
    </row>
    <row r="723">
      <c r="L723" s="21"/>
      <c r="O723" s="21"/>
      <c r="Q723" s="21"/>
      <c r="R723" s="26"/>
    </row>
    <row r="724">
      <c r="L724" s="21"/>
      <c r="O724" s="21"/>
      <c r="Q724" s="21"/>
      <c r="R724" s="26"/>
    </row>
    <row r="725">
      <c r="L725" s="21"/>
      <c r="O725" s="21"/>
      <c r="Q725" s="21"/>
      <c r="R725" s="26"/>
    </row>
    <row r="726">
      <c r="L726" s="21"/>
      <c r="O726" s="21"/>
      <c r="Q726" s="21"/>
      <c r="R726" s="26"/>
    </row>
    <row r="727">
      <c r="L727" s="21"/>
      <c r="O727" s="21"/>
      <c r="Q727" s="21"/>
      <c r="R727" s="26"/>
    </row>
    <row r="728">
      <c r="L728" s="21"/>
      <c r="O728" s="21"/>
      <c r="Q728" s="21"/>
      <c r="R728" s="26"/>
    </row>
    <row r="729">
      <c r="L729" s="21"/>
      <c r="O729" s="21"/>
      <c r="Q729" s="21"/>
      <c r="R729" s="26"/>
    </row>
    <row r="730">
      <c r="L730" s="21"/>
      <c r="O730" s="21"/>
      <c r="Q730" s="21"/>
      <c r="R730" s="26"/>
    </row>
    <row r="731">
      <c r="L731" s="21"/>
      <c r="O731" s="21"/>
      <c r="Q731" s="21"/>
      <c r="R731" s="26"/>
    </row>
    <row r="732">
      <c r="L732" s="21"/>
      <c r="O732" s="21"/>
      <c r="Q732" s="21"/>
      <c r="R732" s="26"/>
    </row>
    <row r="733">
      <c r="L733" s="21"/>
      <c r="O733" s="21"/>
      <c r="Q733" s="21"/>
      <c r="R733" s="26"/>
    </row>
    <row r="734">
      <c r="L734" s="21"/>
      <c r="O734" s="21"/>
      <c r="Q734" s="21"/>
      <c r="R734" s="26"/>
    </row>
    <row r="735">
      <c r="L735" s="21"/>
      <c r="O735" s="21"/>
      <c r="Q735" s="21"/>
      <c r="R735" s="26"/>
    </row>
    <row r="736">
      <c r="L736" s="21"/>
      <c r="O736" s="21"/>
      <c r="Q736" s="21"/>
      <c r="R736" s="26"/>
    </row>
    <row r="737">
      <c r="L737" s="21"/>
      <c r="O737" s="21"/>
      <c r="Q737" s="21"/>
      <c r="R737" s="26"/>
    </row>
    <row r="738">
      <c r="L738" s="21"/>
      <c r="O738" s="21"/>
      <c r="Q738" s="21"/>
      <c r="R738" s="26"/>
    </row>
    <row r="739">
      <c r="L739" s="21"/>
      <c r="O739" s="21"/>
      <c r="Q739" s="21"/>
      <c r="R739" s="26"/>
    </row>
    <row r="740">
      <c r="L740" s="21"/>
      <c r="O740" s="21"/>
      <c r="Q740" s="21"/>
      <c r="R740" s="26"/>
    </row>
    <row r="741">
      <c r="L741" s="21"/>
      <c r="O741" s="21"/>
      <c r="Q741" s="21"/>
      <c r="R741" s="26"/>
    </row>
    <row r="742">
      <c r="L742" s="21"/>
      <c r="O742" s="21"/>
      <c r="Q742" s="21"/>
      <c r="R742" s="26"/>
    </row>
    <row r="743">
      <c r="L743" s="21"/>
      <c r="O743" s="21"/>
      <c r="Q743" s="21"/>
      <c r="R743" s="26"/>
    </row>
    <row r="744">
      <c r="L744" s="21"/>
      <c r="O744" s="21"/>
      <c r="Q744" s="21"/>
      <c r="R744" s="26"/>
    </row>
    <row r="745">
      <c r="L745" s="21"/>
      <c r="O745" s="21"/>
      <c r="Q745" s="21"/>
      <c r="R745" s="26"/>
    </row>
    <row r="746">
      <c r="L746" s="21"/>
      <c r="O746" s="21"/>
      <c r="Q746" s="21"/>
      <c r="R746" s="26"/>
    </row>
    <row r="747">
      <c r="L747" s="21"/>
      <c r="O747" s="21"/>
      <c r="Q747" s="21"/>
      <c r="R747" s="26"/>
    </row>
    <row r="748">
      <c r="L748" s="21"/>
      <c r="O748" s="21"/>
      <c r="Q748" s="21"/>
      <c r="R748" s="26"/>
    </row>
    <row r="749">
      <c r="L749" s="21"/>
      <c r="O749" s="21"/>
      <c r="Q749" s="21"/>
      <c r="R749" s="26"/>
    </row>
    <row r="750">
      <c r="L750" s="21"/>
      <c r="O750" s="21"/>
      <c r="Q750" s="21"/>
      <c r="R750" s="26"/>
    </row>
    <row r="751">
      <c r="L751" s="21"/>
      <c r="O751" s="21"/>
      <c r="Q751" s="21"/>
      <c r="R751" s="26"/>
    </row>
    <row r="752">
      <c r="L752" s="21"/>
      <c r="O752" s="21"/>
      <c r="Q752" s="21"/>
      <c r="R752" s="26"/>
    </row>
    <row r="753">
      <c r="L753" s="21"/>
      <c r="O753" s="21"/>
      <c r="Q753" s="21"/>
      <c r="R753" s="26"/>
    </row>
    <row r="754">
      <c r="L754" s="21"/>
      <c r="O754" s="21"/>
      <c r="Q754" s="21"/>
      <c r="R754" s="26"/>
    </row>
    <row r="755">
      <c r="L755" s="21"/>
      <c r="O755" s="21"/>
      <c r="Q755" s="21"/>
      <c r="R755" s="26"/>
    </row>
    <row r="756">
      <c r="L756" s="21"/>
      <c r="O756" s="21"/>
      <c r="Q756" s="21"/>
      <c r="R756" s="26"/>
    </row>
    <row r="757">
      <c r="L757" s="21"/>
      <c r="O757" s="21"/>
      <c r="Q757" s="21"/>
      <c r="R757" s="26"/>
    </row>
    <row r="758">
      <c r="L758" s="21"/>
      <c r="O758" s="21"/>
      <c r="Q758" s="21"/>
      <c r="R758" s="26"/>
    </row>
    <row r="759">
      <c r="L759" s="21"/>
      <c r="O759" s="21"/>
      <c r="Q759" s="21"/>
      <c r="R759" s="26"/>
    </row>
    <row r="760">
      <c r="L760" s="21"/>
      <c r="O760" s="21"/>
      <c r="Q760" s="21"/>
      <c r="R760" s="26"/>
    </row>
    <row r="761">
      <c r="L761" s="21"/>
      <c r="O761" s="21"/>
      <c r="Q761" s="21"/>
      <c r="R761" s="26"/>
    </row>
    <row r="762">
      <c r="L762" s="21"/>
      <c r="O762" s="21"/>
      <c r="Q762" s="21"/>
      <c r="R762" s="26"/>
    </row>
    <row r="763">
      <c r="L763" s="21"/>
      <c r="O763" s="21"/>
      <c r="Q763" s="21"/>
      <c r="R763" s="26"/>
    </row>
    <row r="764">
      <c r="L764" s="21"/>
      <c r="O764" s="21"/>
      <c r="Q764" s="21"/>
      <c r="R764" s="26"/>
    </row>
    <row r="765">
      <c r="L765" s="21"/>
      <c r="O765" s="21"/>
      <c r="Q765" s="21"/>
      <c r="R765" s="26"/>
    </row>
    <row r="766">
      <c r="L766" s="21"/>
      <c r="O766" s="21"/>
      <c r="Q766" s="21"/>
      <c r="R766" s="26"/>
    </row>
    <row r="767">
      <c r="L767" s="21"/>
      <c r="O767" s="21"/>
      <c r="Q767" s="21"/>
      <c r="R767" s="26"/>
    </row>
    <row r="768">
      <c r="L768" s="21"/>
      <c r="O768" s="21"/>
      <c r="Q768" s="21"/>
      <c r="R768" s="26"/>
    </row>
    <row r="769">
      <c r="L769" s="21"/>
      <c r="O769" s="21"/>
      <c r="Q769" s="21"/>
      <c r="R769" s="26"/>
    </row>
    <row r="770">
      <c r="L770" s="21"/>
      <c r="O770" s="21"/>
      <c r="Q770" s="21"/>
      <c r="R770" s="26"/>
    </row>
    <row r="771">
      <c r="L771" s="21"/>
      <c r="O771" s="21"/>
      <c r="Q771" s="21"/>
      <c r="R771" s="26"/>
    </row>
    <row r="772">
      <c r="L772" s="21"/>
      <c r="O772" s="21"/>
      <c r="Q772" s="21"/>
      <c r="R772" s="26"/>
    </row>
    <row r="773">
      <c r="L773" s="21"/>
      <c r="O773" s="21"/>
      <c r="Q773" s="21"/>
      <c r="R773" s="26"/>
    </row>
    <row r="774">
      <c r="L774" s="21"/>
      <c r="O774" s="21"/>
      <c r="Q774" s="21"/>
      <c r="R774" s="26"/>
    </row>
    <row r="775">
      <c r="L775" s="21"/>
      <c r="O775" s="21"/>
      <c r="Q775" s="21"/>
      <c r="R775" s="26"/>
    </row>
    <row r="776">
      <c r="L776" s="21"/>
      <c r="O776" s="21"/>
      <c r="Q776" s="21"/>
      <c r="R776" s="26"/>
    </row>
    <row r="777">
      <c r="L777" s="21"/>
      <c r="O777" s="21"/>
      <c r="Q777" s="21"/>
      <c r="R777" s="26"/>
    </row>
    <row r="778">
      <c r="L778" s="21"/>
      <c r="O778" s="21"/>
      <c r="Q778" s="21"/>
      <c r="R778" s="26"/>
    </row>
    <row r="779">
      <c r="L779" s="21"/>
      <c r="O779" s="21"/>
      <c r="Q779" s="21"/>
      <c r="R779" s="26"/>
    </row>
    <row r="780">
      <c r="L780" s="21"/>
      <c r="O780" s="21"/>
      <c r="Q780" s="21"/>
      <c r="R780" s="26"/>
    </row>
    <row r="781">
      <c r="L781" s="21"/>
      <c r="O781" s="21"/>
      <c r="Q781" s="21"/>
      <c r="R781" s="26"/>
    </row>
    <row r="782">
      <c r="L782" s="21"/>
      <c r="O782" s="21"/>
      <c r="Q782" s="21"/>
      <c r="R782" s="26"/>
    </row>
    <row r="783">
      <c r="L783" s="21"/>
      <c r="O783" s="21"/>
      <c r="Q783" s="21"/>
      <c r="R783" s="26"/>
    </row>
    <row r="784">
      <c r="L784" s="21"/>
      <c r="O784" s="21"/>
      <c r="Q784" s="21"/>
      <c r="R784" s="26"/>
    </row>
    <row r="785">
      <c r="L785" s="21"/>
      <c r="O785" s="21"/>
      <c r="Q785" s="21"/>
      <c r="R785" s="26"/>
    </row>
    <row r="786">
      <c r="L786" s="21"/>
      <c r="O786" s="21"/>
      <c r="Q786" s="21"/>
      <c r="R786" s="26"/>
    </row>
    <row r="787">
      <c r="L787" s="21"/>
      <c r="O787" s="21"/>
      <c r="Q787" s="21"/>
      <c r="R787" s="26"/>
    </row>
    <row r="788">
      <c r="L788" s="21"/>
      <c r="O788" s="21"/>
      <c r="Q788" s="21"/>
      <c r="R788" s="26"/>
    </row>
    <row r="789">
      <c r="L789" s="21"/>
      <c r="O789" s="21"/>
      <c r="Q789" s="21"/>
      <c r="R789" s="26"/>
    </row>
    <row r="790">
      <c r="L790" s="21"/>
      <c r="O790" s="21"/>
      <c r="Q790" s="21"/>
      <c r="R790" s="26"/>
    </row>
    <row r="791">
      <c r="L791" s="21"/>
      <c r="O791" s="21"/>
      <c r="Q791" s="21"/>
      <c r="R791" s="26"/>
    </row>
    <row r="792">
      <c r="L792" s="21"/>
      <c r="O792" s="21"/>
      <c r="Q792" s="21"/>
      <c r="R792" s="26"/>
    </row>
    <row r="793">
      <c r="L793" s="21"/>
      <c r="O793" s="21"/>
      <c r="Q793" s="21"/>
      <c r="R793" s="26"/>
    </row>
    <row r="794">
      <c r="L794" s="21"/>
      <c r="O794" s="21"/>
      <c r="Q794" s="21"/>
      <c r="R794" s="26"/>
    </row>
    <row r="795">
      <c r="L795" s="21"/>
      <c r="O795" s="21"/>
      <c r="Q795" s="21"/>
      <c r="R795" s="26"/>
    </row>
    <row r="796">
      <c r="L796" s="21"/>
      <c r="O796" s="21"/>
      <c r="Q796" s="21"/>
      <c r="R796" s="26"/>
    </row>
    <row r="797">
      <c r="L797" s="21"/>
      <c r="O797" s="21"/>
      <c r="Q797" s="21"/>
      <c r="R797" s="26"/>
    </row>
    <row r="798">
      <c r="L798" s="21"/>
      <c r="O798" s="21"/>
      <c r="Q798" s="21"/>
      <c r="R798" s="26"/>
    </row>
    <row r="799">
      <c r="L799" s="21"/>
      <c r="O799" s="21"/>
      <c r="Q799" s="21"/>
      <c r="R799" s="26"/>
    </row>
    <row r="800">
      <c r="L800" s="21"/>
      <c r="O800" s="21"/>
      <c r="Q800" s="21"/>
      <c r="R800" s="26"/>
    </row>
    <row r="801">
      <c r="L801" s="21"/>
      <c r="O801" s="21"/>
      <c r="Q801" s="21"/>
      <c r="R801" s="26"/>
    </row>
    <row r="802">
      <c r="L802" s="21"/>
      <c r="O802" s="21"/>
      <c r="Q802" s="21"/>
      <c r="R802" s="26"/>
    </row>
    <row r="803">
      <c r="L803" s="21"/>
      <c r="O803" s="21"/>
      <c r="Q803" s="21"/>
      <c r="R803" s="26"/>
    </row>
    <row r="804">
      <c r="L804" s="21"/>
      <c r="O804" s="21"/>
      <c r="Q804" s="21"/>
      <c r="R804" s="26"/>
    </row>
    <row r="805">
      <c r="L805" s="21"/>
      <c r="O805" s="21"/>
      <c r="Q805" s="21"/>
      <c r="R805" s="26"/>
    </row>
    <row r="806">
      <c r="L806" s="21"/>
      <c r="O806" s="21"/>
      <c r="Q806" s="21"/>
      <c r="R806" s="26"/>
    </row>
    <row r="807">
      <c r="L807" s="21"/>
      <c r="O807" s="21"/>
      <c r="Q807" s="21"/>
      <c r="R807" s="26"/>
    </row>
    <row r="808">
      <c r="L808" s="21"/>
      <c r="O808" s="21"/>
      <c r="Q808" s="21"/>
      <c r="R808" s="26"/>
    </row>
    <row r="809">
      <c r="L809" s="21"/>
      <c r="O809" s="21"/>
      <c r="Q809" s="21"/>
      <c r="R809" s="26"/>
    </row>
    <row r="810">
      <c r="L810" s="21"/>
      <c r="O810" s="21"/>
      <c r="Q810" s="21"/>
      <c r="R810" s="26"/>
    </row>
    <row r="811">
      <c r="L811" s="21"/>
      <c r="O811" s="21"/>
      <c r="Q811" s="21"/>
      <c r="R811" s="26"/>
    </row>
    <row r="812">
      <c r="L812" s="21"/>
      <c r="O812" s="21"/>
      <c r="Q812" s="21"/>
      <c r="R812" s="26"/>
    </row>
    <row r="813">
      <c r="L813" s="21"/>
      <c r="O813" s="21"/>
      <c r="Q813" s="21"/>
      <c r="R813" s="26"/>
    </row>
    <row r="814">
      <c r="L814" s="21"/>
      <c r="O814" s="21"/>
      <c r="Q814" s="21"/>
      <c r="R814" s="26"/>
    </row>
    <row r="815">
      <c r="L815" s="21"/>
      <c r="O815" s="21"/>
      <c r="Q815" s="21"/>
      <c r="R815" s="26"/>
    </row>
    <row r="816">
      <c r="L816" s="21"/>
      <c r="O816" s="21"/>
      <c r="Q816" s="21"/>
      <c r="R816" s="26"/>
    </row>
    <row r="817">
      <c r="L817" s="21"/>
      <c r="O817" s="21"/>
      <c r="Q817" s="21"/>
      <c r="R817" s="26"/>
    </row>
    <row r="818">
      <c r="L818" s="21"/>
      <c r="O818" s="21"/>
      <c r="Q818" s="21"/>
      <c r="R818" s="26"/>
    </row>
    <row r="819">
      <c r="L819" s="21"/>
      <c r="O819" s="21"/>
      <c r="Q819" s="21"/>
      <c r="R819" s="26"/>
    </row>
    <row r="820">
      <c r="L820" s="21"/>
      <c r="O820" s="21"/>
      <c r="Q820" s="21"/>
      <c r="R820" s="26"/>
    </row>
    <row r="821">
      <c r="L821" s="21"/>
      <c r="O821" s="21"/>
      <c r="Q821" s="21"/>
      <c r="R821" s="26"/>
    </row>
    <row r="822">
      <c r="L822" s="21"/>
      <c r="O822" s="21"/>
      <c r="Q822" s="21"/>
      <c r="R822" s="26"/>
    </row>
    <row r="823">
      <c r="L823" s="21"/>
      <c r="O823" s="21"/>
      <c r="Q823" s="21"/>
      <c r="R823" s="26"/>
    </row>
    <row r="824">
      <c r="L824" s="21"/>
      <c r="O824" s="21"/>
      <c r="Q824" s="21"/>
      <c r="R824" s="26"/>
    </row>
    <row r="825">
      <c r="L825" s="21"/>
      <c r="O825" s="21"/>
      <c r="Q825" s="21"/>
      <c r="R825" s="26"/>
    </row>
    <row r="826">
      <c r="L826" s="21"/>
      <c r="O826" s="21"/>
      <c r="Q826" s="21"/>
      <c r="R826" s="26"/>
    </row>
    <row r="827">
      <c r="L827" s="21"/>
      <c r="O827" s="21"/>
      <c r="Q827" s="21"/>
      <c r="R827" s="26"/>
    </row>
    <row r="828">
      <c r="L828" s="21"/>
      <c r="O828" s="21"/>
      <c r="Q828" s="21"/>
      <c r="R828" s="26"/>
    </row>
    <row r="829">
      <c r="L829" s="21"/>
      <c r="O829" s="21"/>
      <c r="Q829" s="21"/>
      <c r="R829" s="26"/>
    </row>
    <row r="830">
      <c r="L830" s="21"/>
      <c r="O830" s="21"/>
      <c r="Q830" s="21"/>
      <c r="R830" s="26"/>
    </row>
    <row r="831">
      <c r="L831" s="21"/>
      <c r="O831" s="21"/>
      <c r="Q831" s="21"/>
      <c r="R831" s="26"/>
    </row>
    <row r="832">
      <c r="L832" s="21"/>
      <c r="O832" s="21"/>
      <c r="Q832" s="21"/>
      <c r="R832" s="26"/>
    </row>
    <row r="833">
      <c r="L833" s="21"/>
      <c r="O833" s="21"/>
      <c r="Q833" s="21"/>
      <c r="R833" s="26"/>
    </row>
    <row r="834">
      <c r="L834" s="21"/>
      <c r="O834" s="21"/>
      <c r="Q834" s="21"/>
      <c r="R834" s="26"/>
    </row>
    <row r="835">
      <c r="L835" s="21"/>
      <c r="O835" s="21"/>
      <c r="Q835" s="21"/>
      <c r="R835" s="26"/>
    </row>
    <row r="836">
      <c r="L836" s="21"/>
      <c r="O836" s="21"/>
      <c r="Q836" s="21"/>
      <c r="R836" s="26"/>
    </row>
    <row r="837">
      <c r="L837" s="21"/>
      <c r="O837" s="21"/>
      <c r="Q837" s="21"/>
      <c r="R837" s="26"/>
    </row>
    <row r="838">
      <c r="L838" s="21"/>
      <c r="O838" s="21"/>
      <c r="Q838" s="21"/>
      <c r="R838" s="26"/>
    </row>
    <row r="839">
      <c r="L839" s="21"/>
      <c r="O839" s="21"/>
      <c r="Q839" s="21"/>
      <c r="R839" s="26"/>
    </row>
    <row r="840">
      <c r="L840" s="21"/>
      <c r="O840" s="21"/>
      <c r="Q840" s="21"/>
      <c r="R840" s="26"/>
    </row>
    <row r="841">
      <c r="L841" s="21"/>
      <c r="O841" s="21"/>
      <c r="Q841" s="21"/>
      <c r="R841" s="26"/>
    </row>
    <row r="842">
      <c r="L842" s="21"/>
      <c r="O842" s="21"/>
      <c r="Q842" s="21"/>
      <c r="R842" s="26"/>
    </row>
    <row r="843">
      <c r="L843" s="21"/>
      <c r="O843" s="21"/>
      <c r="Q843" s="21"/>
      <c r="R843" s="26"/>
    </row>
    <row r="844">
      <c r="L844" s="21"/>
      <c r="O844" s="21"/>
      <c r="Q844" s="21"/>
      <c r="R844" s="26"/>
    </row>
    <row r="845">
      <c r="L845" s="21"/>
      <c r="O845" s="21"/>
      <c r="Q845" s="21"/>
      <c r="R845" s="26"/>
    </row>
    <row r="846">
      <c r="L846" s="21"/>
      <c r="O846" s="21"/>
      <c r="Q846" s="21"/>
      <c r="R846" s="26"/>
    </row>
    <row r="847">
      <c r="L847" s="21"/>
      <c r="O847" s="21"/>
      <c r="Q847" s="21"/>
      <c r="R847" s="26"/>
    </row>
    <row r="848">
      <c r="L848" s="21"/>
      <c r="O848" s="21"/>
      <c r="Q848" s="21"/>
      <c r="R848" s="26"/>
    </row>
    <row r="849">
      <c r="L849" s="21"/>
      <c r="O849" s="21"/>
      <c r="Q849" s="21"/>
      <c r="R849" s="26"/>
    </row>
    <row r="850">
      <c r="L850" s="21"/>
      <c r="O850" s="21"/>
      <c r="Q850" s="21"/>
      <c r="R850" s="26"/>
    </row>
    <row r="851">
      <c r="L851" s="21"/>
      <c r="O851" s="21"/>
      <c r="Q851" s="21"/>
      <c r="R851" s="26"/>
    </row>
    <row r="852">
      <c r="L852" s="21"/>
      <c r="O852" s="21"/>
      <c r="Q852" s="21"/>
      <c r="R852" s="26"/>
    </row>
    <row r="853">
      <c r="L853" s="21"/>
      <c r="O853" s="21"/>
      <c r="Q853" s="21"/>
      <c r="R853" s="26"/>
    </row>
    <row r="854">
      <c r="L854" s="21"/>
      <c r="O854" s="21"/>
      <c r="Q854" s="21"/>
      <c r="R854" s="26"/>
    </row>
    <row r="855">
      <c r="L855" s="21"/>
      <c r="O855" s="21"/>
      <c r="Q855" s="21"/>
      <c r="R855" s="26"/>
    </row>
    <row r="856">
      <c r="L856" s="21"/>
      <c r="O856" s="21"/>
      <c r="Q856" s="21"/>
      <c r="R856" s="26"/>
    </row>
    <row r="857">
      <c r="L857" s="21"/>
      <c r="O857" s="21"/>
      <c r="Q857" s="21"/>
      <c r="R857" s="26"/>
    </row>
    <row r="858">
      <c r="L858" s="21"/>
      <c r="O858" s="21"/>
      <c r="Q858" s="21"/>
      <c r="R858" s="26"/>
    </row>
    <row r="859">
      <c r="L859" s="21"/>
      <c r="O859" s="21"/>
      <c r="Q859" s="21"/>
      <c r="R859" s="26"/>
    </row>
    <row r="860">
      <c r="L860" s="21"/>
      <c r="O860" s="21"/>
      <c r="Q860" s="21"/>
      <c r="R860" s="26"/>
    </row>
    <row r="861">
      <c r="L861" s="21"/>
      <c r="O861" s="21"/>
      <c r="Q861" s="21"/>
      <c r="R861" s="26"/>
    </row>
    <row r="862">
      <c r="L862" s="21"/>
      <c r="O862" s="21"/>
      <c r="Q862" s="21"/>
      <c r="R862" s="26"/>
    </row>
    <row r="863">
      <c r="L863" s="21"/>
      <c r="O863" s="21"/>
      <c r="Q863" s="21"/>
      <c r="R863" s="26"/>
    </row>
    <row r="864">
      <c r="L864" s="21"/>
      <c r="O864" s="21"/>
      <c r="Q864" s="21"/>
      <c r="R864" s="26"/>
    </row>
    <row r="865">
      <c r="L865" s="21"/>
      <c r="O865" s="21"/>
      <c r="Q865" s="21"/>
      <c r="R865" s="26"/>
    </row>
    <row r="866">
      <c r="L866" s="21"/>
      <c r="O866" s="21"/>
      <c r="Q866" s="21"/>
      <c r="R866" s="26"/>
    </row>
    <row r="867">
      <c r="L867" s="21"/>
      <c r="O867" s="21"/>
      <c r="Q867" s="21"/>
      <c r="R867" s="26"/>
    </row>
    <row r="868">
      <c r="L868" s="21"/>
      <c r="O868" s="21"/>
      <c r="Q868" s="21"/>
      <c r="R868" s="26"/>
    </row>
    <row r="869">
      <c r="L869" s="21"/>
      <c r="O869" s="21"/>
      <c r="Q869" s="21"/>
      <c r="R869" s="26"/>
    </row>
    <row r="870">
      <c r="L870" s="21"/>
      <c r="O870" s="21"/>
      <c r="Q870" s="21"/>
      <c r="R870" s="26"/>
    </row>
    <row r="871">
      <c r="L871" s="21"/>
      <c r="O871" s="21"/>
      <c r="Q871" s="21"/>
      <c r="R871" s="26"/>
    </row>
    <row r="872">
      <c r="L872" s="21"/>
      <c r="O872" s="21"/>
      <c r="Q872" s="21"/>
      <c r="R872" s="26"/>
    </row>
    <row r="873">
      <c r="L873" s="21"/>
      <c r="O873" s="21"/>
      <c r="Q873" s="21"/>
      <c r="R873" s="26"/>
    </row>
    <row r="874">
      <c r="L874" s="21"/>
      <c r="O874" s="21"/>
      <c r="Q874" s="21"/>
      <c r="R874" s="26"/>
    </row>
    <row r="875">
      <c r="L875" s="21"/>
      <c r="O875" s="21"/>
      <c r="Q875" s="21"/>
      <c r="R875" s="26"/>
    </row>
    <row r="876">
      <c r="L876" s="21"/>
      <c r="O876" s="21"/>
      <c r="Q876" s="21"/>
      <c r="R876" s="26"/>
    </row>
    <row r="877">
      <c r="L877" s="21"/>
      <c r="O877" s="21"/>
      <c r="Q877" s="21"/>
      <c r="R877" s="26"/>
    </row>
    <row r="878">
      <c r="L878" s="21"/>
      <c r="O878" s="21"/>
      <c r="Q878" s="21"/>
      <c r="R878" s="26"/>
    </row>
    <row r="879">
      <c r="L879" s="21"/>
      <c r="O879" s="21"/>
      <c r="Q879" s="21"/>
      <c r="R879" s="26"/>
    </row>
    <row r="880">
      <c r="L880" s="21"/>
      <c r="O880" s="21"/>
      <c r="Q880" s="21"/>
      <c r="R880" s="26"/>
    </row>
    <row r="881">
      <c r="L881" s="21"/>
      <c r="O881" s="21"/>
      <c r="Q881" s="21"/>
      <c r="R881" s="26"/>
    </row>
    <row r="882">
      <c r="L882" s="21"/>
      <c r="O882" s="21"/>
      <c r="Q882" s="21"/>
      <c r="R882" s="26"/>
    </row>
    <row r="883">
      <c r="L883" s="21"/>
      <c r="O883" s="21"/>
      <c r="Q883" s="21"/>
      <c r="R883" s="26"/>
    </row>
    <row r="884">
      <c r="L884" s="21"/>
      <c r="O884" s="21"/>
      <c r="Q884" s="21"/>
      <c r="R884" s="26"/>
    </row>
    <row r="885">
      <c r="L885" s="21"/>
      <c r="O885" s="21"/>
      <c r="Q885" s="21"/>
      <c r="R885" s="26"/>
    </row>
    <row r="886">
      <c r="L886" s="21"/>
      <c r="O886" s="21"/>
      <c r="Q886" s="21"/>
      <c r="R886" s="26"/>
    </row>
    <row r="887">
      <c r="L887" s="21"/>
      <c r="O887" s="21"/>
      <c r="Q887" s="21"/>
      <c r="R887" s="26"/>
    </row>
    <row r="888">
      <c r="L888" s="21"/>
      <c r="O888" s="21"/>
      <c r="Q888" s="21"/>
      <c r="R888" s="26"/>
    </row>
    <row r="889">
      <c r="L889" s="21"/>
      <c r="O889" s="21"/>
      <c r="Q889" s="21"/>
      <c r="R889" s="26"/>
    </row>
    <row r="890">
      <c r="L890" s="21"/>
      <c r="O890" s="21"/>
      <c r="Q890" s="21"/>
      <c r="R890" s="26"/>
    </row>
    <row r="891">
      <c r="L891" s="21"/>
      <c r="O891" s="21"/>
      <c r="Q891" s="21"/>
      <c r="R891" s="26"/>
    </row>
    <row r="892">
      <c r="L892" s="21"/>
      <c r="O892" s="21"/>
      <c r="Q892" s="21"/>
      <c r="R892" s="26"/>
    </row>
    <row r="893">
      <c r="L893" s="21"/>
      <c r="O893" s="21"/>
      <c r="Q893" s="21"/>
      <c r="R893" s="26"/>
    </row>
    <row r="894">
      <c r="L894" s="21"/>
      <c r="O894" s="21"/>
      <c r="Q894" s="21"/>
      <c r="R894" s="26"/>
    </row>
    <row r="895">
      <c r="L895" s="21"/>
      <c r="O895" s="21"/>
      <c r="Q895" s="21"/>
      <c r="R895" s="26"/>
    </row>
    <row r="896">
      <c r="L896" s="21"/>
      <c r="O896" s="21"/>
      <c r="Q896" s="21"/>
      <c r="R896" s="26"/>
    </row>
    <row r="897">
      <c r="L897" s="21"/>
      <c r="O897" s="21"/>
      <c r="Q897" s="21"/>
      <c r="R897" s="26"/>
    </row>
    <row r="898">
      <c r="L898" s="21"/>
      <c r="O898" s="21"/>
      <c r="Q898" s="21"/>
      <c r="R898" s="26"/>
    </row>
    <row r="899">
      <c r="L899" s="21"/>
      <c r="O899" s="21"/>
      <c r="Q899" s="21"/>
      <c r="R899" s="26"/>
    </row>
    <row r="900">
      <c r="L900" s="21"/>
      <c r="O900" s="21"/>
      <c r="Q900" s="21"/>
      <c r="R900" s="26"/>
    </row>
    <row r="901">
      <c r="L901" s="21"/>
      <c r="O901" s="21"/>
      <c r="Q901" s="21"/>
      <c r="R901" s="26"/>
    </row>
    <row r="902">
      <c r="L902" s="21"/>
      <c r="O902" s="21"/>
      <c r="Q902" s="21"/>
      <c r="R902" s="26"/>
    </row>
    <row r="903">
      <c r="L903" s="21"/>
      <c r="O903" s="21"/>
      <c r="Q903" s="21"/>
      <c r="R903" s="26"/>
    </row>
    <row r="904">
      <c r="L904" s="21"/>
      <c r="O904" s="21"/>
      <c r="Q904" s="21"/>
      <c r="R904" s="26"/>
    </row>
    <row r="905">
      <c r="L905" s="21"/>
      <c r="O905" s="21"/>
      <c r="Q905" s="21"/>
      <c r="R905" s="26"/>
    </row>
    <row r="906">
      <c r="L906" s="21"/>
      <c r="O906" s="21"/>
      <c r="Q906" s="21"/>
      <c r="R906" s="26"/>
    </row>
    <row r="907">
      <c r="L907" s="21"/>
      <c r="O907" s="21"/>
      <c r="Q907" s="21"/>
      <c r="R907" s="26"/>
    </row>
    <row r="908">
      <c r="L908" s="21"/>
      <c r="O908" s="21"/>
      <c r="Q908" s="21"/>
      <c r="R908" s="26"/>
    </row>
    <row r="909">
      <c r="L909" s="21"/>
      <c r="O909" s="21"/>
      <c r="Q909" s="21"/>
      <c r="R909" s="26"/>
    </row>
    <row r="910">
      <c r="L910" s="21"/>
      <c r="O910" s="21"/>
      <c r="Q910" s="21"/>
      <c r="R910" s="26"/>
    </row>
    <row r="911">
      <c r="L911" s="21"/>
      <c r="O911" s="21"/>
      <c r="Q911" s="21"/>
      <c r="R911" s="26"/>
    </row>
    <row r="912">
      <c r="L912" s="21"/>
      <c r="O912" s="21"/>
      <c r="Q912" s="21"/>
      <c r="R912" s="26"/>
    </row>
    <row r="913">
      <c r="L913" s="21"/>
      <c r="O913" s="21"/>
      <c r="Q913" s="21"/>
      <c r="R913" s="26"/>
    </row>
    <row r="914">
      <c r="L914" s="21"/>
      <c r="O914" s="21"/>
      <c r="Q914" s="21"/>
      <c r="R914" s="26"/>
    </row>
    <row r="915">
      <c r="L915" s="21"/>
      <c r="O915" s="21"/>
      <c r="Q915" s="21"/>
      <c r="R915" s="26"/>
    </row>
    <row r="916">
      <c r="L916" s="21"/>
      <c r="O916" s="21"/>
      <c r="Q916" s="21"/>
      <c r="R916" s="26"/>
    </row>
    <row r="917">
      <c r="L917" s="21"/>
      <c r="O917" s="21"/>
      <c r="Q917" s="21"/>
      <c r="R917" s="26"/>
    </row>
    <row r="918">
      <c r="L918" s="21"/>
      <c r="O918" s="21"/>
      <c r="Q918" s="21"/>
      <c r="R918" s="26"/>
    </row>
    <row r="919">
      <c r="L919" s="21"/>
      <c r="O919" s="21"/>
      <c r="Q919" s="21"/>
      <c r="R919" s="26"/>
    </row>
    <row r="920">
      <c r="L920" s="21"/>
      <c r="O920" s="21"/>
      <c r="Q920" s="21"/>
      <c r="R920" s="26"/>
    </row>
    <row r="921">
      <c r="L921" s="21"/>
      <c r="O921" s="21"/>
      <c r="Q921" s="21"/>
      <c r="R921" s="26"/>
    </row>
    <row r="922">
      <c r="L922" s="21"/>
      <c r="O922" s="21"/>
      <c r="Q922" s="21"/>
      <c r="R922" s="26"/>
    </row>
    <row r="923">
      <c r="L923" s="21"/>
      <c r="O923" s="21"/>
      <c r="Q923" s="21"/>
      <c r="R923" s="26"/>
    </row>
    <row r="924">
      <c r="L924" s="21"/>
      <c r="O924" s="21"/>
      <c r="Q924" s="21"/>
      <c r="R924" s="26"/>
    </row>
    <row r="925">
      <c r="L925" s="21"/>
      <c r="O925" s="21"/>
      <c r="Q925" s="21"/>
      <c r="R925" s="26"/>
    </row>
    <row r="926">
      <c r="L926" s="21"/>
      <c r="O926" s="21"/>
      <c r="Q926" s="21"/>
      <c r="R926" s="26"/>
    </row>
    <row r="927">
      <c r="L927" s="21"/>
      <c r="O927" s="21"/>
      <c r="Q927" s="21"/>
      <c r="R927" s="26"/>
    </row>
    <row r="928">
      <c r="L928" s="21"/>
      <c r="O928" s="21"/>
      <c r="Q928" s="21"/>
      <c r="R928" s="26"/>
    </row>
    <row r="929">
      <c r="L929" s="21"/>
      <c r="O929" s="21"/>
      <c r="Q929" s="21"/>
      <c r="R929" s="26"/>
    </row>
    <row r="930">
      <c r="L930" s="21"/>
      <c r="O930" s="21"/>
      <c r="Q930" s="21"/>
      <c r="R930" s="26"/>
    </row>
    <row r="931">
      <c r="L931" s="21"/>
      <c r="O931" s="21"/>
      <c r="Q931" s="21"/>
      <c r="R931" s="26"/>
    </row>
    <row r="932">
      <c r="L932" s="21"/>
      <c r="O932" s="21"/>
      <c r="Q932" s="21"/>
      <c r="R932" s="26"/>
    </row>
    <row r="933">
      <c r="L933" s="21"/>
      <c r="O933" s="21"/>
      <c r="Q933" s="21"/>
      <c r="R933" s="26"/>
    </row>
    <row r="934">
      <c r="L934" s="21"/>
      <c r="O934" s="21"/>
      <c r="Q934" s="21"/>
      <c r="R934" s="26"/>
    </row>
    <row r="935">
      <c r="L935" s="21"/>
      <c r="O935" s="21"/>
      <c r="Q935" s="21"/>
      <c r="R935" s="26"/>
    </row>
    <row r="936">
      <c r="L936" s="21"/>
      <c r="O936" s="21"/>
      <c r="Q936" s="21"/>
      <c r="R936" s="26"/>
    </row>
    <row r="937">
      <c r="L937" s="21"/>
      <c r="O937" s="21"/>
      <c r="Q937" s="21"/>
      <c r="R937" s="26"/>
    </row>
    <row r="938">
      <c r="L938" s="21"/>
      <c r="O938" s="21"/>
      <c r="Q938" s="21"/>
      <c r="R938" s="26"/>
    </row>
    <row r="939">
      <c r="L939" s="21"/>
      <c r="O939" s="21"/>
      <c r="Q939" s="21"/>
      <c r="R939" s="26"/>
    </row>
    <row r="940">
      <c r="L940" s="21"/>
      <c r="O940" s="21"/>
      <c r="Q940" s="21"/>
      <c r="R940" s="26"/>
    </row>
    <row r="941">
      <c r="L941" s="21"/>
      <c r="O941" s="21"/>
      <c r="Q941" s="21"/>
      <c r="R941" s="26"/>
    </row>
    <row r="942">
      <c r="L942" s="21"/>
      <c r="O942" s="21"/>
      <c r="Q942" s="21"/>
      <c r="R942" s="26"/>
    </row>
    <row r="943">
      <c r="L943" s="21"/>
      <c r="O943" s="21"/>
      <c r="Q943" s="21"/>
      <c r="R943" s="26"/>
    </row>
    <row r="944">
      <c r="L944" s="21"/>
      <c r="O944" s="21"/>
      <c r="Q944" s="21"/>
      <c r="R944" s="26"/>
    </row>
    <row r="945">
      <c r="L945" s="21"/>
      <c r="O945" s="21"/>
      <c r="Q945" s="21"/>
      <c r="R945" s="26"/>
    </row>
    <row r="946">
      <c r="L946" s="21"/>
      <c r="O946" s="21"/>
      <c r="Q946" s="21"/>
      <c r="R946" s="26"/>
    </row>
    <row r="947">
      <c r="L947" s="21"/>
      <c r="O947" s="21"/>
      <c r="Q947" s="21"/>
      <c r="R947" s="26"/>
    </row>
    <row r="948">
      <c r="L948" s="21"/>
      <c r="O948" s="21"/>
      <c r="Q948" s="21"/>
      <c r="R948" s="26"/>
    </row>
    <row r="949">
      <c r="L949" s="21"/>
      <c r="O949" s="21"/>
      <c r="Q949" s="21"/>
      <c r="R949" s="26"/>
    </row>
    <row r="950">
      <c r="L950" s="21"/>
      <c r="O950" s="21"/>
      <c r="Q950" s="21"/>
      <c r="R950" s="26"/>
    </row>
    <row r="951">
      <c r="L951" s="21"/>
      <c r="O951" s="21"/>
      <c r="Q951" s="21"/>
      <c r="R951" s="26"/>
    </row>
    <row r="952">
      <c r="L952" s="21"/>
      <c r="O952" s="21"/>
      <c r="Q952" s="21"/>
      <c r="R952" s="26"/>
    </row>
    <row r="953">
      <c r="L953" s="21"/>
      <c r="O953" s="21"/>
      <c r="Q953" s="21"/>
      <c r="R953" s="26"/>
    </row>
    <row r="954">
      <c r="L954" s="21"/>
      <c r="O954" s="21"/>
      <c r="Q954" s="21"/>
      <c r="R954" s="26"/>
    </row>
    <row r="955">
      <c r="L955" s="21"/>
      <c r="O955" s="21"/>
      <c r="Q955" s="21"/>
      <c r="R955" s="26"/>
    </row>
    <row r="956">
      <c r="L956" s="21"/>
      <c r="O956" s="21"/>
      <c r="Q956" s="21"/>
      <c r="R956" s="26"/>
    </row>
    <row r="957">
      <c r="L957" s="21"/>
      <c r="O957" s="21"/>
      <c r="Q957" s="21"/>
      <c r="R957" s="26"/>
    </row>
    <row r="958">
      <c r="L958" s="21"/>
      <c r="O958" s="21"/>
      <c r="Q958" s="21"/>
      <c r="R958" s="26"/>
    </row>
    <row r="959">
      <c r="L959" s="21"/>
      <c r="O959" s="21"/>
      <c r="Q959" s="21"/>
      <c r="R959" s="26"/>
    </row>
    <row r="960">
      <c r="L960" s="21"/>
      <c r="O960" s="21"/>
      <c r="Q960" s="21"/>
      <c r="R960" s="26"/>
    </row>
    <row r="961">
      <c r="L961" s="21"/>
      <c r="O961" s="21"/>
      <c r="Q961" s="21"/>
      <c r="R961" s="26"/>
    </row>
    <row r="962">
      <c r="L962" s="21"/>
      <c r="O962" s="21"/>
      <c r="Q962" s="21"/>
      <c r="R962" s="26"/>
    </row>
    <row r="963">
      <c r="L963" s="21"/>
      <c r="O963" s="21"/>
      <c r="Q963" s="21"/>
      <c r="R963" s="26"/>
    </row>
    <row r="964">
      <c r="L964" s="21"/>
      <c r="O964" s="21"/>
      <c r="Q964" s="21"/>
      <c r="R964" s="26"/>
    </row>
    <row r="965">
      <c r="L965" s="21"/>
      <c r="O965" s="21"/>
      <c r="Q965" s="21"/>
      <c r="R965" s="26"/>
    </row>
    <row r="966">
      <c r="L966" s="21"/>
      <c r="O966" s="21"/>
      <c r="Q966" s="21"/>
      <c r="R966" s="26"/>
    </row>
    <row r="967">
      <c r="L967" s="21"/>
      <c r="O967" s="21"/>
      <c r="Q967" s="21"/>
      <c r="R967" s="26"/>
    </row>
    <row r="968">
      <c r="L968" s="21"/>
      <c r="O968" s="21"/>
      <c r="Q968" s="21"/>
      <c r="R968" s="26"/>
    </row>
    <row r="969">
      <c r="L969" s="21"/>
      <c r="O969" s="21"/>
      <c r="Q969" s="21"/>
      <c r="R969" s="26"/>
    </row>
    <row r="970">
      <c r="L970" s="21"/>
      <c r="O970" s="21"/>
      <c r="Q970" s="21"/>
      <c r="R970" s="26"/>
    </row>
    <row r="971">
      <c r="L971" s="21"/>
      <c r="O971" s="21"/>
      <c r="Q971" s="21"/>
      <c r="R971" s="26"/>
    </row>
    <row r="972">
      <c r="L972" s="21"/>
      <c r="O972" s="21"/>
      <c r="Q972" s="21"/>
      <c r="R972" s="26"/>
    </row>
    <row r="973">
      <c r="L973" s="21"/>
      <c r="O973" s="21"/>
      <c r="Q973" s="21"/>
      <c r="R973" s="26"/>
    </row>
    <row r="974">
      <c r="L974" s="21"/>
      <c r="O974" s="21"/>
      <c r="Q974" s="21"/>
      <c r="R974" s="26"/>
    </row>
    <row r="975">
      <c r="L975" s="21"/>
      <c r="O975" s="21"/>
      <c r="Q975" s="21"/>
      <c r="R975" s="26"/>
    </row>
    <row r="976">
      <c r="L976" s="21"/>
      <c r="O976" s="21"/>
      <c r="Q976" s="21"/>
      <c r="R976" s="26"/>
    </row>
    <row r="977">
      <c r="L977" s="21"/>
      <c r="O977" s="21"/>
      <c r="Q977" s="21"/>
      <c r="R977" s="26"/>
    </row>
    <row r="978">
      <c r="L978" s="21"/>
      <c r="O978" s="21"/>
      <c r="Q978" s="21"/>
      <c r="R978" s="26"/>
    </row>
    <row r="979">
      <c r="L979" s="21"/>
      <c r="O979" s="21"/>
      <c r="Q979" s="21"/>
      <c r="R979" s="26"/>
    </row>
    <row r="980">
      <c r="L980" s="21"/>
      <c r="O980" s="21"/>
      <c r="Q980" s="21"/>
      <c r="R980" s="26"/>
    </row>
    <row r="981">
      <c r="L981" s="21"/>
      <c r="O981" s="21"/>
      <c r="Q981" s="21"/>
      <c r="R981" s="26"/>
    </row>
    <row r="982">
      <c r="L982" s="21"/>
      <c r="O982" s="21"/>
      <c r="Q982" s="21"/>
      <c r="R982" s="26"/>
    </row>
    <row r="983">
      <c r="L983" s="21"/>
      <c r="O983" s="21"/>
      <c r="Q983" s="21"/>
      <c r="R983" s="26"/>
    </row>
    <row r="984">
      <c r="L984" s="21"/>
      <c r="O984" s="21"/>
      <c r="Q984" s="21"/>
      <c r="R984" s="26"/>
    </row>
    <row r="985">
      <c r="L985" s="21"/>
      <c r="O985" s="21"/>
      <c r="Q985" s="21"/>
      <c r="R985" s="26"/>
    </row>
  </sheetData>
  <mergeCells count="11">
    <mergeCell ref="H1:L1"/>
    <mergeCell ref="M1:O1"/>
    <mergeCell ref="P1:Q1"/>
    <mergeCell ref="R1:R2"/>
    <mergeCell ref="A1:A2"/>
    <mergeCell ref="B1:B2"/>
    <mergeCell ref="C1:C2"/>
    <mergeCell ref="D1:D2"/>
    <mergeCell ref="E1:E2"/>
    <mergeCell ref="F1:F2"/>
    <mergeCell ref="G1:G2"/>
  </mergeCells>
  <dataValidations>
    <dataValidation type="list" allowBlank="1" showErrorMessage="1" sqref="H3:K163 M3:N163 P3:P163">
      <formula1>"0.0,0.5,1.0"</formula1>
    </dataValidation>
  </dataValidation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3" width="8.38"/>
    <col customWidth="1" min="5" max="5" width="41.88"/>
    <col customWidth="1" min="6" max="6" width="28.75"/>
    <col customWidth="1" min="8" max="11" width="39.13"/>
    <col customWidth="1" min="12" max="12" width="10957.88"/>
    <col customWidth="1" min="13" max="14" width="25.38"/>
    <col customWidth="1" min="15" max="15" width="110.88"/>
    <col customWidth="1" min="16" max="17" width="25.38"/>
    <col customWidth="1" min="18" max="18" width="99.88"/>
  </cols>
  <sheetData>
    <row r="1">
      <c r="A1" s="10" t="s">
        <v>16</v>
      </c>
      <c r="B1" s="10" t="s">
        <v>25</v>
      </c>
      <c r="C1" s="10" t="s">
        <v>27</v>
      </c>
      <c r="D1" s="10" t="s">
        <v>29</v>
      </c>
      <c r="E1" s="10" t="s">
        <v>31</v>
      </c>
      <c r="F1" s="10" t="s">
        <v>34</v>
      </c>
      <c r="G1" s="10" t="s">
        <v>38</v>
      </c>
      <c r="H1" s="13" t="s">
        <v>1</v>
      </c>
      <c r="L1" s="14"/>
      <c r="M1" s="15" t="s">
        <v>12</v>
      </c>
      <c r="O1" s="16"/>
      <c r="P1" s="18" t="s">
        <v>20</v>
      </c>
      <c r="R1" s="19"/>
      <c r="S1" s="20"/>
      <c r="T1" s="20"/>
      <c r="U1" s="20"/>
      <c r="V1" s="20"/>
      <c r="W1" s="20"/>
      <c r="X1" s="20"/>
      <c r="Y1" s="20"/>
      <c r="Z1" s="20"/>
      <c r="AA1" s="20"/>
      <c r="AB1" s="20"/>
      <c r="AC1" s="20"/>
    </row>
    <row r="2">
      <c r="H2" s="13" t="s">
        <v>56</v>
      </c>
      <c r="I2" s="13" t="s">
        <v>57</v>
      </c>
      <c r="J2" s="13" t="s">
        <v>58</v>
      </c>
      <c r="K2" s="13" t="s">
        <v>59</v>
      </c>
      <c r="L2" s="14" t="s">
        <v>60</v>
      </c>
      <c r="M2" s="15" t="s">
        <v>61</v>
      </c>
      <c r="N2" s="15" t="s">
        <v>62</v>
      </c>
      <c r="O2" s="22" t="s">
        <v>63</v>
      </c>
      <c r="P2" s="18" t="s">
        <v>64</v>
      </c>
      <c r="Q2" s="18" t="s">
        <v>65</v>
      </c>
      <c r="R2" s="19" t="s">
        <v>66</v>
      </c>
      <c r="S2" s="20"/>
      <c r="T2" s="20"/>
      <c r="U2" s="20"/>
      <c r="V2" s="20"/>
      <c r="W2" s="20"/>
      <c r="X2" s="20"/>
      <c r="Y2" s="20"/>
      <c r="Z2" s="20"/>
      <c r="AA2" s="20"/>
      <c r="AB2" s="20"/>
      <c r="AC2" s="20"/>
    </row>
    <row r="3">
      <c r="A3" s="23" t="s">
        <v>49</v>
      </c>
      <c r="B3" s="23" t="s">
        <v>50</v>
      </c>
      <c r="C3" s="12" t="s">
        <v>51</v>
      </c>
      <c r="D3" s="12" t="s">
        <v>52</v>
      </c>
      <c r="E3" s="12" t="s">
        <v>53</v>
      </c>
      <c r="F3" s="12" t="s">
        <v>54</v>
      </c>
      <c r="G3" s="12">
        <v>2017.0</v>
      </c>
      <c r="H3" s="14" t="s">
        <v>67</v>
      </c>
      <c r="I3" s="14" t="s">
        <v>68</v>
      </c>
      <c r="J3" s="14" t="s">
        <v>67</v>
      </c>
      <c r="K3" s="14" t="s">
        <v>69</v>
      </c>
      <c r="L3" s="14" t="s">
        <v>70</v>
      </c>
      <c r="M3" s="16" t="s">
        <v>71</v>
      </c>
      <c r="N3" s="16" t="s">
        <v>69</v>
      </c>
      <c r="O3" s="16" t="s">
        <v>72</v>
      </c>
      <c r="P3" s="19" t="s">
        <v>73</v>
      </c>
      <c r="Q3" s="19" t="s">
        <v>69</v>
      </c>
      <c r="R3" s="19" t="s">
        <v>74</v>
      </c>
      <c r="S3" s="20"/>
      <c r="T3" s="20"/>
      <c r="U3" s="20"/>
      <c r="V3" s="20"/>
      <c r="W3" s="20"/>
      <c r="X3" s="20"/>
      <c r="Y3" s="20"/>
      <c r="Z3" s="20"/>
      <c r="AA3" s="20"/>
      <c r="AB3" s="20"/>
      <c r="AC3" s="20"/>
    </row>
    <row r="4">
      <c r="A4" s="24" t="s">
        <v>75</v>
      </c>
      <c r="B4" s="24" t="s">
        <v>76</v>
      </c>
      <c r="C4" s="25" t="s">
        <v>77</v>
      </c>
      <c r="D4" s="25" t="s">
        <v>78</v>
      </c>
      <c r="E4" s="25" t="s">
        <v>79</v>
      </c>
      <c r="F4" s="25" t="s">
        <v>80</v>
      </c>
      <c r="G4" s="25">
        <v>2022.0</v>
      </c>
      <c r="H4" s="14" t="s">
        <v>81</v>
      </c>
      <c r="I4" s="14" t="s">
        <v>82</v>
      </c>
      <c r="J4" s="14" t="s">
        <v>81</v>
      </c>
      <c r="K4" s="14" t="s">
        <v>69</v>
      </c>
      <c r="L4" s="14" t="s">
        <v>84</v>
      </c>
      <c r="M4" s="16" t="s">
        <v>85</v>
      </c>
      <c r="N4" s="16" t="s">
        <v>86</v>
      </c>
      <c r="O4" s="16" t="s">
        <v>91</v>
      </c>
      <c r="P4" s="19" t="s">
        <v>92</v>
      </c>
      <c r="Q4" s="19" t="s">
        <v>69</v>
      </c>
      <c r="R4" s="19" t="s">
        <v>95</v>
      </c>
      <c r="S4" s="20"/>
      <c r="T4" s="20"/>
      <c r="U4" s="20"/>
      <c r="V4" s="20"/>
      <c r="W4" s="20"/>
      <c r="X4" s="20"/>
      <c r="Y4" s="20"/>
      <c r="Z4" s="20"/>
      <c r="AA4" s="20"/>
      <c r="AB4" s="20"/>
      <c r="AC4" s="20"/>
    </row>
    <row r="5" hidden="1">
      <c r="A5" s="35"/>
      <c r="B5" s="36" t="s">
        <v>87</v>
      </c>
      <c r="C5" s="37" t="s">
        <v>51</v>
      </c>
      <c r="D5" s="37" t="s">
        <v>88</v>
      </c>
      <c r="E5" s="37" t="s">
        <v>89</v>
      </c>
      <c r="F5" s="37" t="s">
        <v>90</v>
      </c>
      <c r="G5" s="38">
        <v>2018.0</v>
      </c>
      <c r="H5" s="39"/>
      <c r="I5" s="39"/>
      <c r="J5" s="39"/>
      <c r="K5" s="39"/>
      <c r="L5" s="40"/>
      <c r="M5" s="41"/>
      <c r="N5" s="41"/>
      <c r="O5" s="43"/>
      <c r="P5" s="44"/>
      <c r="Q5" s="44"/>
      <c r="R5" s="45"/>
      <c r="S5" s="46"/>
      <c r="T5" s="46"/>
      <c r="U5" s="46"/>
      <c r="V5" s="46"/>
      <c r="W5" s="46"/>
      <c r="X5" s="46"/>
      <c r="Y5" s="46"/>
      <c r="Z5" s="46"/>
      <c r="AA5" s="46"/>
      <c r="AB5" s="46"/>
      <c r="AC5" s="46"/>
    </row>
    <row r="6">
      <c r="A6" s="23" t="s">
        <v>93</v>
      </c>
      <c r="B6" s="23" t="s">
        <v>94</v>
      </c>
      <c r="C6" s="34" t="s">
        <v>77</v>
      </c>
      <c r="D6" s="34" t="s">
        <v>96</v>
      </c>
      <c r="E6" s="34" t="s">
        <v>97</v>
      </c>
      <c r="F6" s="34" t="s">
        <v>98</v>
      </c>
      <c r="G6" s="34">
        <v>2018.0</v>
      </c>
      <c r="H6" s="14" t="s">
        <v>103</v>
      </c>
      <c r="I6" s="14" t="s">
        <v>82</v>
      </c>
      <c r="J6" s="14" t="s">
        <v>104</v>
      </c>
      <c r="K6" s="14" t="s">
        <v>106</v>
      </c>
      <c r="L6" s="47" t="s">
        <v>115</v>
      </c>
      <c r="M6" s="16" t="s">
        <v>116</v>
      </c>
      <c r="N6" s="16" t="s">
        <v>106</v>
      </c>
      <c r="O6" s="16" t="s">
        <v>121</v>
      </c>
      <c r="P6" s="19" t="s">
        <v>122</v>
      </c>
      <c r="Q6" s="19" t="s">
        <v>123</v>
      </c>
      <c r="R6" s="19" t="s">
        <v>128</v>
      </c>
      <c r="S6" s="49"/>
      <c r="T6" s="49"/>
      <c r="U6" s="49"/>
      <c r="V6" s="49"/>
      <c r="W6" s="49"/>
      <c r="X6" s="49"/>
      <c r="Y6" s="49"/>
      <c r="Z6" s="49"/>
      <c r="AA6" s="49"/>
      <c r="AB6" s="49"/>
      <c r="AC6" s="49"/>
    </row>
    <row r="7" hidden="1">
      <c r="A7" s="23"/>
      <c r="B7" s="23" t="s">
        <v>99</v>
      </c>
      <c r="C7" s="34" t="s">
        <v>51</v>
      </c>
      <c r="D7" s="34" t="s">
        <v>100</v>
      </c>
      <c r="E7" s="34" t="s">
        <v>101</v>
      </c>
      <c r="F7" s="34" t="s">
        <v>102</v>
      </c>
      <c r="G7" s="34">
        <v>2015.0</v>
      </c>
      <c r="H7" s="50"/>
      <c r="I7" s="50"/>
      <c r="J7" s="50"/>
      <c r="K7" s="50"/>
      <c r="L7" s="50"/>
      <c r="M7" s="51"/>
      <c r="N7" s="51"/>
      <c r="O7" s="52"/>
      <c r="P7" s="53"/>
      <c r="Q7" s="53"/>
      <c r="R7" s="53"/>
      <c r="S7" s="49"/>
      <c r="T7" s="49"/>
      <c r="U7" s="49"/>
      <c r="V7" s="49"/>
      <c r="W7" s="49"/>
      <c r="X7" s="49"/>
      <c r="Y7" s="49"/>
      <c r="Z7" s="49"/>
      <c r="AA7" s="49"/>
      <c r="AB7" s="49"/>
      <c r="AC7" s="49"/>
    </row>
    <row r="8" hidden="1">
      <c r="A8" s="23"/>
      <c r="B8" s="23" t="s">
        <v>107</v>
      </c>
      <c r="C8" s="34" t="s">
        <v>51</v>
      </c>
      <c r="D8" s="34" t="s">
        <v>108</v>
      </c>
      <c r="E8" s="34" t="s">
        <v>109</v>
      </c>
      <c r="F8" s="34" t="s">
        <v>110</v>
      </c>
      <c r="G8" s="34">
        <v>2018.0</v>
      </c>
      <c r="H8" s="50"/>
      <c r="I8" s="50"/>
      <c r="J8" s="50"/>
      <c r="K8" s="50"/>
      <c r="L8" s="50"/>
      <c r="M8" s="51"/>
      <c r="N8" s="51"/>
      <c r="O8" s="51"/>
      <c r="P8" s="53"/>
      <c r="Q8" s="53"/>
      <c r="R8" s="53"/>
      <c r="S8" s="49"/>
      <c r="T8" s="49"/>
      <c r="U8" s="49"/>
      <c r="V8" s="49"/>
      <c r="W8" s="49"/>
      <c r="X8" s="49"/>
      <c r="Y8" s="49"/>
      <c r="Z8" s="49"/>
      <c r="AA8" s="49"/>
      <c r="AB8" s="49"/>
      <c r="AC8" s="49"/>
    </row>
    <row r="9" hidden="1">
      <c r="A9" s="23"/>
      <c r="B9" s="23" t="s">
        <v>111</v>
      </c>
      <c r="C9" s="34" t="s">
        <v>77</v>
      </c>
      <c r="D9" s="34" t="s">
        <v>112</v>
      </c>
      <c r="E9" s="34" t="s">
        <v>113</v>
      </c>
      <c r="F9" s="34" t="s">
        <v>114</v>
      </c>
      <c r="G9" s="34">
        <v>2019.0</v>
      </c>
      <c r="H9" s="14"/>
      <c r="I9" s="14"/>
      <c r="J9" s="14"/>
      <c r="K9" s="14"/>
      <c r="L9" s="14"/>
      <c r="M9" s="16"/>
      <c r="N9" s="16"/>
      <c r="O9" s="16"/>
      <c r="P9" s="19"/>
      <c r="Q9" s="19"/>
      <c r="R9" s="19"/>
      <c r="S9" s="20"/>
      <c r="T9" s="20"/>
      <c r="U9" s="20"/>
      <c r="V9" s="20"/>
      <c r="W9" s="20"/>
      <c r="X9" s="20"/>
      <c r="Y9" s="20"/>
      <c r="Z9" s="20"/>
      <c r="AA9" s="20"/>
      <c r="AB9" s="20"/>
      <c r="AC9" s="20"/>
    </row>
    <row r="10" hidden="1">
      <c r="A10" s="24" t="s">
        <v>117</v>
      </c>
      <c r="B10" s="24" t="s">
        <v>118</v>
      </c>
      <c r="C10" s="48" t="s">
        <v>51</v>
      </c>
      <c r="D10" s="48" t="s">
        <v>119</v>
      </c>
      <c r="E10" s="48" t="s">
        <v>120</v>
      </c>
      <c r="F10" s="48" t="s">
        <v>110</v>
      </c>
      <c r="G10" s="48">
        <v>2009.0</v>
      </c>
      <c r="H10" s="50"/>
      <c r="I10" s="50"/>
      <c r="J10" s="50"/>
      <c r="K10" s="50"/>
      <c r="L10" s="54"/>
      <c r="M10" s="51"/>
      <c r="N10" s="51"/>
      <c r="O10" s="51"/>
      <c r="P10" s="53"/>
      <c r="Q10" s="53"/>
      <c r="R10" s="53"/>
      <c r="S10" s="49"/>
      <c r="T10" s="49"/>
      <c r="U10" s="49"/>
      <c r="V10" s="49"/>
      <c r="W10" s="49"/>
      <c r="X10" s="49"/>
      <c r="Y10" s="20"/>
      <c r="Z10" s="20"/>
      <c r="AA10" s="20"/>
      <c r="AB10" s="20"/>
      <c r="AC10" s="20"/>
    </row>
    <row r="11">
      <c r="A11" s="24" t="s">
        <v>117</v>
      </c>
      <c r="B11" s="24" t="s">
        <v>124</v>
      </c>
      <c r="C11" s="48" t="s">
        <v>51</v>
      </c>
      <c r="D11" s="48" t="s">
        <v>125</v>
      </c>
      <c r="E11" s="48" t="s">
        <v>126</v>
      </c>
      <c r="F11" s="48" t="s">
        <v>127</v>
      </c>
      <c r="G11" s="48">
        <v>2012.0</v>
      </c>
      <c r="H11" s="14" t="s">
        <v>141</v>
      </c>
      <c r="I11" s="14" t="s">
        <v>82</v>
      </c>
      <c r="J11" s="14" t="s">
        <v>142</v>
      </c>
      <c r="K11" s="14" t="s">
        <v>106</v>
      </c>
      <c r="L11" s="55" t="s">
        <v>152</v>
      </c>
      <c r="M11" s="16" t="s">
        <v>153</v>
      </c>
      <c r="N11" s="16" t="s">
        <v>69</v>
      </c>
      <c r="O11" s="16" t="s">
        <v>154</v>
      </c>
      <c r="P11" s="19" t="s">
        <v>122</v>
      </c>
      <c r="Q11" s="19" t="s">
        <v>155</v>
      </c>
      <c r="R11" s="19" t="s">
        <v>163</v>
      </c>
      <c r="S11" s="49"/>
      <c r="T11" s="49"/>
      <c r="U11" s="49"/>
      <c r="V11" s="49"/>
      <c r="W11" s="49"/>
      <c r="X11" s="49"/>
      <c r="Y11" s="20"/>
      <c r="Z11" s="20"/>
      <c r="AA11" s="20"/>
      <c r="AB11" s="20"/>
      <c r="AC11" s="20"/>
    </row>
    <row r="12" hidden="1">
      <c r="A12" s="24"/>
      <c r="B12" s="24" t="s">
        <v>129</v>
      </c>
      <c r="C12" s="48" t="s">
        <v>77</v>
      </c>
      <c r="D12" s="48" t="s">
        <v>130</v>
      </c>
      <c r="E12" s="48" t="s">
        <v>131</v>
      </c>
      <c r="F12" s="48" t="s">
        <v>132</v>
      </c>
      <c r="G12" s="48">
        <v>2008.0</v>
      </c>
      <c r="H12" s="50"/>
      <c r="I12" s="50"/>
      <c r="J12" s="50"/>
      <c r="K12" s="50"/>
      <c r="L12" s="50" t="s">
        <v>166</v>
      </c>
      <c r="M12" s="51"/>
      <c r="N12" s="51"/>
      <c r="O12" s="51"/>
      <c r="P12" s="53"/>
      <c r="Q12" s="53"/>
      <c r="R12" s="53"/>
      <c r="S12" s="49"/>
      <c r="T12" s="49"/>
      <c r="U12" s="49"/>
      <c r="V12" s="49"/>
      <c r="W12" s="49"/>
      <c r="X12" s="49"/>
      <c r="Y12" s="20"/>
      <c r="Z12" s="20"/>
      <c r="AA12" s="20"/>
      <c r="AB12" s="20"/>
      <c r="AC12" s="20"/>
    </row>
    <row r="13" hidden="1">
      <c r="A13" s="24"/>
      <c r="B13" s="24" t="s">
        <v>133</v>
      </c>
      <c r="C13" s="24" t="s">
        <v>51</v>
      </c>
      <c r="D13" s="24" t="s">
        <v>134</v>
      </c>
      <c r="E13" s="24" t="s">
        <v>135</v>
      </c>
      <c r="F13" s="24" t="s">
        <v>136</v>
      </c>
      <c r="G13" s="24">
        <v>2011.0</v>
      </c>
      <c r="H13" s="50"/>
      <c r="I13" s="50"/>
      <c r="J13" s="50"/>
      <c r="K13" s="50"/>
      <c r="L13" s="54" t="s">
        <v>173</v>
      </c>
      <c r="M13" s="51"/>
      <c r="N13" s="51"/>
      <c r="O13" s="51"/>
      <c r="P13" s="53"/>
      <c r="Q13" s="53"/>
      <c r="R13" s="53"/>
      <c r="S13" s="49"/>
      <c r="T13" s="49"/>
      <c r="U13" s="49"/>
      <c r="V13" s="49"/>
      <c r="W13" s="49"/>
      <c r="X13" s="49"/>
      <c r="Y13" s="20"/>
      <c r="Z13" s="20"/>
      <c r="AA13" s="20"/>
      <c r="AB13" s="20"/>
      <c r="AC13" s="20"/>
    </row>
    <row r="14" hidden="1">
      <c r="A14" s="24"/>
      <c r="B14" s="24" t="s">
        <v>137</v>
      </c>
      <c r="C14" s="24" t="s">
        <v>51</v>
      </c>
      <c r="D14" s="24" t="s">
        <v>138</v>
      </c>
      <c r="E14" s="24" t="s">
        <v>139</v>
      </c>
      <c r="F14" s="24" t="s">
        <v>140</v>
      </c>
      <c r="G14" s="24">
        <v>2008.0</v>
      </c>
      <c r="H14" s="50"/>
      <c r="I14" s="50"/>
      <c r="J14" s="50"/>
      <c r="K14" s="50"/>
      <c r="L14" s="54" t="s">
        <v>176</v>
      </c>
      <c r="M14" s="51"/>
      <c r="N14" s="51"/>
      <c r="O14" s="51"/>
      <c r="P14" s="53"/>
      <c r="Q14" s="53"/>
      <c r="R14" s="53"/>
      <c r="S14" s="49"/>
      <c r="T14" s="49"/>
      <c r="U14" s="49"/>
      <c r="V14" s="49"/>
      <c r="W14" s="49"/>
      <c r="X14" s="49"/>
      <c r="Y14" s="20"/>
      <c r="Z14" s="20"/>
      <c r="AA14" s="20"/>
      <c r="AB14" s="20"/>
      <c r="AC14" s="20"/>
    </row>
    <row r="15" hidden="1">
      <c r="A15" s="24"/>
      <c r="B15" s="24" t="s">
        <v>143</v>
      </c>
      <c r="C15" s="24" t="s">
        <v>51</v>
      </c>
      <c r="D15" s="24" t="s">
        <v>144</v>
      </c>
      <c r="E15" s="24" t="s">
        <v>145</v>
      </c>
      <c r="F15" s="24" t="s">
        <v>147</v>
      </c>
      <c r="G15" s="24">
        <v>2012.0</v>
      </c>
      <c r="H15" s="50"/>
      <c r="I15" s="50"/>
      <c r="J15" s="50"/>
      <c r="K15" s="50"/>
      <c r="L15" s="54" t="s">
        <v>183</v>
      </c>
      <c r="M15" s="51"/>
      <c r="N15" s="51"/>
      <c r="O15" s="51"/>
      <c r="P15" s="53"/>
      <c r="Q15" s="53"/>
      <c r="R15" s="53"/>
      <c r="S15" s="49"/>
      <c r="T15" s="49"/>
      <c r="U15" s="49"/>
      <c r="V15" s="49"/>
      <c r="W15" s="49"/>
      <c r="X15" s="49"/>
      <c r="Y15" s="20"/>
      <c r="Z15" s="20"/>
      <c r="AA15" s="20"/>
      <c r="AB15" s="20"/>
      <c r="AC15" s="20"/>
    </row>
    <row r="16" hidden="1">
      <c r="A16" s="24"/>
      <c r="B16" s="24" t="s">
        <v>148</v>
      </c>
      <c r="C16" s="24" t="s">
        <v>51</v>
      </c>
      <c r="D16" s="24" t="s">
        <v>149</v>
      </c>
      <c r="E16" s="24" t="s">
        <v>150</v>
      </c>
      <c r="F16" s="24" t="s">
        <v>151</v>
      </c>
      <c r="G16" s="24">
        <v>2011.0</v>
      </c>
      <c r="H16" s="50"/>
      <c r="I16" s="50"/>
      <c r="J16" s="50"/>
      <c r="K16" s="50"/>
      <c r="L16" s="50" t="s">
        <v>193</v>
      </c>
      <c r="M16" s="51"/>
      <c r="N16" s="51"/>
      <c r="O16" s="51"/>
      <c r="P16" s="53"/>
      <c r="Q16" s="53"/>
      <c r="R16" s="53"/>
      <c r="S16" s="49"/>
      <c r="T16" s="49"/>
      <c r="U16" s="49"/>
      <c r="V16" s="49"/>
      <c r="W16" s="49"/>
      <c r="X16" s="49"/>
      <c r="Y16" s="20"/>
      <c r="Z16" s="20"/>
      <c r="AA16" s="20"/>
      <c r="AB16" s="20"/>
      <c r="AC16" s="20"/>
    </row>
    <row r="17" hidden="1">
      <c r="A17" s="62"/>
      <c r="B17" s="24" t="s">
        <v>156</v>
      </c>
      <c r="C17" s="24" t="s">
        <v>51</v>
      </c>
      <c r="D17" s="63" t="s">
        <v>138</v>
      </c>
      <c r="E17" s="63" t="s">
        <v>160</v>
      </c>
      <c r="F17" s="24" t="s">
        <v>161</v>
      </c>
      <c r="G17" s="24">
        <v>2012.0</v>
      </c>
      <c r="H17" s="14"/>
      <c r="I17" s="14"/>
      <c r="J17" s="14"/>
      <c r="K17" s="14"/>
      <c r="L17" s="64"/>
      <c r="M17" s="16"/>
      <c r="N17" s="16"/>
      <c r="O17" s="16"/>
      <c r="P17" s="19"/>
      <c r="Q17" s="19"/>
      <c r="R17" s="19"/>
      <c r="S17" s="20"/>
      <c r="T17" s="20"/>
      <c r="U17" s="20"/>
      <c r="V17" s="20"/>
      <c r="W17" s="20"/>
      <c r="X17" s="20"/>
      <c r="Y17" s="20"/>
      <c r="Z17" s="20"/>
      <c r="AA17" s="20"/>
      <c r="AB17" s="20"/>
      <c r="AC17" s="20"/>
    </row>
    <row r="18" hidden="1">
      <c r="A18" s="67"/>
      <c r="B18" s="24" t="s">
        <v>167</v>
      </c>
      <c r="C18" s="24" t="s">
        <v>51</v>
      </c>
      <c r="D18" s="63" t="s">
        <v>138</v>
      </c>
      <c r="E18" s="63" t="s">
        <v>168</v>
      </c>
      <c r="F18" s="24" t="s">
        <v>169</v>
      </c>
      <c r="G18" s="24">
        <v>2012.0</v>
      </c>
      <c r="H18" s="14"/>
      <c r="I18" s="14"/>
      <c r="J18" s="14"/>
      <c r="K18" s="14"/>
      <c r="L18" s="14" t="s">
        <v>206</v>
      </c>
      <c r="M18" s="16"/>
      <c r="N18" s="16"/>
      <c r="O18" s="16"/>
      <c r="P18" s="19"/>
      <c r="Q18" s="19"/>
      <c r="R18" s="19"/>
      <c r="S18" s="20"/>
      <c r="T18" s="20"/>
      <c r="U18" s="20"/>
      <c r="V18" s="20"/>
      <c r="W18" s="20"/>
      <c r="X18" s="20"/>
      <c r="Y18" s="20"/>
      <c r="Z18" s="20"/>
      <c r="AA18" s="20"/>
      <c r="AB18" s="20"/>
      <c r="AC18" s="20"/>
    </row>
    <row r="19">
      <c r="A19" s="10" t="s">
        <v>158</v>
      </c>
      <c r="B19" s="10" t="s">
        <v>159</v>
      </c>
      <c r="C19" s="10" t="s">
        <v>51</v>
      </c>
      <c r="D19" s="68" t="s">
        <v>162</v>
      </c>
      <c r="E19" s="68" t="s">
        <v>164</v>
      </c>
      <c r="F19" s="10" t="s">
        <v>165</v>
      </c>
      <c r="G19" s="10">
        <v>2016.0</v>
      </c>
      <c r="H19" s="14" t="s">
        <v>216</v>
      </c>
      <c r="I19" s="14" t="s">
        <v>82</v>
      </c>
      <c r="J19" s="14" t="s">
        <v>217</v>
      </c>
      <c r="K19" s="14" t="s">
        <v>106</v>
      </c>
      <c r="L19" s="64" t="s">
        <v>224</v>
      </c>
      <c r="M19" s="16" t="s">
        <v>106</v>
      </c>
      <c r="N19" s="16" t="s">
        <v>106</v>
      </c>
      <c r="O19" s="16" t="s">
        <v>225</v>
      </c>
      <c r="P19" s="19" t="s">
        <v>69</v>
      </c>
      <c r="Q19" s="19" t="s">
        <v>155</v>
      </c>
      <c r="R19" s="19" t="s">
        <v>230</v>
      </c>
      <c r="S19" s="20"/>
      <c r="T19" s="20"/>
      <c r="U19" s="20"/>
      <c r="V19" s="20"/>
      <c r="W19" s="20"/>
      <c r="X19" s="20"/>
      <c r="Y19" s="20"/>
      <c r="Z19" s="20"/>
      <c r="AA19" s="20"/>
      <c r="AB19" s="20"/>
      <c r="AC19" s="20"/>
    </row>
    <row r="20">
      <c r="A20" s="24" t="s">
        <v>171</v>
      </c>
      <c r="B20" s="24" t="s">
        <v>172</v>
      </c>
      <c r="C20" s="24" t="s">
        <v>51</v>
      </c>
      <c r="D20" s="69" t="s">
        <v>138</v>
      </c>
      <c r="E20" s="69" t="s">
        <v>174</v>
      </c>
      <c r="F20" s="24" t="s">
        <v>175</v>
      </c>
      <c r="G20" s="24">
        <v>2013.0</v>
      </c>
      <c r="H20" s="14" t="s">
        <v>141</v>
      </c>
      <c r="I20" s="14" t="s">
        <v>82</v>
      </c>
      <c r="J20" s="14" t="s">
        <v>237</v>
      </c>
      <c r="K20" s="14" t="s">
        <v>106</v>
      </c>
      <c r="L20" s="14" t="s">
        <v>246</v>
      </c>
      <c r="M20" s="16" t="s">
        <v>106</v>
      </c>
      <c r="N20" s="16" t="s">
        <v>106</v>
      </c>
      <c r="O20" s="16" t="s">
        <v>249</v>
      </c>
      <c r="P20" s="19" t="s">
        <v>122</v>
      </c>
      <c r="Q20" s="19" t="s">
        <v>155</v>
      </c>
      <c r="R20" s="19" t="s">
        <v>255</v>
      </c>
      <c r="S20" s="20"/>
      <c r="T20" s="20"/>
      <c r="U20" s="20"/>
      <c r="V20" s="20"/>
      <c r="W20" s="20"/>
      <c r="X20" s="20"/>
      <c r="Y20" s="20"/>
      <c r="Z20" s="20"/>
      <c r="AA20" s="20"/>
      <c r="AB20" s="20"/>
      <c r="AC20" s="20"/>
    </row>
    <row r="21" hidden="1">
      <c r="A21" s="10" t="s">
        <v>178</v>
      </c>
      <c r="B21" s="10" t="s">
        <v>187</v>
      </c>
      <c r="C21" s="10" t="s">
        <v>51</v>
      </c>
      <c r="D21" s="73" t="s">
        <v>189</v>
      </c>
      <c r="E21" s="73" t="s">
        <v>192</v>
      </c>
      <c r="F21" s="10" t="s">
        <v>54</v>
      </c>
      <c r="G21" s="10">
        <v>2021.0</v>
      </c>
      <c r="H21" s="14"/>
      <c r="I21" s="14"/>
      <c r="J21" s="14"/>
      <c r="K21" s="14"/>
      <c r="L21" s="64" t="s">
        <v>256</v>
      </c>
      <c r="M21" s="16"/>
      <c r="N21" s="16"/>
      <c r="O21" s="16"/>
      <c r="P21" s="19"/>
      <c r="Q21" s="19"/>
      <c r="R21" s="19"/>
      <c r="S21" s="20"/>
      <c r="T21" s="20"/>
      <c r="U21" s="20"/>
      <c r="V21" s="20"/>
      <c r="W21" s="20"/>
      <c r="X21" s="20"/>
      <c r="Y21" s="20"/>
      <c r="Z21" s="20"/>
      <c r="AA21" s="20"/>
      <c r="AB21" s="20"/>
      <c r="AC21" s="20"/>
    </row>
    <row r="22" hidden="1">
      <c r="A22" s="20"/>
      <c r="B22" s="10" t="s">
        <v>197</v>
      </c>
      <c r="C22" s="66" t="s">
        <v>51</v>
      </c>
      <c r="D22" s="66" t="s">
        <v>198</v>
      </c>
      <c r="E22" s="66" t="s">
        <v>200</v>
      </c>
      <c r="F22" s="66" t="s">
        <v>54</v>
      </c>
      <c r="G22" s="66">
        <v>2017.0</v>
      </c>
      <c r="H22" s="14"/>
      <c r="I22" s="14"/>
      <c r="J22" s="14"/>
      <c r="K22" s="14"/>
      <c r="L22" s="14"/>
      <c r="M22" s="16"/>
      <c r="N22" s="16"/>
      <c r="O22" s="16"/>
      <c r="P22" s="19"/>
      <c r="Q22" s="19"/>
      <c r="R22" s="19"/>
      <c r="S22" s="20"/>
      <c r="T22" s="20"/>
      <c r="U22" s="20"/>
      <c r="V22" s="20"/>
      <c r="W22" s="20"/>
      <c r="X22" s="20"/>
      <c r="Y22" s="20"/>
      <c r="Z22" s="20"/>
      <c r="AA22" s="20"/>
      <c r="AB22" s="20"/>
      <c r="AC22" s="20"/>
    </row>
    <row r="23" hidden="1">
      <c r="A23" s="20"/>
      <c r="B23" s="10" t="s">
        <v>202</v>
      </c>
      <c r="C23" s="10" t="s">
        <v>51</v>
      </c>
      <c r="D23" s="10" t="s">
        <v>203</v>
      </c>
      <c r="E23" s="10" t="s">
        <v>204</v>
      </c>
      <c r="F23" s="10" t="s">
        <v>205</v>
      </c>
      <c r="G23" s="10">
        <v>2013.0</v>
      </c>
      <c r="H23" s="14"/>
      <c r="I23" s="14"/>
      <c r="J23" s="14"/>
      <c r="K23" s="14"/>
      <c r="L23" s="14" t="s">
        <v>267</v>
      </c>
      <c r="M23" s="16"/>
      <c r="N23" s="16"/>
      <c r="O23" s="16"/>
      <c r="P23" s="19"/>
      <c r="Q23" s="19"/>
      <c r="R23" s="19"/>
      <c r="S23" s="20"/>
      <c r="T23" s="20"/>
      <c r="U23" s="20"/>
      <c r="V23" s="20"/>
      <c r="W23" s="20"/>
      <c r="X23" s="20"/>
      <c r="Y23" s="20"/>
      <c r="Z23" s="20"/>
      <c r="AA23" s="20"/>
      <c r="AB23" s="20"/>
      <c r="AC23" s="20"/>
    </row>
    <row r="24" hidden="1">
      <c r="A24" s="20"/>
      <c r="B24" s="10" t="s">
        <v>212</v>
      </c>
      <c r="C24" s="10" t="s">
        <v>77</v>
      </c>
      <c r="D24" s="10" t="s">
        <v>214</v>
      </c>
      <c r="E24" s="10" t="s">
        <v>215</v>
      </c>
      <c r="F24" s="10" t="s">
        <v>80</v>
      </c>
      <c r="G24" s="10">
        <v>2015.0</v>
      </c>
      <c r="H24" s="14"/>
      <c r="I24" s="14"/>
      <c r="J24" s="14"/>
      <c r="K24" s="14"/>
      <c r="L24" s="14" t="s">
        <v>277</v>
      </c>
      <c r="M24" s="16"/>
      <c r="N24" s="16"/>
      <c r="O24" s="16"/>
      <c r="P24" s="19"/>
      <c r="Q24" s="19"/>
      <c r="R24" s="19"/>
      <c r="S24" s="20"/>
      <c r="T24" s="20"/>
      <c r="U24" s="20"/>
      <c r="V24" s="20"/>
      <c r="W24" s="20"/>
      <c r="X24" s="20"/>
      <c r="Y24" s="20"/>
      <c r="Z24" s="20"/>
      <c r="AA24" s="20"/>
      <c r="AB24" s="20"/>
      <c r="AC24" s="20"/>
    </row>
    <row r="25">
      <c r="A25" s="10" t="s">
        <v>178</v>
      </c>
      <c r="B25" s="10" t="s">
        <v>179</v>
      </c>
      <c r="C25" s="10" t="s">
        <v>77</v>
      </c>
      <c r="D25" s="10" t="s">
        <v>180</v>
      </c>
      <c r="E25" s="10" t="s">
        <v>181</v>
      </c>
      <c r="F25" s="10" t="s">
        <v>182</v>
      </c>
      <c r="G25" s="10">
        <v>2016.0</v>
      </c>
      <c r="H25" s="14" t="s">
        <v>279</v>
      </c>
      <c r="I25" s="14" t="s">
        <v>82</v>
      </c>
      <c r="J25" s="14" t="s">
        <v>279</v>
      </c>
      <c r="K25" s="14" t="s">
        <v>86</v>
      </c>
      <c r="L25" s="14" t="s">
        <v>295</v>
      </c>
      <c r="M25" s="16" t="s">
        <v>71</v>
      </c>
      <c r="N25" s="16" t="s">
        <v>297</v>
      </c>
      <c r="O25" s="16" t="s">
        <v>298</v>
      </c>
      <c r="P25" s="19" t="s">
        <v>73</v>
      </c>
      <c r="Q25" s="19" t="s">
        <v>69</v>
      </c>
      <c r="R25" s="19" t="s">
        <v>301</v>
      </c>
      <c r="S25" s="20"/>
      <c r="T25" s="20"/>
      <c r="U25" s="20"/>
      <c r="V25" s="20"/>
      <c r="W25" s="20"/>
      <c r="X25" s="20"/>
      <c r="Y25" s="20"/>
      <c r="Z25" s="20"/>
      <c r="AA25" s="20"/>
      <c r="AB25" s="20"/>
      <c r="AC25" s="20"/>
    </row>
    <row r="26">
      <c r="A26" s="24" t="s">
        <v>185</v>
      </c>
      <c r="B26" s="24" t="s">
        <v>186</v>
      </c>
      <c r="C26" s="24" t="s">
        <v>77</v>
      </c>
      <c r="D26" s="24" t="s">
        <v>188</v>
      </c>
      <c r="E26" s="24" t="s">
        <v>190</v>
      </c>
      <c r="F26" s="24" t="s">
        <v>191</v>
      </c>
      <c r="G26" s="24">
        <v>2018.0</v>
      </c>
      <c r="H26" s="14" t="s">
        <v>307</v>
      </c>
      <c r="I26" s="14" t="s">
        <v>82</v>
      </c>
      <c r="J26" s="14" t="s">
        <v>308</v>
      </c>
      <c r="K26" s="14" t="s">
        <v>69</v>
      </c>
      <c r="L26" s="14" t="s">
        <v>311</v>
      </c>
      <c r="M26" s="16" t="s">
        <v>313</v>
      </c>
      <c r="N26" s="16" t="s">
        <v>69</v>
      </c>
      <c r="O26" s="16" t="s">
        <v>319</v>
      </c>
      <c r="P26" s="19" t="s">
        <v>320</v>
      </c>
      <c r="Q26" s="19" t="s">
        <v>155</v>
      </c>
      <c r="R26" s="19" t="s">
        <v>326</v>
      </c>
      <c r="S26" s="20"/>
      <c r="T26" s="20"/>
      <c r="U26" s="20"/>
      <c r="V26" s="20"/>
      <c r="W26" s="20"/>
      <c r="X26" s="20"/>
      <c r="Y26" s="20"/>
      <c r="Z26" s="20"/>
      <c r="AA26" s="20"/>
      <c r="AB26" s="20"/>
      <c r="AC26" s="20"/>
    </row>
    <row r="27" hidden="1">
      <c r="A27" s="24"/>
      <c r="B27" s="24" t="s">
        <v>233</v>
      </c>
      <c r="C27" s="48" t="s">
        <v>51</v>
      </c>
      <c r="D27" s="48" t="s">
        <v>234</v>
      </c>
      <c r="E27" s="48" t="s">
        <v>235</v>
      </c>
      <c r="F27" s="48" t="s">
        <v>236</v>
      </c>
      <c r="G27" s="48">
        <v>2015.0</v>
      </c>
      <c r="H27" s="14"/>
      <c r="I27" s="14"/>
      <c r="J27" s="14"/>
      <c r="K27" s="14"/>
      <c r="L27" s="64" t="s">
        <v>327</v>
      </c>
      <c r="M27" s="16"/>
      <c r="N27" s="16"/>
      <c r="O27" s="16"/>
      <c r="P27" s="19"/>
      <c r="Q27" s="19"/>
      <c r="R27" s="19"/>
      <c r="S27" s="20"/>
      <c r="T27" s="20"/>
      <c r="U27" s="20"/>
      <c r="V27" s="20"/>
      <c r="W27" s="20"/>
      <c r="X27" s="20"/>
      <c r="Y27" s="20"/>
      <c r="Z27" s="20"/>
      <c r="AA27" s="20"/>
      <c r="AB27" s="20"/>
      <c r="AC27" s="20"/>
    </row>
    <row r="28">
      <c r="A28" s="76" t="s">
        <v>238</v>
      </c>
      <c r="B28" s="76" t="s">
        <v>244</v>
      </c>
      <c r="C28" s="71" t="s">
        <v>51</v>
      </c>
      <c r="D28" s="71" t="s">
        <v>245</v>
      </c>
      <c r="E28" s="71" t="s">
        <v>247</v>
      </c>
      <c r="F28" s="71" t="s">
        <v>248</v>
      </c>
      <c r="G28" s="71">
        <v>2015.0</v>
      </c>
      <c r="H28" s="14" t="s">
        <v>81</v>
      </c>
      <c r="I28" s="14" t="s">
        <v>82</v>
      </c>
      <c r="J28" s="14" t="s">
        <v>69</v>
      </c>
      <c r="K28" s="14" t="s">
        <v>69</v>
      </c>
      <c r="L28" s="14" t="s">
        <v>333</v>
      </c>
      <c r="M28" s="16" t="s">
        <v>69</v>
      </c>
      <c r="N28" s="16" t="s">
        <v>69</v>
      </c>
      <c r="O28" s="16" t="s">
        <v>335</v>
      </c>
      <c r="P28" s="19" t="s">
        <v>337</v>
      </c>
      <c r="Q28" s="19" t="s">
        <v>69</v>
      </c>
      <c r="R28" s="19" t="s">
        <v>340</v>
      </c>
      <c r="S28" s="20"/>
      <c r="T28" s="20"/>
      <c r="U28" s="20"/>
      <c r="V28" s="20"/>
      <c r="W28" s="20"/>
      <c r="X28" s="20"/>
      <c r="Y28" s="20"/>
      <c r="Z28" s="20"/>
      <c r="AA28" s="20"/>
      <c r="AB28" s="20"/>
      <c r="AC28" s="20"/>
    </row>
    <row r="29">
      <c r="A29" s="24" t="s">
        <v>195</v>
      </c>
      <c r="B29" s="24" t="s">
        <v>196</v>
      </c>
      <c r="C29" s="25" t="s">
        <v>51</v>
      </c>
      <c r="D29" s="25" t="s">
        <v>199</v>
      </c>
      <c r="E29" s="25" t="s">
        <v>201</v>
      </c>
      <c r="F29" s="25" t="s">
        <v>54</v>
      </c>
      <c r="G29" s="25">
        <v>2016.0</v>
      </c>
      <c r="H29" s="14" t="s">
        <v>343</v>
      </c>
      <c r="I29" s="14" t="s">
        <v>82</v>
      </c>
      <c r="J29" s="14" t="s">
        <v>344</v>
      </c>
      <c r="K29" s="14" t="s">
        <v>69</v>
      </c>
      <c r="L29" s="14" t="s">
        <v>347</v>
      </c>
      <c r="M29" s="16" t="s">
        <v>349</v>
      </c>
      <c r="N29" s="16" t="s">
        <v>69</v>
      </c>
      <c r="O29" s="16" t="s">
        <v>353</v>
      </c>
      <c r="P29" s="19" t="s">
        <v>73</v>
      </c>
      <c r="Q29" s="19" t="s">
        <v>69</v>
      </c>
      <c r="R29" s="19" t="s">
        <v>354</v>
      </c>
      <c r="S29" s="20"/>
      <c r="T29" s="20"/>
      <c r="U29" s="20"/>
      <c r="V29" s="20"/>
      <c r="W29" s="20"/>
      <c r="X29" s="20"/>
      <c r="Y29" s="20"/>
      <c r="Z29" s="20"/>
      <c r="AA29" s="20"/>
      <c r="AB29" s="20"/>
      <c r="AC29" s="20"/>
    </row>
    <row r="30">
      <c r="A30" s="76" t="s">
        <v>263</v>
      </c>
      <c r="B30" s="76" t="s">
        <v>264</v>
      </c>
      <c r="C30" s="71" t="s">
        <v>77</v>
      </c>
      <c r="D30" s="71" t="s">
        <v>265</v>
      </c>
      <c r="E30" s="71" t="s">
        <v>266</v>
      </c>
      <c r="F30" s="71" t="s">
        <v>98</v>
      </c>
      <c r="G30" s="71">
        <v>2018.0</v>
      </c>
      <c r="H30" s="14" t="s">
        <v>355</v>
      </c>
      <c r="I30" s="14" t="s">
        <v>82</v>
      </c>
      <c r="J30" s="14" t="s">
        <v>357</v>
      </c>
      <c r="K30" s="14" t="s">
        <v>69</v>
      </c>
      <c r="L30" s="64" t="s">
        <v>362</v>
      </c>
      <c r="M30" s="16" t="s">
        <v>363</v>
      </c>
      <c r="N30" s="16" t="s">
        <v>69</v>
      </c>
      <c r="O30" s="16" t="s">
        <v>367</v>
      </c>
      <c r="P30" s="19" t="s">
        <v>337</v>
      </c>
      <c r="Q30" s="19" t="s">
        <v>69</v>
      </c>
      <c r="R30" s="19" t="s">
        <v>376</v>
      </c>
      <c r="S30" s="20"/>
      <c r="T30" s="20"/>
      <c r="U30" s="20"/>
      <c r="V30" s="20"/>
      <c r="W30" s="20"/>
      <c r="X30" s="20"/>
      <c r="Y30" s="20"/>
      <c r="Z30" s="20"/>
      <c r="AA30" s="20"/>
      <c r="AB30" s="20"/>
      <c r="AC30" s="20"/>
    </row>
    <row r="31" hidden="1">
      <c r="A31" s="24" t="s">
        <v>208</v>
      </c>
      <c r="B31" s="24" t="s">
        <v>271</v>
      </c>
      <c r="C31" s="48" t="s">
        <v>77</v>
      </c>
      <c r="D31" s="48" t="s">
        <v>274</v>
      </c>
      <c r="E31" s="48" t="s">
        <v>276</v>
      </c>
      <c r="F31" s="48" t="s">
        <v>278</v>
      </c>
      <c r="G31" s="48">
        <v>2017.0</v>
      </c>
      <c r="H31" s="14"/>
      <c r="I31" s="14"/>
      <c r="J31" s="14"/>
      <c r="K31" s="14"/>
      <c r="L31" s="14" t="s">
        <v>382</v>
      </c>
      <c r="M31" s="78"/>
      <c r="N31" s="78"/>
      <c r="O31" s="78"/>
      <c r="P31" s="79"/>
      <c r="Q31" s="79"/>
      <c r="R31" s="79"/>
      <c r="S31" s="20"/>
      <c r="T31" s="20"/>
      <c r="U31" s="20"/>
      <c r="V31" s="20"/>
      <c r="W31" s="20"/>
      <c r="X31" s="20"/>
      <c r="Y31" s="20"/>
      <c r="Z31" s="20"/>
      <c r="AA31" s="20"/>
      <c r="AB31" s="20"/>
      <c r="AC31" s="20"/>
    </row>
    <row r="32">
      <c r="A32" s="24" t="s">
        <v>208</v>
      </c>
      <c r="B32" s="24" t="s">
        <v>209</v>
      </c>
      <c r="C32" s="24" t="s">
        <v>77</v>
      </c>
      <c r="D32" s="69" t="s">
        <v>210</v>
      </c>
      <c r="E32" s="69" t="s">
        <v>211</v>
      </c>
      <c r="F32" s="24" t="s">
        <v>213</v>
      </c>
      <c r="G32" s="24">
        <v>2023.0</v>
      </c>
      <c r="H32" s="14" t="s">
        <v>344</v>
      </c>
      <c r="I32" s="14" t="s">
        <v>383</v>
      </c>
      <c r="J32" s="14" t="s">
        <v>384</v>
      </c>
      <c r="K32" s="14" t="s">
        <v>69</v>
      </c>
      <c r="L32" s="64" t="s">
        <v>401</v>
      </c>
      <c r="M32" s="78" t="s">
        <v>403</v>
      </c>
      <c r="N32" s="78" t="s">
        <v>69</v>
      </c>
      <c r="O32" s="80" t="s">
        <v>408</v>
      </c>
      <c r="P32" s="79" t="s">
        <v>69</v>
      </c>
      <c r="Q32" s="79" t="s">
        <v>409</v>
      </c>
      <c r="R32" s="79" t="s">
        <v>413</v>
      </c>
      <c r="S32" s="20"/>
      <c r="T32" s="20"/>
      <c r="U32" s="20"/>
      <c r="V32" s="20"/>
      <c r="W32" s="20"/>
      <c r="X32" s="20"/>
      <c r="Y32" s="20"/>
      <c r="Z32" s="20"/>
      <c r="AA32" s="20"/>
      <c r="AB32" s="20"/>
      <c r="AC32" s="20"/>
    </row>
    <row r="33">
      <c r="A33" s="76" t="s">
        <v>285</v>
      </c>
      <c r="B33" s="76" t="s">
        <v>286</v>
      </c>
      <c r="C33" s="71" t="s">
        <v>51</v>
      </c>
      <c r="D33" s="71" t="s">
        <v>287</v>
      </c>
      <c r="E33" s="71" t="s">
        <v>288</v>
      </c>
      <c r="F33" s="71" t="s">
        <v>289</v>
      </c>
      <c r="G33" s="71">
        <v>2015.0</v>
      </c>
      <c r="H33" s="14" t="s">
        <v>81</v>
      </c>
      <c r="I33" s="14" t="s">
        <v>69</v>
      </c>
      <c r="J33" s="14" t="s">
        <v>81</v>
      </c>
      <c r="K33" s="14" t="s">
        <v>69</v>
      </c>
      <c r="L33" s="14" t="s">
        <v>419</v>
      </c>
      <c r="M33" s="16" t="s">
        <v>363</v>
      </c>
      <c r="N33" s="16" t="s">
        <v>69</v>
      </c>
      <c r="O33" s="16" t="s">
        <v>420</v>
      </c>
      <c r="P33" s="19" t="s">
        <v>69</v>
      </c>
      <c r="Q33" s="19" t="s">
        <v>421</v>
      </c>
      <c r="R33" s="19" t="s">
        <v>423</v>
      </c>
      <c r="S33" s="20"/>
      <c r="T33" s="20"/>
      <c r="U33" s="20"/>
      <c r="V33" s="20"/>
      <c r="W33" s="20"/>
      <c r="X33" s="20"/>
      <c r="Y33" s="20"/>
      <c r="Z33" s="20"/>
      <c r="AA33" s="20"/>
      <c r="AB33" s="20"/>
      <c r="AC33" s="20"/>
    </row>
    <row r="34">
      <c r="A34" s="24" t="s">
        <v>219</v>
      </c>
      <c r="B34" s="24" t="s">
        <v>220</v>
      </c>
      <c r="C34" s="24" t="s">
        <v>77</v>
      </c>
      <c r="D34" s="69" t="s">
        <v>221</v>
      </c>
      <c r="E34" s="69" t="s">
        <v>222</v>
      </c>
      <c r="F34" s="24" t="s">
        <v>223</v>
      </c>
      <c r="G34" s="24">
        <v>2017.0</v>
      </c>
      <c r="H34" s="14" t="s">
        <v>431</v>
      </c>
      <c r="I34" s="14" t="s">
        <v>82</v>
      </c>
      <c r="J34" s="14" t="s">
        <v>433</v>
      </c>
      <c r="K34" s="14" t="s">
        <v>69</v>
      </c>
      <c r="L34" s="64" t="s">
        <v>436</v>
      </c>
      <c r="M34" s="78" t="s">
        <v>363</v>
      </c>
      <c r="N34" s="78" t="s">
        <v>69</v>
      </c>
      <c r="O34" s="78" t="s">
        <v>437</v>
      </c>
      <c r="P34" s="79" t="s">
        <v>69</v>
      </c>
      <c r="Q34" s="79" t="s">
        <v>421</v>
      </c>
      <c r="R34" s="79" t="s">
        <v>438</v>
      </c>
      <c r="S34" s="20"/>
      <c r="T34" s="20"/>
      <c r="U34" s="20"/>
      <c r="V34" s="20"/>
      <c r="W34" s="20"/>
      <c r="X34" s="20"/>
      <c r="Y34" s="20"/>
      <c r="Z34" s="20"/>
      <c r="AA34" s="20"/>
      <c r="AB34" s="20"/>
      <c r="AC34" s="20"/>
    </row>
    <row r="35">
      <c r="A35" s="76" t="s">
        <v>304</v>
      </c>
      <c r="B35" s="76" t="s">
        <v>306</v>
      </c>
      <c r="C35" s="76" t="s">
        <v>51</v>
      </c>
      <c r="D35" s="81" t="s">
        <v>221</v>
      </c>
      <c r="E35" s="82" t="s">
        <v>309</v>
      </c>
      <c r="F35" s="76" t="s">
        <v>310</v>
      </c>
      <c r="G35" s="76">
        <v>2013.0</v>
      </c>
      <c r="H35" s="14" t="s">
        <v>69</v>
      </c>
      <c r="I35" s="14" t="s">
        <v>69</v>
      </c>
      <c r="J35" s="14" t="s">
        <v>69</v>
      </c>
      <c r="K35" s="14" t="s">
        <v>69</v>
      </c>
      <c r="L35" s="14" t="s">
        <v>444</v>
      </c>
      <c r="M35" s="16" t="s">
        <v>363</v>
      </c>
      <c r="N35" s="16" t="s">
        <v>69</v>
      </c>
      <c r="O35" s="16" t="s">
        <v>445</v>
      </c>
      <c r="P35" s="19" t="s">
        <v>69</v>
      </c>
      <c r="Q35" s="19" t="s">
        <v>155</v>
      </c>
      <c r="R35" s="19" t="s">
        <v>446</v>
      </c>
      <c r="S35" s="20"/>
      <c r="T35" s="20"/>
      <c r="U35" s="20"/>
      <c r="V35" s="20"/>
      <c r="W35" s="20"/>
      <c r="X35" s="20"/>
      <c r="Y35" s="20"/>
      <c r="Z35" s="20"/>
      <c r="AA35" s="20"/>
      <c r="AB35" s="20"/>
      <c r="AC35" s="20"/>
    </row>
    <row r="36">
      <c r="A36" s="76" t="s">
        <v>386</v>
      </c>
      <c r="B36" s="76" t="s">
        <v>388</v>
      </c>
      <c r="C36" s="71" t="s">
        <v>51</v>
      </c>
      <c r="D36" s="71" t="s">
        <v>390</v>
      </c>
      <c r="E36" s="71" t="s">
        <v>392</v>
      </c>
      <c r="F36" s="71" t="s">
        <v>393</v>
      </c>
      <c r="G36" s="71">
        <v>2009.0</v>
      </c>
      <c r="H36" s="14" t="s">
        <v>69</v>
      </c>
      <c r="I36" s="14" t="s">
        <v>69</v>
      </c>
      <c r="J36" s="14" t="s">
        <v>69</v>
      </c>
      <c r="K36" s="14" t="s">
        <v>69</v>
      </c>
      <c r="L36" s="64" t="s">
        <v>453</v>
      </c>
      <c r="M36" s="16" t="s">
        <v>69</v>
      </c>
      <c r="N36" s="16" t="s">
        <v>69</v>
      </c>
      <c r="O36" s="16" t="s">
        <v>454</v>
      </c>
      <c r="P36" s="19" t="s">
        <v>337</v>
      </c>
      <c r="Q36" s="19" t="s">
        <v>69</v>
      </c>
      <c r="R36" s="19" t="s">
        <v>458</v>
      </c>
      <c r="S36" s="20"/>
      <c r="T36" s="20"/>
      <c r="U36" s="20"/>
      <c r="V36" s="20"/>
      <c r="W36" s="20"/>
      <c r="X36" s="20"/>
      <c r="Y36" s="20"/>
      <c r="Z36" s="20"/>
      <c r="AA36" s="20"/>
      <c r="AB36" s="20"/>
      <c r="AC36" s="20"/>
    </row>
    <row r="37">
      <c r="A37" s="76" t="s">
        <v>395</v>
      </c>
      <c r="B37" s="76" t="s">
        <v>396</v>
      </c>
      <c r="C37" s="71" t="s">
        <v>51</v>
      </c>
      <c r="D37" s="71" t="s">
        <v>397</v>
      </c>
      <c r="E37" s="71" t="s">
        <v>398</v>
      </c>
      <c r="F37" s="71" t="s">
        <v>399</v>
      </c>
      <c r="G37" s="71">
        <v>2014.0</v>
      </c>
      <c r="H37" s="14" t="s">
        <v>106</v>
      </c>
      <c r="I37" s="14" t="s">
        <v>82</v>
      </c>
      <c r="J37" s="14" t="s">
        <v>106</v>
      </c>
      <c r="K37" s="14" t="s">
        <v>69</v>
      </c>
      <c r="L37" s="14" t="s">
        <v>467</v>
      </c>
      <c r="M37" s="16" t="s">
        <v>106</v>
      </c>
      <c r="N37" s="16" t="s">
        <v>86</v>
      </c>
      <c r="O37" s="16" t="s">
        <v>468</v>
      </c>
      <c r="P37" s="19" t="s">
        <v>69</v>
      </c>
      <c r="Q37" s="19" t="s">
        <v>69</v>
      </c>
      <c r="R37" s="19" t="s">
        <v>469</v>
      </c>
      <c r="S37" s="20"/>
      <c r="T37" s="20"/>
      <c r="U37" s="20"/>
      <c r="V37" s="20"/>
      <c r="W37" s="20"/>
      <c r="X37" s="20"/>
      <c r="Y37" s="20"/>
      <c r="Z37" s="20"/>
      <c r="AA37" s="20"/>
      <c r="AB37" s="20"/>
      <c r="AC37" s="20"/>
    </row>
    <row r="38" hidden="1">
      <c r="A38" s="24" t="s">
        <v>227</v>
      </c>
      <c r="B38" s="24" t="s">
        <v>410</v>
      </c>
      <c r="C38" s="48" t="s">
        <v>51</v>
      </c>
      <c r="D38" s="48" t="s">
        <v>411</v>
      </c>
      <c r="E38" s="48" t="s">
        <v>412</v>
      </c>
      <c r="F38" s="48" t="s">
        <v>102</v>
      </c>
      <c r="G38" s="48">
        <v>2010.0</v>
      </c>
      <c r="H38" s="14"/>
      <c r="I38" s="14"/>
      <c r="J38" s="14"/>
      <c r="K38" s="14"/>
      <c r="L38" s="14" t="s">
        <v>475</v>
      </c>
      <c r="M38" s="16"/>
      <c r="N38" s="16"/>
      <c r="O38" s="16"/>
      <c r="P38" s="19"/>
      <c r="Q38" s="19"/>
      <c r="R38" s="19"/>
      <c r="S38" s="20"/>
      <c r="T38" s="20"/>
      <c r="U38" s="20"/>
      <c r="V38" s="20"/>
      <c r="W38" s="20"/>
      <c r="X38" s="20"/>
      <c r="Y38" s="20"/>
      <c r="Z38" s="20"/>
      <c r="AA38" s="20"/>
      <c r="AB38" s="20"/>
      <c r="AC38" s="20"/>
    </row>
    <row r="39">
      <c r="A39" s="24" t="s">
        <v>227</v>
      </c>
      <c r="B39" s="24" t="s">
        <v>228</v>
      </c>
      <c r="C39" s="25" t="s">
        <v>77</v>
      </c>
      <c r="D39" s="25" t="s">
        <v>229</v>
      </c>
      <c r="E39" s="25" t="s">
        <v>231</v>
      </c>
      <c r="F39" s="25" t="s">
        <v>232</v>
      </c>
      <c r="G39" s="25">
        <v>2013.0</v>
      </c>
      <c r="H39" s="14" t="s">
        <v>344</v>
      </c>
      <c r="I39" s="14" t="s">
        <v>481</v>
      </c>
      <c r="J39" s="14" t="s">
        <v>344</v>
      </c>
      <c r="K39" s="14" t="s">
        <v>69</v>
      </c>
      <c r="L39" s="64" t="s">
        <v>486</v>
      </c>
      <c r="M39" s="16" t="s">
        <v>487</v>
      </c>
      <c r="N39" s="16" t="s">
        <v>86</v>
      </c>
      <c r="O39" s="16" t="s">
        <v>490</v>
      </c>
      <c r="P39" s="19" t="s">
        <v>491</v>
      </c>
      <c r="Q39" s="19" t="s">
        <v>69</v>
      </c>
      <c r="R39" s="19" t="s">
        <v>501</v>
      </c>
      <c r="S39" s="20"/>
      <c r="T39" s="20"/>
      <c r="U39" s="20"/>
      <c r="V39" s="20"/>
      <c r="W39" s="20"/>
      <c r="X39" s="20"/>
      <c r="Y39" s="20"/>
      <c r="Z39" s="20"/>
      <c r="AA39" s="20"/>
      <c r="AB39" s="20"/>
      <c r="AC39" s="20"/>
    </row>
    <row r="40">
      <c r="A40" s="76" t="s">
        <v>429</v>
      </c>
      <c r="B40" s="76" t="s">
        <v>430</v>
      </c>
      <c r="C40" s="71" t="s">
        <v>51</v>
      </c>
      <c r="D40" s="71" t="s">
        <v>432</v>
      </c>
      <c r="E40" s="71" t="s">
        <v>434</v>
      </c>
      <c r="F40" s="71" t="s">
        <v>435</v>
      </c>
      <c r="G40" s="71">
        <v>2011.0</v>
      </c>
      <c r="H40" s="14" t="s">
        <v>106</v>
      </c>
      <c r="I40" s="14" t="s">
        <v>82</v>
      </c>
      <c r="J40" s="14" t="s">
        <v>106</v>
      </c>
      <c r="K40" s="14" t="s">
        <v>69</v>
      </c>
      <c r="L40" s="14" t="s">
        <v>502</v>
      </c>
      <c r="M40" s="16" t="s">
        <v>69</v>
      </c>
      <c r="N40" s="16" t="s">
        <v>69</v>
      </c>
      <c r="O40" s="16" t="s">
        <v>503</v>
      </c>
      <c r="P40" s="19" t="s">
        <v>69</v>
      </c>
      <c r="Q40" s="19" t="s">
        <v>155</v>
      </c>
      <c r="R40" s="19" t="s">
        <v>504</v>
      </c>
      <c r="S40" s="20"/>
      <c r="T40" s="20"/>
      <c r="U40" s="20"/>
      <c r="V40" s="20"/>
      <c r="W40" s="20"/>
      <c r="X40" s="20"/>
      <c r="Y40" s="20"/>
      <c r="Z40" s="20"/>
      <c r="AA40" s="20"/>
      <c r="AB40" s="20"/>
      <c r="AC40" s="20"/>
    </row>
    <row r="41">
      <c r="A41" s="24" t="s">
        <v>240</v>
      </c>
      <c r="B41" s="24" t="s">
        <v>241</v>
      </c>
      <c r="C41" s="25" t="s">
        <v>77</v>
      </c>
      <c r="D41" s="25" t="s">
        <v>242</v>
      </c>
      <c r="E41" s="25" t="s">
        <v>243</v>
      </c>
      <c r="F41" s="25" t="s">
        <v>132</v>
      </c>
      <c r="G41" s="25">
        <v>2014.0</v>
      </c>
      <c r="H41" s="14" t="s">
        <v>509</v>
      </c>
      <c r="I41" s="14" t="s">
        <v>82</v>
      </c>
      <c r="J41" s="14" t="s">
        <v>511</v>
      </c>
      <c r="K41" s="14" t="s">
        <v>86</v>
      </c>
      <c r="L41" s="64" t="s">
        <v>513</v>
      </c>
      <c r="M41" s="16" t="s">
        <v>514</v>
      </c>
      <c r="N41" s="16" t="s">
        <v>69</v>
      </c>
      <c r="O41" s="16" t="s">
        <v>524</v>
      </c>
      <c r="P41" s="19" t="s">
        <v>69</v>
      </c>
      <c r="Q41" s="19" t="s">
        <v>525</v>
      </c>
      <c r="R41" s="79" t="s">
        <v>526</v>
      </c>
      <c r="S41" s="20"/>
      <c r="T41" s="20"/>
      <c r="U41" s="20"/>
      <c r="V41" s="20"/>
      <c r="W41" s="20"/>
      <c r="X41" s="20"/>
      <c r="Y41" s="20"/>
      <c r="Z41" s="20"/>
      <c r="AA41" s="20"/>
      <c r="AB41" s="20"/>
      <c r="AC41" s="20"/>
    </row>
    <row r="42">
      <c r="A42" s="10" t="s">
        <v>251</v>
      </c>
      <c r="B42" s="10" t="s">
        <v>252</v>
      </c>
      <c r="C42" s="65" t="s">
        <v>77</v>
      </c>
      <c r="D42" s="65" t="s">
        <v>253</v>
      </c>
      <c r="E42" s="65" t="s">
        <v>254</v>
      </c>
      <c r="F42" s="65" t="s">
        <v>80</v>
      </c>
      <c r="G42" s="65">
        <v>2008.0</v>
      </c>
      <c r="H42" s="14" t="s">
        <v>81</v>
      </c>
      <c r="I42" s="14" t="s">
        <v>82</v>
      </c>
      <c r="J42" s="14" t="s">
        <v>81</v>
      </c>
      <c r="K42" s="14" t="s">
        <v>69</v>
      </c>
      <c r="L42" s="14" t="s">
        <v>533</v>
      </c>
      <c r="M42" s="16" t="s">
        <v>534</v>
      </c>
      <c r="N42" s="16" t="s">
        <v>69</v>
      </c>
      <c r="O42" s="16" t="s">
        <v>577</v>
      </c>
      <c r="P42" s="19" t="s">
        <v>73</v>
      </c>
      <c r="Q42" s="19" t="s">
        <v>578</v>
      </c>
      <c r="R42" s="19" t="s">
        <v>584</v>
      </c>
      <c r="S42" s="20"/>
      <c r="T42" s="20"/>
      <c r="U42" s="20"/>
      <c r="V42" s="20"/>
      <c r="W42" s="20"/>
      <c r="X42" s="20"/>
      <c r="Y42" s="20"/>
      <c r="Z42" s="20"/>
      <c r="AA42" s="20"/>
      <c r="AB42" s="20"/>
      <c r="AC42" s="20"/>
    </row>
    <row r="43">
      <c r="A43" s="76" t="s">
        <v>455</v>
      </c>
      <c r="B43" s="76" t="s">
        <v>456</v>
      </c>
      <c r="C43" s="71" t="s">
        <v>77</v>
      </c>
      <c r="D43" s="71" t="s">
        <v>460</v>
      </c>
      <c r="E43" s="71" t="s">
        <v>462</v>
      </c>
      <c r="F43" s="71" t="s">
        <v>463</v>
      </c>
      <c r="G43" s="71">
        <v>2000.0</v>
      </c>
      <c r="H43" s="84" t="s">
        <v>590</v>
      </c>
      <c r="I43" s="84" t="s">
        <v>69</v>
      </c>
      <c r="J43" s="84" t="s">
        <v>590</v>
      </c>
      <c r="K43" s="84" t="s">
        <v>69</v>
      </c>
      <c r="L43" s="64" t="s">
        <v>591</v>
      </c>
      <c r="M43" s="16" t="s">
        <v>69</v>
      </c>
      <c r="N43" s="16" t="s">
        <v>69</v>
      </c>
      <c r="O43" s="16" t="s">
        <v>469</v>
      </c>
      <c r="P43" s="19" t="s">
        <v>69</v>
      </c>
      <c r="Q43" s="19" t="s">
        <v>69</v>
      </c>
      <c r="R43" s="19" t="s">
        <v>469</v>
      </c>
      <c r="S43" s="20"/>
      <c r="T43" s="20"/>
      <c r="U43" s="20"/>
      <c r="V43" s="20"/>
      <c r="W43" s="20"/>
      <c r="X43" s="20"/>
      <c r="Y43" s="20"/>
      <c r="Z43" s="20"/>
      <c r="AA43" s="20"/>
      <c r="AB43" s="20"/>
      <c r="AC43" s="20"/>
    </row>
    <row r="44">
      <c r="A44" s="10" t="s">
        <v>258</v>
      </c>
      <c r="B44" s="10" t="s">
        <v>259</v>
      </c>
      <c r="C44" s="65" t="s">
        <v>77</v>
      </c>
      <c r="D44" s="65" t="s">
        <v>260</v>
      </c>
      <c r="E44" s="65" t="s">
        <v>261</v>
      </c>
      <c r="F44" s="65" t="s">
        <v>262</v>
      </c>
      <c r="G44" s="65">
        <v>2005.0</v>
      </c>
      <c r="H44" s="84" t="s">
        <v>433</v>
      </c>
      <c r="I44" s="85" t="s">
        <v>601</v>
      </c>
      <c r="J44" s="84" t="s">
        <v>433</v>
      </c>
      <c r="K44" s="84" t="s">
        <v>69</v>
      </c>
      <c r="L44" s="55" t="s">
        <v>608</v>
      </c>
      <c r="M44" s="16" t="s">
        <v>403</v>
      </c>
      <c r="N44" s="16" t="s">
        <v>69</v>
      </c>
      <c r="O44" s="16" t="s">
        <v>610</v>
      </c>
      <c r="P44" s="86" t="s">
        <v>69</v>
      </c>
      <c r="Q44" s="86" t="s">
        <v>613</v>
      </c>
      <c r="R44" s="86" t="s">
        <v>614</v>
      </c>
      <c r="S44" s="20"/>
      <c r="T44" s="20"/>
      <c r="U44" s="20"/>
      <c r="V44" s="20"/>
      <c r="W44" s="20"/>
      <c r="X44" s="20"/>
      <c r="Y44" s="20"/>
      <c r="Z44" s="20"/>
      <c r="AA44" s="20"/>
      <c r="AB44" s="20"/>
      <c r="AC44" s="20"/>
    </row>
    <row r="45" hidden="1">
      <c r="A45" s="10"/>
      <c r="B45" s="10" t="s">
        <v>477</v>
      </c>
      <c r="C45" s="66" t="s">
        <v>51</v>
      </c>
      <c r="D45" s="66" t="s">
        <v>478</v>
      </c>
      <c r="E45" s="66" t="s">
        <v>479</v>
      </c>
      <c r="F45" s="66" t="s">
        <v>480</v>
      </c>
      <c r="G45" s="66">
        <v>2003.0</v>
      </c>
      <c r="H45" s="84"/>
      <c r="I45" s="84"/>
      <c r="J45" s="84"/>
      <c r="K45" s="84"/>
      <c r="L45" s="64" t="s">
        <v>615</v>
      </c>
      <c r="M45" s="16"/>
      <c r="N45" s="16"/>
      <c r="O45" s="16"/>
      <c r="P45" s="19"/>
      <c r="Q45" s="19"/>
      <c r="R45" s="19"/>
      <c r="S45" s="20"/>
      <c r="T45" s="20"/>
      <c r="U45" s="20"/>
      <c r="V45" s="20"/>
      <c r="W45" s="20"/>
      <c r="X45" s="20"/>
      <c r="Y45" s="20"/>
      <c r="Z45" s="20"/>
      <c r="AA45" s="20"/>
      <c r="AB45" s="20"/>
      <c r="AC45" s="20"/>
    </row>
    <row r="46">
      <c r="A46" s="24" t="s">
        <v>269</v>
      </c>
      <c r="B46" s="24" t="s">
        <v>270</v>
      </c>
      <c r="C46" s="25" t="s">
        <v>51</v>
      </c>
      <c r="D46" s="25" t="s">
        <v>272</v>
      </c>
      <c r="E46" s="25" t="s">
        <v>273</v>
      </c>
      <c r="F46" s="25" t="s">
        <v>275</v>
      </c>
      <c r="G46" s="25">
        <v>2007.0</v>
      </c>
      <c r="H46" s="14" t="s">
        <v>357</v>
      </c>
      <c r="I46" s="14" t="s">
        <v>82</v>
      </c>
      <c r="J46" s="14" t="s">
        <v>357</v>
      </c>
      <c r="K46" s="14" t="s">
        <v>69</v>
      </c>
      <c r="L46" s="64" t="s">
        <v>626</v>
      </c>
      <c r="M46" s="16" t="s">
        <v>403</v>
      </c>
      <c r="N46" s="16" t="s">
        <v>69</v>
      </c>
      <c r="O46" s="16" t="s">
        <v>627</v>
      </c>
      <c r="P46" s="19" t="s">
        <v>69</v>
      </c>
      <c r="Q46" s="19" t="s">
        <v>628</v>
      </c>
      <c r="R46" s="19" t="s">
        <v>629</v>
      </c>
      <c r="S46" s="20"/>
      <c r="T46" s="20"/>
      <c r="U46" s="20"/>
      <c r="V46" s="20"/>
      <c r="W46" s="20"/>
      <c r="X46" s="20"/>
      <c r="Y46" s="20"/>
      <c r="Z46" s="20"/>
      <c r="AA46" s="20"/>
      <c r="AB46" s="20"/>
      <c r="AC46" s="20"/>
    </row>
    <row r="47" hidden="1">
      <c r="A47" s="10" t="s">
        <v>281</v>
      </c>
      <c r="B47" s="10" t="s">
        <v>492</v>
      </c>
      <c r="C47" s="65" t="s">
        <v>77</v>
      </c>
      <c r="D47" s="65" t="s">
        <v>283</v>
      </c>
      <c r="E47" s="65" t="s">
        <v>493</v>
      </c>
      <c r="F47" s="65" t="s">
        <v>494</v>
      </c>
      <c r="G47" s="65">
        <v>2005.0</v>
      </c>
      <c r="H47" s="14"/>
      <c r="I47" s="14"/>
      <c r="J47" s="14"/>
      <c r="K47" s="14"/>
      <c r="L47" s="64" t="s">
        <v>636</v>
      </c>
      <c r="M47" s="16"/>
      <c r="N47" s="16"/>
      <c r="O47" s="16"/>
      <c r="P47" s="19"/>
      <c r="Q47" s="19"/>
      <c r="R47" s="19"/>
      <c r="S47" s="20"/>
      <c r="T47" s="20"/>
      <c r="U47" s="20"/>
      <c r="V47" s="20"/>
      <c r="W47" s="20"/>
      <c r="X47" s="20"/>
      <c r="Y47" s="20"/>
      <c r="Z47" s="20"/>
      <c r="AA47" s="20"/>
      <c r="AB47" s="20"/>
      <c r="AC47" s="20"/>
    </row>
    <row r="48">
      <c r="A48" s="10" t="s">
        <v>281</v>
      </c>
      <c r="B48" s="10" t="s">
        <v>282</v>
      </c>
      <c r="C48" s="65" t="s">
        <v>77</v>
      </c>
      <c r="D48" s="65" t="s">
        <v>283</v>
      </c>
      <c r="E48" s="65" t="s">
        <v>284</v>
      </c>
      <c r="F48" s="65" t="s">
        <v>132</v>
      </c>
      <c r="G48" s="65">
        <v>2005.0</v>
      </c>
      <c r="H48" s="14" t="s">
        <v>81</v>
      </c>
      <c r="I48" s="14" t="s">
        <v>82</v>
      </c>
      <c r="J48" s="14" t="s">
        <v>81</v>
      </c>
      <c r="K48" s="14" t="s">
        <v>637</v>
      </c>
      <c r="L48" s="64" t="s">
        <v>644</v>
      </c>
      <c r="M48" s="16" t="s">
        <v>81</v>
      </c>
      <c r="N48" s="16" t="s">
        <v>645</v>
      </c>
      <c r="O48" s="16" t="s">
        <v>652</v>
      </c>
      <c r="P48" s="19" t="s">
        <v>69</v>
      </c>
      <c r="Q48" s="19" t="s">
        <v>69</v>
      </c>
      <c r="R48" s="19" t="s">
        <v>469</v>
      </c>
      <c r="S48" s="20"/>
      <c r="T48" s="20"/>
      <c r="U48" s="20"/>
      <c r="V48" s="20"/>
      <c r="W48" s="20"/>
      <c r="X48" s="20"/>
      <c r="Y48" s="20"/>
      <c r="Z48" s="20"/>
      <c r="AA48" s="20"/>
      <c r="AB48" s="20"/>
      <c r="AC48" s="20"/>
    </row>
    <row r="49">
      <c r="A49" s="24" t="s">
        <v>291</v>
      </c>
      <c r="B49" s="24" t="s">
        <v>292</v>
      </c>
      <c r="C49" s="25" t="s">
        <v>77</v>
      </c>
      <c r="D49" s="25" t="s">
        <v>293</v>
      </c>
      <c r="E49" s="25" t="s">
        <v>294</v>
      </c>
      <c r="F49" s="25" t="s">
        <v>296</v>
      </c>
      <c r="G49" s="25">
        <v>2006.0</v>
      </c>
      <c r="H49" s="14" t="s">
        <v>357</v>
      </c>
      <c r="I49" s="14" t="s">
        <v>69</v>
      </c>
      <c r="J49" s="14" t="s">
        <v>357</v>
      </c>
      <c r="K49" s="14" t="s">
        <v>86</v>
      </c>
      <c r="L49" s="14" t="s">
        <v>656</v>
      </c>
      <c r="M49" s="16" t="s">
        <v>658</v>
      </c>
      <c r="N49" s="16" t="s">
        <v>69</v>
      </c>
      <c r="O49" s="16" t="s">
        <v>662</v>
      </c>
      <c r="P49" s="19" t="s">
        <v>69</v>
      </c>
      <c r="Q49" s="19" t="s">
        <v>155</v>
      </c>
      <c r="R49" s="19" t="s">
        <v>667</v>
      </c>
      <c r="S49" s="20"/>
      <c r="T49" s="20"/>
      <c r="U49" s="20"/>
      <c r="V49" s="20"/>
      <c r="W49" s="20"/>
      <c r="X49" s="20"/>
      <c r="Y49" s="20"/>
      <c r="Z49" s="20"/>
      <c r="AA49" s="20"/>
      <c r="AB49" s="20"/>
      <c r="AC49" s="20"/>
    </row>
    <row r="50" hidden="1">
      <c r="A50" s="10" t="s">
        <v>300</v>
      </c>
      <c r="B50" s="10" t="s">
        <v>515</v>
      </c>
      <c r="C50" s="66" t="s">
        <v>77</v>
      </c>
      <c r="D50" s="66" t="s">
        <v>517</v>
      </c>
      <c r="E50" s="66" t="s">
        <v>519</v>
      </c>
      <c r="F50" s="66" t="s">
        <v>191</v>
      </c>
      <c r="G50" s="66">
        <v>2007.0</v>
      </c>
      <c r="H50" s="84"/>
      <c r="I50" s="84"/>
      <c r="J50" s="84"/>
      <c r="K50" s="84"/>
      <c r="L50" s="14" t="s">
        <v>674</v>
      </c>
      <c r="M50" s="16"/>
      <c r="N50" s="16"/>
      <c r="O50" s="16"/>
      <c r="P50" s="19"/>
      <c r="Q50" s="19"/>
      <c r="R50" s="19"/>
      <c r="S50" s="20"/>
      <c r="T50" s="20"/>
      <c r="U50" s="20"/>
      <c r="V50" s="20"/>
      <c r="W50" s="20"/>
      <c r="X50" s="20"/>
      <c r="Y50" s="20"/>
      <c r="Z50" s="20"/>
      <c r="AA50" s="20"/>
      <c r="AB50" s="20"/>
      <c r="AC50" s="20"/>
    </row>
    <row r="51">
      <c r="A51" s="10" t="s">
        <v>300</v>
      </c>
      <c r="B51" s="10" t="s">
        <v>302</v>
      </c>
      <c r="C51" s="65" t="s">
        <v>77</v>
      </c>
      <c r="D51" s="65" t="s">
        <v>303</v>
      </c>
      <c r="E51" s="65" t="s">
        <v>305</v>
      </c>
      <c r="F51" s="65" t="s">
        <v>232</v>
      </c>
      <c r="G51" s="65">
        <v>2008.0</v>
      </c>
      <c r="H51" s="14" t="s">
        <v>678</v>
      </c>
      <c r="I51" s="14" t="s">
        <v>82</v>
      </c>
      <c r="J51" s="14" t="s">
        <v>678</v>
      </c>
      <c r="K51" s="14" t="s">
        <v>69</v>
      </c>
      <c r="L51" s="64" t="s">
        <v>681</v>
      </c>
      <c r="M51" s="78" t="s">
        <v>682</v>
      </c>
      <c r="N51" s="78" t="s">
        <v>69</v>
      </c>
      <c r="O51" s="78" t="s">
        <v>688</v>
      </c>
      <c r="P51" s="79" t="s">
        <v>92</v>
      </c>
      <c r="Q51" s="79" t="s">
        <v>689</v>
      </c>
      <c r="R51" s="79" t="s">
        <v>690</v>
      </c>
      <c r="S51" s="20"/>
      <c r="T51" s="20"/>
      <c r="U51" s="20"/>
      <c r="V51" s="20"/>
      <c r="W51" s="20"/>
      <c r="X51" s="20"/>
      <c r="Y51" s="20"/>
      <c r="Z51" s="20"/>
      <c r="AA51" s="20"/>
      <c r="AB51" s="20"/>
      <c r="AC51" s="20"/>
    </row>
    <row r="52" hidden="1">
      <c r="A52" s="10"/>
      <c r="B52" s="10" t="s">
        <v>535</v>
      </c>
      <c r="C52" s="10" t="s">
        <v>51</v>
      </c>
      <c r="D52" s="10" t="s">
        <v>536</v>
      </c>
      <c r="E52" s="10" t="s">
        <v>537</v>
      </c>
      <c r="F52" s="10" t="s">
        <v>538</v>
      </c>
      <c r="G52" s="10">
        <v>2005.0</v>
      </c>
      <c r="H52" s="84"/>
      <c r="I52" s="84"/>
      <c r="J52" s="84"/>
      <c r="K52" s="84"/>
      <c r="L52" s="64" t="s">
        <v>691</v>
      </c>
      <c r="M52" s="16"/>
      <c r="N52" s="16"/>
      <c r="O52" s="16"/>
      <c r="P52" s="19"/>
      <c r="Q52" s="19"/>
      <c r="R52" s="19"/>
      <c r="S52" s="20"/>
      <c r="T52" s="20"/>
      <c r="U52" s="20"/>
      <c r="V52" s="20"/>
      <c r="W52" s="20"/>
      <c r="X52" s="20"/>
      <c r="Y52" s="20"/>
      <c r="Z52" s="20"/>
      <c r="AA52" s="20"/>
      <c r="AB52" s="20"/>
      <c r="AC52" s="20"/>
    </row>
    <row r="53" hidden="1">
      <c r="A53" s="10"/>
      <c r="B53" s="10" t="s">
        <v>544</v>
      </c>
      <c r="C53" s="10" t="s">
        <v>51</v>
      </c>
      <c r="D53" s="10" t="s">
        <v>545</v>
      </c>
      <c r="E53" s="10" t="s">
        <v>546</v>
      </c>
      <c r="F53" s="10" t="s">
        <v>102</v>
      </c>
      <c r="G53" s="10">
        <v>2007.0</v>
      </c>
      <c r="H53" s="14"/>
      <c r="I53" s="14"/>
      <c r="J53" s="14"/>
      <c r="K53" s="14"/>
      <c r="L53" s="64" t="s">
        <v>692</v>
      </c>
      <c r="M53" s="16"/>
      <c r="N53" s="16"/>
      <c r="O53" s="16"/>
      <c r="P53" s="19"/>
      <c r="Q53" s="19"/>
      <c r="R53" s="19"/>
      <c r="S53" s="20"/>
      <c r="T53" s="20"/>
      <c r="U53" s="20"/>
      <c r="V53" s="20"/>
      <c r="W53" s="20"/>
      <c r="X53" s="20"/>
      <c r="Y53" s="20"/>
      <c r="Z53" s="20"/>
      <c r="AA53" s="20"/>
      <c r="AB53" s="20"/>
      <c r="AC53" s="20"/>
    </row>
    <row r="54">
      <c r="A54" s="24" t="s">
        <v>314</v>
      </c>
      <c r="B54" s="24" t="s">
        <v>315</v>
      </c>
      <c r="C54" s="24" t="s">
        <v>77</v>
      </c>
      <c r="D54" s="24" t="s">
        <v>316</v>
      </c>
      <c r="E54" s="24" t="s">
        <v>317</v>
      </c>
      <c r="F54" s="24" t="s">
        <v>318</v>
      </c>
      <c r="G54" s="24">
        <v>2002.0</v>
      </c>
      <c r="H54" s="84" t="s">
        <v>433</v>
      </c>
      <c r="I54" s="84" t="s">
        <v>69</v>
      </c>
      <c r="J54" s="84" t="s">
        <v>433</v>
      </c>
      <c r="K54" s="84" t="s">
        <v>69</v>
      </c>
      <c r="L54" s="64" t="s">
        <v>693</v>
      </c>
      <c r="M54" s="16" t="s">
        <v>694</v>
      </c>
      <c r="N54" s="16" t="s">
        <v>86</v>
      </c>
      <c r="O54" s="16" t="s">
        <v>695</v>
      </c>
      <c r="P54" s="19" t="s">
        <v>73</v>
      </c>
      <c r="Q54" s="19" t="s">
        <v>155</v>
      </c>
      <c r="R54" s="19" t="s">
        <v>696</v>
      </c>
      <c r="S54" s="20"/>
      <c r="T54" s="20"/>
      <c r="U54" s="20"/>
      <c r="V54" s="20"/>
      <c r="W54" s="20"/>
      <c r="X54" s="20"/>
      <c r="Y54" s="20"/>
      <c r="Z54" s="20"/>
      <c r="AA54" s="20"/>
      <c r="AB54" s="20"/>
      <c r="AC54" s="20"/>
    </row>
    <row r="55">
      <c r="A55" s="10" t="s">
        <v>322</v>
      </c>
      <c r="B55" s="10" t="s">
        <v>323</v>
      </c>
      <c r="C55" s="65" t="s">
        <v>51</v>
      </c>
      <c r="D55" s="65" t="s">
        <v>324</v>
      </c>
      <c r="E55" s="65" t="s">
        <v>325</v>
      </c>
      <c r="F55" s="65" t="s">
        <v>127</v>
      </c>
      <c r="G55" s="65">
        <v>2004.0</v>
      </c>
      <c r="H55" s="14" t="s">
        <v>431</v>
      </c>
      <c r="I55" s="14" t="s">
        <v>702</v>
      </c>
      <c r="J55" s="14" t="s">
        <v>431</v>
      </c>
      <c r="K55" s="14" t="s">
        <v>69</v>
      </c>
      <c r="L55" s="64" t="s">
        <v>706</v>
      </c>
      <c r="M55" s="16" t="s">
        <v>708</v>
      </c>
      <c r="N55" s="16" t="s">
        <v>86</v>
      </c>
      <c r="O55" s="16" t="s">
        <v>710</v>
      </c>
      <c r="P55" s="19" t="s">
        <v>337</v>
      </c>
      <c r="Q55" s="19" t="s">
        <v>69</v>
      </c>
      <c r="R55" s="19" t="s">
        <v>715</v>
      </c>
      <c r="S55" s="20"/>
      <c r="T55" s="20"/>
      <c r="U55" s="20"/>
      <c r="V55" s="20"/>
      <c r="W55" s="20"/>
      <c r="X55" s="20"/>
      <c r="Y55" s="20"/>
      <c r="Z55" s="20"/>
      <c r="AA55" s="20"/>
      <c r="AB55" s="20"/>
      <c r="AC55" s="20"/>
    </row>
    <row r="56">
      <c r="A56" s="76" t="s">
        <v>556</v>
      </c>
      <c r="B56" s="76" t="s">
        <v>557</v>
      </c>
      <c r="C56" s="76" t="s">
        <v>77</v>
      </c>
      <c r="D56" s="82" t="s">
        <v>339</v>
      </c>
      <c r="E56" s="82" t="s">
        <v>561</v>
      </c>
      <c r="F56" s="76" t="s">
        <v>562</v>
      </c>
      <c r="G56" s="76">
        <v>2010.0</v>
      </c>
      <c r="H56" s="14" t="s">
        <v>716</v>
      </c>
      <c r="I56" s="14" t="s">
        <v>69</v>
      </c>
      <c r="J56" s="14" t="s">
        <v>717</v>
      </c>
      <c r="K56" s="14" t="s">
        <v>69</v>
      </c>
      <c r="L56" s="64" t="s">
        <v>718</v>
      </c>
      <c r="M56" s="16" t="s">
        <v>349</v>
      </c>
      <c r="N56" s="16" t="s">
        <v>69</v>
      </c>
      <c r="O56" s="16" t="s">
        <v>721</v>
      </c>
      <c r="P56" s="19" t="s">
        <v>69</v>
      </c>
      <c r="Q56" s="19" t="s">
        <v>69</v>
      </c>
      <c r="R56" s="19" t="s">
        <v>469</v>
      </c>
      <c r="S56" s="20"/>
      <c r="T56" s="20"/>
      <c r="U56" s="20"/>
      <c r="V56" s="20"/>
      <c r="W56" s="20"/>
      <c r="X56" s="20"/>
      <c r="Y56" s="20"/>
      <c r="Z56" s="20"/>
      <c r="AA56" s="20"/>
      <c r="AB56" s="20"/>
      <c r="AC56" s="20"/>
    </row>
    <row r="57" hidden="1">
      <c r="A57" s="49"/>
      <c r="B57" s="10" t="s">
        <v>563</v>
      </c>
      <c r="C57" s="66" t="s">
        <v>51</v>
      </c>
      <c r="D57" s="66" t="s">
        <v>564</v>
      </c>
      <c r="E57" s="66" t="s">
        <v>565</v>
      </c>
      <c r="F57" s="66" t="s">
        <v>566</v>
      </c>
      <c r="G57" s="66">
        <v>2007.0</v>
      </c>
      <c r="H57" s="14"/>
      <c r="I57" s="14"/>
      <c r="J57" s="14"/>
      <c r="K57" s="14"/>
      <c r="L57" s="64" t="s">
        <v>730</v>
      </c>
      <c r="M57" s="16"/>
      <c r="N57" s="16"/>
      <c r="O57" s="16"/>
      <c r="P57" s="19"/>
      <c r="Q57" s="19"/>
      <c r="R57" s="19"/>
      <c r="S57" s="20"/>
      <c r="T57" s="20"/>
      <c r="U57" s="20"/>
      <c r="V57" s="20"/>
      <c r="W57" s="20"/>
      <c r="X57" s="20"/>
      <c r="Y57" s="20"/>
      <c r="Z57" s="20"/>
      <c r="AA57" s="20"/>
      <c r="AB57" s="20"/>
      <c r="AC57" s="20"/>
    </row>
    <row r="58" hidden="1">
      <c r="A58" s="49"/>
      <c r="B58" s="10" t="s">
        <v>573</v>
      </c>
      <c r="C58" s="10" t="s">
        <v>77</v>
      </c>
      <c r="D58" s="10" t="s">
        <v>574</v>
      </c>
      <c r="E58" s="10" t="s">
        <v>575</v>
      </c>
      <c r="F58" s="10" t="s">
        <v>576</v>
      </c>
      <c r="G58" s="10">
        <v>2007.0</v>
      </c>
      <c r="H58" s="14"/>
      <c r="I58" s="14"/>
      <c r="J58" s="14"/>
      <c r="K58" s="14"/>
      <c r="L58" s="64" t="s">
        <v>746</v>
      </c>
      <c r="M58" s="16"/>
      <c r="N58" s="16"/>
      <c r="O58" s="16"/>
      <c r="P58" s="19"/>
      <c r="Q58" s="19"/>
      <c r="R58" s="19"/>
      <c r="S58" s="20"/>
      <c r="T58" s="20"/>
      <c r="U58" s="20"/>
      <c r="V58" s="20"/>
      <c r="W58" s="20"/>
      <c r="X58" s="20"/>
      <c r="Y58" s="20"/>
      <c r="Z58" s="20"/>
      <c r="AA58" s="20"/>
      <c r="AB58" s="20"/>
      <c r="AC58" s="20"/>
    </row>
    <row r="59">
      <c r="A59" s="10" t="s">
        <v>329</v>
      </c>
      <c r="B59" s="10" t="s">
        <v>330</v>
      </c>
      <c r="C59" s="10" t="s">
        <v>77</v>
      </c>
      <c r="D59" s="10" t="s">
        <v>331</v>
      </c>
      <c r="E59" s="10" t="s">
        <v>332</v>
      </c>
      <c r="F59" s="10" t="s">
        <v>132</v>
      </c>
      <c r="G59" s="10">
        <v>2009.0</v>
      </c>
      <c r="H59" s="84" t="s">
        <v>433</v>
      </c>
      <c r="I59" s="84" t="s">
        <v>69</v>
      </c>
      <c r="J59" s="84" t="s">
        <v>433</v>
      </c>
      <c r="K59" s="84" t="s">
        <v>69</v>
      </c>
      <c r="L59" s="64" t="s">
        <v>753</v>
      </c>
      <c r="M59" s="16" t="s">
        <v>754</v>
      </c>
      <c r="N59" s="16" t="s">
        <v>69</v>
      </c>
      <c r="O59" s="16" t="s">
        <v>763</v>
      </c>
      <c r="P59" s="19" t="s">
        <v>69</v>
      </c>
      <c r="Q59" s="19" t="s">
        <v>764</v>
      </c>
      <c r="R59" s="19" t="s">
        <v>779</v>
      </c>
      <c r="S59" s="20"/>
      <c r="T59" s="20"/>
      <c r="U59" s="20"/>
      <c r="V59" s="20"/>
      <c r="W59" s="20"/>
      <c r="X59" s="20"/>
      <c r="Y59" s="20"/>
      <c r="Z59" s="20"/>
      <c r="AA59" s="20"/>
      <c r="AB59" s="20"/>
      <c r="AC59" s="20"/>
    </row>
    <row r="60">
      <c r="A60" s="76" t="s">
        <v>585</v>
      </c>
      <c r="B60" s="76" t="s">
        <v>586</v>
      </c>
      <c r="C60" s="76" t="s">
        <v>51</v>
      </c>
      <c r="D60" s="76" t="s">
        <v>587</v>
      </c>
      <c r="E60" s="76" t="s">
        <v>588</v>
      </c>
      <c r="F60" s="76" t="s">
        <v>589</v>
      </c>
      <c r="G60" s="76">
        <v>1996.0</v>
      </c>
      <c r="H60" s="84" t="s">
        <v>433</v>
      </c>
      <c r="I60" s="84" t="s">
        <v>82</v>
      </c>
      <c r="J60" s="84" t="s">
        <v>433</v>
      </c>
      <c r="K60" s="84" t="s">
        <v>69</v>
      </c>
      <c r="L60" s="14" t="s">
        <v>801</v>
      </c>
      <c r="M60" s="16" t="s">
        <v>81</v>
      </c>
      <c r="N60" s="16" t="s">
        <v>69</v>
      </c>
      <c r="O60" s="16" t="s">
        <v>802</v>
      </c>
      <c r="P60" s="19" t="s">
        <v>337</v>
      </c>
      <c r="Q60" s="19" t="s">
        <v>69</v>
      </c>
      <c r="R60" s="19" t="s">
        <v>819</v>
      </c>
      <c r="S60" s="20"/>
      <c r="T60" s="20"/>
      <c r="U60" s="20"/>
      <c r="V60" s="20"/>
      <c r="W60" s="20"/>
      <c r="X60" s="20"/>
      <c r="Y60" s="20"/>
      <c r="Z60" s="20"/>
      <c r="AA60" s="20"/>
      <c r="AB60" s="20"/>
      <c r="AC60" s="20"/>
    </row>
    <row r="61" hidden="1">
      <c r="A61" s="10" t="s">
        <v>336</v>
      </c>
      <c r="B61" s="10" t="s">
        <v>595</v>
      </c>
      <c r="C61" s="10" t="s">
        <v>51</v>
      </c>
      <c r="D61" s="95" t="s">
        <v>339</v>
      </c>
      <c r="E61" s="95" t="s">
        <v>599</v>
      </c>
      <c r="F61" s="10" t="s">
        <v>600</v>
      </c>
      <c r="G61" s="10">
        <v>2012.0</v>
      </c>
      <c r="H61" s="14"/>
      <c r="I61" s="14"/>
      <c r="J61" s="14"/>
      <c r="K61" s="14"/>
      <c r="L61" s="64" t="s">
        <v>839</v>
      </c>
      <c r="M61" s="16"/>
      <c r="N61" s="16"/>
      <c r="O61" s="16" t="s">
        <v>842</v>
      </c>
      <c r="P61" s="19"/>
      <c r="Q61" s="19"/>
      <c r="R61" s="19" t="s">
        <v>843</v>
      </c>
      <c r="S61" s="20"/>
      <c r="T61" s="20"/>
      <c r="U61" s="20"/>
      <c r="V61" s="20"/>
      <c r="W61" s="20"/>
      <c r="X61" s="20"/>
      <c r="Y61" s="20"/>
      <c r="Z61" s="20"/>
      <c r="AA61" s="20"/>
      <c r="AB61" s="20"/>
      <c r="AC61" s="20"/>
    </row>
    <row r="62" hidden="1">
      <c r="A62" s="10"/>
      <c r="B62" s="10" t="s">
        <v>602</v>
      </c>
      <c r="C62" s="10" t="s">
        <v>77</v>
      </c>
      <c r="D62" s="95" t="s">
        <v>339</v>
      </c>
      <c r="E62" s="95" t="s">
        <v>603</v>
      </c>
      <c r="F62" s="10" t="s">
        <v>605</v>
      </c>
      <c r="G62" s="10">
        <v>2011.0</v>
      </c>
      <c r="H62" s="14"/>
      <c r="I62" s="14"/>
      <c r="J62" s="14"/>
      <c r="K62" s="14"/>
      <c r="L62" s="64" t="s">
        <v>844</v>
      </c>
      <c r="M62" s="16"/>
      <c r="N62" s="16"/>
      <c r="O62" s="16"/>
      <c r="P62" s="19"/>
      <c r="Q62" s="19"/>
      <c r="R62" s="19"/>
      <c r="S62" s="20"/>
      <c r="T62" s="20"/>
      <c r="U62" s="20"/>
      <c r="V62" s="20"/>
      <c r="W62" s="20"/>
      <c r="X62" s="20"/>
      <c r="Y62" s="20"/>
      <c r="Z62" s="20"/>
      <c r="AA62" s="20"/>
      <c r="AB62" s="20"/>
      <c r="AC62" s="20"/>
    </row>
    <row r="63">
      <c r="A63" s="10" t="s">
        <v>336</v>
      </c>
      <c r="B63" s="10" t="s">
        <v>338</v>
      </c>
      <c r="C63" s="10" t="s">
        <v>51</v>
      </c>
      <c r="D63" s="95" t="s">
        <v>339</v>
      </c>
      <c r="E63" s="95" t="s">
        <v>341</v>
      </c>
      <c r="F63" s="10" t="s">
        <v>342</v>
      </c>
      <c r="G63" s="10">
        <v>2011.0</v>
      </c>
      <c r="H63" s="14" t="s">
        <v>81</v>
      </c>
      <c r="I63" s="14" t="s">
        <v>82</v>
      </c>
      <c r="J63" s="14" t="s">
        <v>81</v>
      </c>
      <c r="K63" s="14" t="s">
        <v>69</v>
      </c>
      <c r="L63" s="64" t="s">
        <v>845</v>
      </c>
      <c r="M63" s="16" t="s">
        <v>846</v>
      </c>
      <c r="N63" s="16" t="s">
        <v>69</v>
      </c>
      <c r="O63" s="16" t="s">
        <v>847</v>
      </c>
      <c r="P63" s="19" t="s">
        <v>337</v>
      </c>
      <c r="Q63" s="19" t="s">
        <v>69</v>
      </c>
      <c r="R63" s="19" t="s">
        <v>857</v>
      </c>
      <c r="S63" s="20"/>
      <c r="T63" s="20"/>
      <c r="U63" s="20"/>
      <c r="V63" s="20"/>
      <c r="W63" s="20"/>
      <c r="X63" s="20"/>
      <c r="Y63" s="20"/>
      <c r="Z63" s="20"/>
      <c r="AA63" s="20"/>
      <c r="AB63" s="20"/>
      <c r="AC63" s="20"/>
    </row>
    <row r="64" ht="16.5" customHeight="1">
      <c r="A64" s="76" t="s">
        <v>622</v>
      </c>
      <c r="B64" s="76" t="s">
        <v>623</v>
      </c>
      <c r="C64" s="76" t="s">
        <v>77</v>
      </c>
      <c r="D64" s="76" t="s">
        <v>624</v>
      </c>
      <c r="E64" s="76" t="s">
        <v>625</v>
      </c>
      <c r="F64" s="76" t="s">
        <v>576</v>
      </c>
      <c r="G64" s="76">
        <v>2009.0</v>
      </c>
      <c r="H64" s="14" t="s">
        <v>717</v>
      </c>
      <c r="I64" s="14" t="s">
        <v>383</v>
      </c>
      <c r="J64" s="14" t="s">
        <v>717</v>
      </c>
      <c r="K64" s="14" t="s">
        <v>69</v>
      </c>
      <c r="L64" s="64" t="s">
        <v>868</v>
      </c>
      <c r="M64" s="16" t="s">
        <v>869</v>
      </c>
      <c r="N64" s="16" t="s">
        <v>86</v>
      </c>
      <c r="O64" s="16" t="s">
        <v>870</v>
      </c>
      <c r="P64" s="19" t="s">
        <v>337</v>
      </c>
      <c r="Q64" s="19" t="s">
        <v>69</v>
      </c>
      <c r="R64" s="19" t="s">
        <v>871</v>
      </c>
      <c r="S64" s="20"/>
      <c r="T64" s="20"/>
      <c r="U64" s="20"/>
      <c r="V64" s="20"/>
      <c r="W64" s="20"/>
      <c r="X64" s="20"/>
      <c r="Y64" s="20"/>
      <c r="Z64" s="20"/>
      <c r="AA64" s="20"/>
      <c r="AB64" s="20"/>
      <c r="AC64" s="20"/>
    </row>
    <row r="65">
      <c r="A65" s="10" t="s">
        <v>346</v>
      </c>
      <c r="B65" s="10" t="s">
        <v>348</v>
      </c>
      <c r="C65" s="65" t="s">
        <v>51</v>
      </c>
      <c r="D65" s="65" t="s">
        <v>350</v>
      </c>
      <c r="E65" s="65" t="s">
        <v>351</v>
      </c>
      <c r="F65" s="65" t="s">
        <v>352</v>
      </c>
      <c r="G65" s="65">
        <v>2005.0</v>
      </c>
      <c r="H65" s="14" t="s">
        <v>81</v>
      </c>
      <c r="I65" s="14" t="s">
        <v>82</v>
      </c>
      <c r="J65" s="14" t="s">
        <v>81</v>
      </c>
      <c r="K65" s="14" t="s">
        <v>86</v>
      </c>
      <c r="L65" s="64" t="s">
        <v>881</v>
      </c>
      <c r="M65" s="16" t="s">
        <v>882</v>
      </c>
      <c r="N65" s="16" t="s">
        <v>69</v>
      </c>
      <c r="O65" s="16" t="s">
        <v>883</v>
      </c>
      <c r="P65" s="19" t="s">
        <v>337</v>
      </c>
      <c r="Q65" s="19" t="s">
        <v>69</v>
      </c>
      <c r="R65" s="19" t="s">
        <v>884</v>
      </c>
      <c r="S65" s="20"/>
      <c r="T65" s="20"/>
      <c r="U65" s="20"/>
      <c r="V65" s="20"/>
      <c r="W65" s="20"/>
      <c r="X65" s="20"/>
      <c r="Y65" s="20"/>
      <c r="Z65" s="20"/>
      <c r="AA65" s="20"/>
      <c r="AB65" s="20"/>
      <c r="AC65" s="20"/>
    </row>
    <row r="66">
      <c r="A66" s="24" t="s">
        <v>358</v>
      </c>
      <c r="B66" s="24" t="s">
        <v>359</v>
      </c>
      <c r="C66" s="25" t="s">
        <v>51</v>
      </c>
      <c r="D66" s="25" t="s">
        <v>360</v>
      </c>
      <c r="E66" s="25" t="s">
        <v>361</v>
      </c>
      <c r="F66" s="25" t="s">
        <v>352</v>
      </c>
      <c r="G66" s="25">
        <v>2005.0</v>
      </c>
      <c r="H66" s="14" t="s">
        <v>81</v>
      </c>
      <c r="I66" s="14" t="s">
        <v>82</v>
      </c>
      <c r="J66" s="14" t="s">
        <v>81</v>
      </c>
      <c r="K66" s="14" t="s">
        <v>69</v>
      </c>
      <c r="L66" s="64" t="s">
        <v>890</v>
      </c>
      <c r="M66" s="16" t="s">
        <v>891</v>
      </c>
      <c r="N66" s="16" t="s">
        <v>69</v>
      </c>
      <c r="O66" s="16" t="s">
        <v>893</v>
      </c>
      <c r="P66" s="19" t="s">
        <v>895</v>
      </c>
      <c r="Q66" s="19" t="s">
        <v>69</v>
      </c>
      <c r="R66" s="19" t="s">
        <v>898</v>
      </c>
      <c r="S66" s="20"/>
      <c r="T66" s="20"/>
      <c r="U66" s="20"/>
      <c r="V66" s="20"/>
      <c r="W66" s="20"/>
      <c r="X66" s="20"/>
      <c r="Y66" s="20"/>
      <c r="Z66" s="20"/>
      <c r="AA66" s="20"/>
      <c r="AB66" s="20"/>
      <c r="AC66" s="20"/>
    </row>
    <row r="67">
      <c r="A67" s="10" t="s">
        <v>365</v>
      </c>
      <c r="B67" s="10" t="s">
        <v>366</v>
      </c>
      <c r="C67" s="65" t="s">
        <v>51</v>
      </c>
      <c r="D67" s="65" t="s">
        <v>368</v>
      </c>
      <c r="E67" s="65" t="s">
        <v>369</v>
      </c>
      <c r="F67" s="65" t="s">
        <v>370</v>
      </c>
      <c r="G67" s="65">
        <v>2005.0</v>
      </c>
      <c r="H67" s="14" t="s">
        <v>81</v>
      </c>
      <c r="I67" s="14" t="s">
        <v>69</v>
      </c>
      <c r="J67" s="14" t="s">
        <v>81</v>
      </c>
      <c r="K67" s="14" t="s">
        <v>69</v>
      </c>
      <c r="L67" s="64" t="s">
        <v>899</v>
      </c>
      <c r="M67" s="16" t="s">
        <v>900</v>
      </c>
      <c r="N67" s="16" t="s">
        <v>69</v>
      </c>
      <c r="O67" s="16" t="s">
        <v>901</v>
      </c>
      <c r="P67" s="19" t="s">
        <v>902</v>
      </c>
      <c r="Q67" s="19" t="s">
        <v>69</v>
      </c>
      <c r="R67" s="19" t="s">
        <v>906</v>
      </c>
      <c r="S67" s="20"/>
      <c r="T67" s="20"/>
      <c r="U67" s="20"/>
      <c r="V67" s="20"/>
      <c r="W67" s="20"/>
      <c r="X67" s="20"/>
      <c r="Y67" s="20"/>
      <c r="Z67" s="20"/>
      <c r="AA67" s="20"/>
      <c r="AB67" s="20"/>
      <c r="AC67" s="20"/>
    </row>
    <row r="68">
      <c r="A68" s="24" t="s">
        <v>372</v>
      </c>
      <c r="B68" s="24" t="s">
        <v>373</v>
      </c>
      <c r="C68" s="25" t="s">
        <v>77</v>
      </c>
      <c r="D68" s="25" t="s">
        <v>374</v>
      </c>
      <c r="E68" s="25" t="s">
        <v>375</v>
      </c>
      <c r="F68" s="25" t="s">
        <v>132</v>
      </c>
      <c r="G68" s="25">
        <v>2005.0</v>
      </c>
      <c r="H68" s="14" t="s">
        <v>909</v>
      </c>
      <c r="I68" s="14" t="s">
        <v>910</v>
      </c>
      <c r="J68" s="14" t="s">
        <v>81</v>
      </c>
      <c r="K68" s="14" t="s">
        <v>911</v>
      </c>
      <c r="L68" s="64" t="s">
        <v>917</v>
      </c>
      <c r="M68" s="16" t="s">
        <v>919</v>
      </c>
      <c r="N68" s="16" t="s">
        <v>69</v>
      </c>
      <c r="O68" s="16" t="s">
        <v>922</v>
      </c>
      <c r="P68" s="19" t="s">
        <v>69</v>
      </c>
      <c r="Q68" s="19" t="s">
        <v>925</v>
      </c>
      <c r="R68" s="19" t="s">
        <v>926</v>
      </c>
      <c r="S68" s="20"/>
      <c r="T68" s="20"/>
      <c r="U68" s="20"/>
      <c r="V68" s="20"/>
      <c r="W68" s="20"/>
      <c r="X68" s="20"/>
      <c r="Y68" s="20"/>
      <c r="Z68" s="20"/>
      <c r="AA68" s="20"/>
      <c r="AB68" s="20"/>
      <c r="AC68" s="20"/>
    </row>
    <row r="69">
      <c r="A69" s="76" t="s">
        <v>653</v>
      </c>
      <c r="B69" s="76" t="s">
        <v>655</v>
      </c>
      <c r="C69" s="71" t="s">
        <v>51</v>
      </c>
      <c r="D69" s="71" t="s">
        <v>661</v>
      </c>
      <c r="E69" s="71" t="s">
        <v>664</v>
      </c>
      <c r="F69" s="71" t="s">
        <v>666</v>
      </c>
      <c r="G69" s="71">
        <v>2006.0</v>
      </c>
      <c r="H69" s="14" t="s">
        <v>69</v>
      </c>
      <c r="I69" s="14" t="s">
        <v>69</v>
      </c>
      <c r="J69" s="14" t="s">
        <v>69</v>
      </c>
      <c r="K69" s="14" t="s">
        <v>69</v>
      </c>
      <c r="L69" s="64" t="s">
        <v>931</v>
      </c>
      <c r="M69" s="16" t="s">
        <v>932</v>
      </c>
      <c r="N69" s="16" t="s">
        <v>69</v>
      </c>
      <c r="O69" s="16" t="s">
        <v>933</v>
      </c>
      <c r="P69" s="19" t="s">
        <v>337</v>
      </c>
      <c r="Q69" s="19" t="s">
        <v>69</v>
      </c>
      <c r="R69" s="19" t="s">
        <v>934</v>
      </c>
      <c r="S69" s="20"/>
      <c r="T69" s="20"/>
      <c r="U69" s="20"/>
      <c r="V69" s="20"/>
      <c r="W69" s="20"/>
      <c r="X69" s="20"/>
      <c r="Y69" s="20"/>
      <c r="Z69" s="20"/>
      <c r="AA69" s="20"/>
      <c r="AB69" s="20"/>
      <c r="AC69" s="20"/>
    </row>
    <row r="70">
      <c r="A70" s="24" t="s">
        <v>378</v>
      </c>
      <c r="B70" s="24" t="s">
        <v>379</v>
      </c>
      <c r="C70" s="25" t="s">
        <v>77</v>
      </c>
      <c r="D70" s="25" t="s">
        <v>380</v>
      </c>
      <c r="E70" s="25" t="s">
        <v>381</v>
      </c>
      <c r="F70" s="25" t="s">
        <v>191</v>
      </c>
      <c r="G70" s="25">
        <v>2003.0</v>
      </c>
      <c r="H70" s="14" t="s">
        <v>935</v>
      </c>
      <c r="I70" s="14" t="s">
        <v>82</v>
      </c>
      <c r="J70" s="14" t="s">
        <v>81</v>
      </c>
      <c r="K70" s="14" t="s">
        <v>69</v>
      </c>
      <c r="L70" s="14" t="s">
        <v>936</v>
      </c>
      <c r="M70" s="16" t="s">
        <v>403</v>
      </c>
      <c r="N70" s="16" t="s">
        <v>86</v>
      </c>
      <c r="O70" s="16" t="s">
        <v>938</v>
      </c>
      <c r="P70" s="19" t="s">
        <v>69</v>
      </c>
      <c r="Q70" s="19" t="s">
        <v>123</v>
      </c>
      <c r="R70" s="19" t="s">
        <v>941</v>
      </c>
      <c r="S70" s="20"/>
      <c r="T70" s="20"/>
      <c r="U70" s="20"/>
      <c r="V70" s="20"/>
      <c r="W70" s="20"/>
      <c r="X70" s="20"/>
      <c r="Y70" s="20"/>
      <c r="Z70" s="20"/>
      <c r="AA70" s="20"/>
      <c r="AB70" s="20"/>
      <c r="AC70" s="20"/>
    </row>
    <row r="71">
      <c r="A71" s="76" t="s">
        <v>675</v>
      </c>
      <c r="B71" s="76" t="s">
        <v>676</v>
      </c>
      <c r="C71" s="76" t="s">
        <v>51</v>
      </c>
      <c r="D71" s="76" t="s">
        <v>677</v>
      </c>
      <c r="E71" s="76" t="s">
        <v>679</v>
      </c>
      <c r="F71" s="76" t="s">
        <v>680</v>
      </c>
      <c r="G71" s="76">
        <v>2004.0</v>
      </c>
      <c r="H71" s="14" t="s">
        <v>942</v>
      </c>
      <c r="I71" s="14" t="s">
        <v>69</v>
      </c>
      <c r="J71" s="14" t="s">
        <v>943</v>
      </c>
      <c r="K71" s="14" t="s">
        <v>69</v>
      </c>
      <c r="L71" s="14" t="s">
        <v>944</v>
      </c>
      <c r="M71" s="16" t="s">
        <v>69</v>
      </c>
      <c r="N71" s="16" t="s">
        <v>69</v>
      </c>
      <c r="O71" s="16" t="s">
        <v>469</v>
      </c>
      <c r="P71" s="19" t="s">
        <v>69</v>
      </c>
      <c r="Q71" s="19" t="s">
        <v>69</v>
      </c>
      <c r="R71" s="19" t="s">
        <v>469</v>
      </c>
      <c r="S71" s="20"/>
      <c r="T71" s="20"/>
      <c r="U71" s="20"/>
      <c r="V71" s="20"/>
      <c r="W71" s="20"/>
      <c r="X71" s="20"/>
      <c r="Y71" s="20"/>
      <c r="Z71" s="20"/>
      <c r="AA71" s="20"/>
      <c r="AB71" s="20"/>
      <c r="AC71" s="20"/>
    </row>
    <row r="72">
      <c r="A72" s="76" t="s">
        <v>683</v>
      </c>
      <c r="B72" s="76" t="s">
        <v>684</v>
      </c>
      <c r="C72" s="76" t="s">
        <v>51</v>
      </c>
      <c r="D72" s="82" t="s">
        <v>685</v>
      </c>
      <c r="E72" s="76" t="s">
        <v>686</v>
      </c>
      <c r="F72" s="76" t="s">
        <v>687</v>
      </c>
      <c r="G72" s="76">
        <v>2016.0</v>
      </c>
      <c r="H72" s="14" t="s">
        <v>81</v>
      </c>
      <c r="I72" s="14" t="s">
        <v>945</v>
      </c>
      <c r="J72" s="14" t="s">
        <v>946</v>
      </c>
      <c r="K72" s="14" t="s">
        <v>69</v>
      </c>
      <c r="L72" s="64" t="s">
        <v>951</v>
      </c>
      <c r="M72" s="16" t="s">
        <v>69</v>
      </c>
      <c r="N72" s="16" t="s">
        <v>69</v>
      </c>
      <c r="O72" s="16" t="s">
        <v>469</v>
      </c>
      <c r="P72" s="19" t="s">
        <v>69</v>
      </c>
      <c r="Q72" s="19" t="s">
        <v>69</v>
      </c>
      <c r="R72" s="19" t="s">
        <v>469</v>
      </c>
      <c r="S72" s="20"/>
      <c r="T72" s="20"/>
      <c r="U72" s="20"/>
      <c r="V72" s="20"/>
      <c r="W72" s="20"/>
      <c r="X72" s="20"/>
      <c r="Y72" s="20"/>
      <c r="Z72" s="20"/>
      <c r="AA72" s="20"/>
      <c r="AB72" s="20"/>
      <c r="AC72" s="20"/>
    </row>
    <row r="73">
      <c r="A73" s="10" t="s">
        <v>387</v>
      </c>
      <c r="B73" s="10" t="s">
        <v>389</v>
      </c>
      <c r="C73" s="65" t="s">
        <v>77</v>
      </c>
      <c r="D73" s="65" t="s">
        <v>391</v>
      </c>
      <c r="E73" s="65" t="s">
        <v>394</v>
      </c>
      <c r="F73" s="65" t="s">
        <v>132</v>
      </c>
      <c r="G73" s="65">
        <v>2007.0</v>
      </c>
      <c r="H73" s="14" t="s">
        <v>952</v>
      </c>
      <c r="I73" s="14" t="s">
        <v>82</v>
      </c>
      <c r="J73" s="14" t="s">
        <v>952</v>
      </c>
      <c r="K73" s="14" t="s">
        <v>69</v>
      </c>
      <c r="L73" s="64" t="s">
        <v>953</v>
      </c>
      <c r="M73" s="16" t="s">
        <v>954</v>
      </c>
      <c r="N73" s="16" t="s">
        <v>69</v>
      </c>
      <c r="O73" s="16" t="s">
        <v>955</v>
      </c>
      <c r="P73" s="19" t="s">
        <v>337</v>
      </c>
      <c r="Q73" s="19" t="s">
        <v>69</v>
      </c>
      <c r="R73" s="19" t="s">
        <v>956</v>
      </c>
      <c r="S73" s="20"/>
      <c r="T73" s="20"/>
      <c r="U73" s="20"/>
      <c r="V73" s="20"/>
      <c r="W73" s="20"/>
      <c r="X73" s="20"/>
      <c r="Y73" s="20"/>
      <c r="Z73" s="20"/>
      <c r="AA73" s="20"/>
      <c r="AB73" s="20"/>
      <c r="AC73" s="20"/>
    </row>
    <row r="74">
      <c r="A74" s="24" t="s">
        <v>402</v>
      </c>
      <c r="B74" s="24" t="s">
        <v>404</v>
      </c>
      <c r="C74" s="25" t="s">
        <v>51</v>
      </c>
      <c r="D74" s="25" t="s">
        <v>405</v>
      </c>
      <c r="E74" s="25" t="s">
        <v>406</v>
      </c>
      <c r="F74" s="25" t="s">
        <v>407</v>
      </c>
      <c r="G74" s="25">
        <v>2005.0</v>
      </c>
      <c r="H74" s="14" t="s">
        <v>81</v>
      </c>
      <c r="I74" s="14" t="s">
        <v>69</v>
      </c>
      <c r="J74" s="14" t="s">
        <v>81</v>
      </c>
      <c r="K74" s="14" t="s">
        <v>69</v>
      </c>
      <c r="L74" s="64" t="s">
        <v>962</v>
      </c>
      <c r="M74" s="16" t="s">
        <v>869</v>
      </c>
      <c r="N74" s="16" t="s">
        <v>69</v>
      </c>
      <c r="O74" s="16" t="s">
        <v>963</v>
      </c>
      <c r="P74" s="19" t="s">
        <v>69</v>
      </c>
      <c r="Q74" s="19" t="s">
        <v>964</v>
      </c>
      <c r="R74" s="19" t="s">
        <v>965</v>
      </c>
      <c r="S74" s="20"/>
      <c r="T74" s="20"/>
      <c r="U74" s="20"/>
      <c r="V74" s="20"/>
      <c r="W74" s="20"/>
      <c r="X74" s="20"/>
      <c r="Y74" s="20"/>
      <c r="Z74" s="20"/>
      <c r="AA74" s="20"/>
      <c r="AB74" s="20"/>
      <c r="AC74" s="20"/>
    </row>
    <row r="75">
      <c r="A75" s="76" t="s">
        <v>697</v>
      </c>
      <c r="B75" s="76" t="s">
        <v>698</v>
      </c>
      <c r="C75" s="76" t="s">
        <v>51</v>
      </c>
      <c r="D75" s="76" t="s">
        <v>699</v>
      </c>
      <c r="E75" s="76" t="s">
        <v>700</v>
      </c>
      <c r="F75" s="76" t="s">
        <v>701</v>
      </c>
      <c r="G75" s="76">
        <v>1997.0</v>
      </c>
      <c r="H75" s="14" t="s">
        <v>69</v>
      </c>
      <c r="I75" s="14" t="s">
        <v>69</v>
      </c>
      <c r="J75" s="14" t="s">
        <v>69</v>
      </c>
      <c r="K75" s="14" t="s">
        <v>69</v>
      </c>
      <c r="L75" s="14" t="s">
        <v>966</v>
      </c>
      <c r="M75" s="16" t="s">
        <v>363</v>
      </c>
      <c r="N75" s="16" t="s">
        <v>69</v>
      </c>
      <c r="O75" s="16" t="s">
        <v>967</v>
      </c>
      <c r="P75" s="19" t="s">
        <v>337</v>
      </c>
      <c r="Q75" s="19" t="s">
        <v>69</v>
      </c>
      <c r="R75" s="19" t="s">
        <v>968</v>
      </c>
      <c r="S75" s="20"/>
      <c r="T75" s="20"/>
      <c r="U75" s="20"/>
      <c r="V75" s="20"/>
      <c r="W75" s="20"/>
      <c r="X75" s="20"/>
      <c r="Y75" s="20"/>
      <c r="Z75" s="20"/>
      <c r="AA75" s="20"/>
      <c r="AB75" s="20"/>
      <c r="AC75" s="20"/>
    </row>
    <row r="76">
      <c r="A76" s="76" t="s">
        <v>703</v>
      </c>
      <c r="B76" s="76" t="s">
        <v>704</v>
      </c>
      <c r="C76" s="71" t="s">
        <v>51</v>
      </c>
      <c r="D76" s="71" t="s">
        <v>705</v>
      </c>
      <c r="E76" s="71" t="s">
        <v>707</v>
      </c>
      <c r="F76" s="71" t="s">
        <v>709</v>
      </c>
      <c r="G76" s="71">
        <v>1997.0</v>
      </c>
      <c r="H76" s="14" t="s">
        <v>969</v>
      </c>
      <c r="I76" s="14" t="s">
        <v>69</v>
      </c>
      <c r="J76" s="14" t="s">
        <v>969</v>
      </c>
      <c r="K76" s="14" t="s">
        <v>86</v>
      </c>
      <c r="L76" s="14" t="s">
        <v>970</v>
      </c>
      <c r="M76" s="16" t="s">
        <v>69</v>
      </c>
      <c r="N76" s="16" t="s">
        <v>69</v>
      </c>
      <c r="O76" s="16" t="s">
        <v>469</v>
      </c>
      <c r="P76" s="19" t="s">
        <v>69</v>
      </c>
      <c r="Q76" s="19" t="s">
        <v>69</v>
      </c>
      <c r="R76" s="19" t="s">
        <v>469</v>
      </c>
      <c r="S76" s="20"/>
      <c r="T76" s="20"/>
      <c r="U76" s="20"/>
      <c r="V76" s="20"/>
      <c r="W76" s="20"/>
      <c r="X76" s="20"/>
      <c r="Y76" s="20"/>
      <c r="Z76" s="20"/>
      <c r="AA76" s="20"/>
      <c r="AB76" s="20"/>
      <c r="AC76" s="20"/>
    </row>
    <row r="77">
      <c r="A77" s="76" t="s">
        <v>711</v>
      </c>
      <c r="B77" s="76" t="s">
        <v>712</v>
      </c>
      <c r="C77" s="76" t="s">
        <v>77</v>
      </c>
      <c r="D77" s="76" t="s">
        <v>713</v>
      </c>
      <c r="E77" s="76" t="s">
        <v>714</v>
      </c>
      <c r="F77" s="76" t="s">
        <v>278</v>
      </c>
      <c r="G77" s="76">
        <v>2004.0</v>
      </c>
      <c r="H77" s="84" t="s">
        <v>433</v>
      </c>
      <c r="I77" s="84" t="s">
        <v>69</v>
      </c>
      <c r="J77" s="84" t="s">
        <v>433</v>
      </c>
      <c r="K77" s="84" t="s">
        <v>69</v>
      </c>
      <c r="L77" s="14" t="s">
        <v>971</v>
      </c>
      <c r="M77" s="16" t="s">
        <v>363</v>
      </c>
      <c r="N77" s="16" t="s">
        <v>69</v>
      </c>
      <c r="O77" s="16" t="s">
        <v>972</v>
      </c>
      <c r="P77" s="19" t="s">
        <v>337</v>
      </c>
      <c r="Q77" s="19" t="s">
        <v>69</v>
      </c>
      <c r="R77" s="19" t="s">
        <v>973</v>
      </c>
      <c r="S77" s="20"/>
      <c r="T77" s="20"/>
      <c r="U77" s="20"/>
      <c r="V77" s="20"/>
      <c r="W77" s="20"/>
      <c r="X77" s="20"/>
      <c r="Y77" s="20"/>
      <c r="Z77" s="20"/>
      <c r="AA77" s="20"/>
      <c r="AB77" s="20"/>
      <c r="AC77" s="20"/>
    </row>
    <row r="78">
      <c r="A78" s="24" t="s">
        <v>415</v>
      </c>
      <c r="B78" s="24" t="s">
        <v>416</v>
      </c>
      <c r="C78" s="24" t="s">
        <v>51</v>
      </c>
      <c r="D78" s="24" t="s">
        <v>417</v>
      </c>
      <c r="E78" s="24" t="s">
        <v>418</v>
      </c>
      <c r="F78" s="24" t="s">
        <v>205</v>
      </c>
      <c r="G78" s="24">
        <v>2015.0</v>
      </c>
      <c r="H78" s="14" t="s">
        <v>590</v>
      </c>
      <c r="I78" s="14" t="s">
        <v>82</v>
      </c>
      <c r="J78" s="14" t="s">
        <v>590</v>
      </c>
      <c r="K78" s="14" t="s">
        <v>86</v>
      </c>
      <c r="L78" s="14" t="s">
        <v>974</v>
      </c>
      <c r="M78" s="16" t="s">
        <v>349</v>
      </c>
      <c r="N78" s="16" t="s">
        <v>69</v>
      </c>
      <c r="O78" s="16" t="s">
        <v>980</v>
      </c>
      <c r="P78" s="19" t="s">
        <v>981</v>
      </c>
      <c r="Q78" s="19" t="s">
        <v>155</v>
      </c>
      <c r="R78" s="19" t="s">
        <v>982</v>
      </c>
      <c r="S78" s="20"/>
      <c r="T78" s="20"/>
      <c r="U78" s="20"/>
      <c r="V78" s="20"/>
      <c r="W78" s="20"/>
      <c r="X78" s="20"/>
      <c r="Y78" s="20"/>
      <c r="Z78" s="20"/>
      <c r="AA78" s="20"/>
      <c r="AB78" s="20"/>
      <c r="AC78" s="20"/>
    </row>
    <row r="79">
      <c r="A79" s="76" t="s">
        <v>719</v>
      </c>
      <c r="B79" s="76" t="s">
        <v>720</v>
      </c>
      <c r="C79" s="76" t="s">
        <v>77</v>
      </c>
      <c r="D79" s="76" t="s">
        <v>722</v>
      </c>
      <c r="E79" s="76" t="s">
        <v>723</v>
      </c>
      <c r="F79" s="76" t="s">
        <v>724</v>
      </c>
      <c r="G79" s="76">
        <v>2010.0</v>
      </c>
      <c r="H79" s="14" t="s">
        <v>988</v>
      </c>
      <c r="I79" s="14" t="s">
        <v>69</v>
      </c>
      <c r="J79" s="14" t="s">
        <v>988</v>
      </c>
      <c r="K79" s="14" t="s">
        <v>69</v>
      </c>
      <c r="L79" s="14" t="s">
        <v>989</v>
      </c>
      <c r="M79" s="16" t="s">
        <v>990</v>
      </c>
      <c r="N79" s="16" t="s">
        <v>69</v>
      </c>
      <c r="O79" s="16" t="s">
        <v>469</v>
      </c>
      <c r="P79" s="19" t="s">
        <v>69</v>
      </c>
      <c r="Q79" s="19" t="s">
        <v>123</v>
      </c>
      <c r="R79" s="96" t="s">
        <v>995</v>
      </c>
      <c r="S79" s="20"/>
      <c r="T79" s="20"/>
      <c r="U79" s="20"/>
      <c r="V79" s="20"/>
      <c r="W79" s="20"/>
      <c r="X79" s="20"/>
      <c r="Y79" s="20"/>
      <c r="Z79" s="20"/>
      <c r="AA79" s="20"/>
      <c r="AB79" s="20"/>
      <c r="AC79" s="20"/>
    </row>
    <row r="80">
      <c r="A80" s="76" t="s">
        <v>731</v>
      </c>
      <c r="B80" s="76" t="s">
        <v>732</v>
      </c>
      <c r="C80" s="76" t="s">
        <v>51</v>
      </c>
      <c r="D80" s="76" t="s">
        <v>733</v>
      </c>
      <c r="E80" s="76" t="s">
        <v>734</v>
      </c>
      <c r="F80" s="76" t="s">
        <v>735</v>
      </c>
      <c r="G80" s="76">
        <v>2010.0</v>
      </c>
      <c r="H80" s="14" t="s">
        <v>81</v>
      </c>
      <c r="I80" s="14" t="s">
        <v>81</v>
      </c>
      <c r="J80" s="14" t="s">
        <v>996</v>
      </c>
      <c r="K80" s="14" t="s">
        <v>69</v>
      </c>
      <c r="L80" s="64" t="s">
        <v>998</v>
      </c>
      <c r="M80" s="16" t="s">
        <v>363</v>
      </c>
      <c r="N80" s="16" t="s">
        <v>69</v>
      </c>
      <c r="O80" s="16" t="s">
        <v>1001</v>
      </c>
      <c r="P80" s="19" t="s">
        <v>337</v>
      </c>
      <c r="Q80" s="19" t="s">
        <v>69</v>
      </c>
      <c r="R80" s="19" t="s">
        <v>1002</v>
      </c>
      <c r="S80" s="20"/>
      <c r="T80" s="20"/>
      <c r="U80" s="20"/>
      <c r="V80" s="20"/>
      <c r="W80" s="20"/>
      <c r="X80" s="20"/>
      <c r="Y80" s="20"/>
      <c r="Z80" s="20"/>
      <c r="AA80" s="20"/>
      <c r="AB80" s="20"/>
      <c r="AC80" s="20"/>
    </row>
    <row r="81">
      <c r="A81" s="76" t="s">
        <v>741</v>
      </c>
      <c r="B81" s="76" t="s">
        <v>742</v>
      </c>
      <c r="C81" s="76" t="s">
        <v>51</v>
      </c>
      <c r="D81" s="76" t="s">
        <v>743</v>
      </c>
      <c r="E81" s="76" t="s">
        <v>744</v>
      </c>
      <c r="F81" s="76" t="s">
        <v>745</v>
      </c>
      <c r="G81" s="76">
        <v>2010.0</v>
      </c>
      <c r="H81" s="14" t="s">
        <v>81</v>
      </c>
      <c r="I81" s="14" t="s">
        <v>82</v>
      </c>
      <c r="J81" s="14" t="s">
        <v>81</v>
      </c>
      <c r="K81" s="14" t="s">
        <v>69</v>
      </c>
      <c r="L81" s="14" t="s">
        <v>1003</v>
      </c>
      <c r="M81" s="16" t="s">
        <v>363</v>
      </c>
      <c r="N81" s="16" t="s">
        <v>69</v>
      </c>
      <c r="O81" s="16" t="s">
        <v>1004</v>
      </c>
      <c r="P81" s="19" t="s">
        <v>337</v>
      </c>
      <c r="Q81" s="19" t="s">
        <v>69</v>
      </c>
      <c r="R81" s="19" t="s">
        <v>1005</v>
      </c>
      <c r="S81" s="20"/>
      <c r="T81" s="20"/>
      <c r="U81" s="20"/>
      <c r="V81" s="20"/>
      <c r="W81" s="20"/>
      <c r="X81" s="20"/>
      <c r="Y81" s="20"/>
      <c r="Z81" s="20"/>
      <c r="AA81" s="20"/>
      <c r="AB81" s="20"/>
      <c r="AC81" s="20"/>
    </row>
    <row r="82">
      <c r="A82" s="24" t="s">
        <v>424</v>
      </c>
      <c r="B82" s="24" t="s">
        <v>425</v>
      </c>
      <c r="C82" s="24" t="s">
        <v>51</v>
      </c>
      <c r="D82" s="24" t="s">
        <v>426</v>
      </c>
      <c r="E82" s="24" t="s">
        <v>427</v>
      </c>
      <c r="F82" s="24" t="s">
        <v>428</v>
      </c>
      <c r="G82" s="24">
        <v>2010.0</v>
      </c>
      <c r="H82" s="14" t="s">
        <v>81</v>
      </c>
      <c r="I82" s="14" t="s">
        <v>69</v>
      </c>
      <c r="J82" s="14" t="s">
        <v>81</v>
      </c>
      <c r="K82" s="14" t="s">
        <v>69</v>
      </c>
      <c r="L82" s="14" t="s">
        <v>1007</v>
      </c>
      <c r="M82" s="78" t="s">
        <v>1008</v>
      </c>
      <c r="N82" s="78" t="s">
        <v>69</v>
      </c>
      <c r="O82" s="78" t="s">
        <v>1011</v>
      </c>
      <c r="P82" s="79" t="s">
        <v>73</v>
      </c>
      <c r="Q82" s="79" t="s">
        <v>1012</v>
      </c>
      <c r="R82" s="79" t="s">
        <v>1019</v>
      </c>
      <c r="S82" s="20"/>
      <c r="T82" s="20"/>
      <c r="U82" s="20"/>
      <c r="V82" s="20"/>
      <c r="W82" s="20"/>
      <c r="X82" s="20"/>
      <c r="Y82" s="20"/>
      <c r="Z82" s="20"/>
      <c r="AA82" s="20"/>
      <c r="AB82" s="20"/>
      <c r="AC82" s="20"/>
    </row>
    <row r="83">
      <c r="A83" s="10" t="s">
        <v>440</v>
      </c>
      <c r="B83" s="10" t="s">
        <v>441</v>
      </c>
      <c r="C83" s="10" t="s">
        <v>77</v>
      </c>
      <c r="D83" s="10" t="s">
        <v>442</v>
      </c>
      <c r="E83" s="10" t="s">
        <v>443</v>
      </c>
      <c r="F83" s="10" t="s">
        <v>132</v>
      </c>
      <c r="G83" s="10">
        <v>2002.0</v>
      </c>
      <c r="H83" s="84" t="s">
        <v>1023</v>
      </c>
      <c r="I83" s="84" t="s">
        <v>69</v>
      </c>
      <c r="J83" s="84" t="s">
        <v>1023</v>
      </c>
      <c r="K83" s="84" t="s">
        <v>69</v>
      </c>
      <c r="L83" s="14" t="s">
        <v>1024</v>
      </c>
      <c r="M83" s="16" t="s">
        <v>1025</v>
      </c>
      <c r="N83" s="16" t="s">
        <v>86</v>
      </c>
      <c r="O83" s="16" t="s">
        <v>1026</v>
      </c>
      <c r="P83" s="19" t="s">
        <v>337</v>
      </c>
      <c r="Q83" s="19" t="s">
        <v>69</v>
      </c>
      <c r="R83" s="19" t="s">
        <v>469</v>
      </c>
      <c r="S83" s="20"/>
      <c r="T83" s="20"/>
      <c r="U83" s="20"/>
      <c r="V83" s="20"/>
      <c r="W83" s="20"/>
      <c r="X83" s="20"/>
      <c r="Y83" s="20"/>
      <c r="Z83" s="20"/>
      <c r="AA83" s="20"/>
      <c r="AB83" s="20"/>
      <c r="AC83" s="20"/>
    </row>
    <row r="84" hidden="1">
      <c r="A84" s="10"/>
      <c r="B84" s="10" t="s">
        <v>761</v>
      </c>
      <c r="C84" s="10" t="s">
        <v>77</v>
      </c>
      <c r="D84" s="10" t="s">
        <v>762</v>
      </c>
      <c r="E84" s="10" t="s">
        <v>765</v>
      </c>
      <c r="F84" s="10" t="s">
        <v>766</v>
      </c>
      <c r="G84" s="10">
        <v>2001.0</v>
      </c>
      <c r="H84" s="84"/>
      <c r="I84" s="84"/>
      <c r="J84" s="84"/>
      <c r="K84" s="84"/>
      <c r="L84" s="14" t="s">
        <v>1029</v>
      </c>
      <c r="M84" s="16"/>
      <c r="N84" s="16"/>
      <c r="O84" s="16"/>
      <c r="P84" s="19"/>
      <c r="Q84" s="19"/>
      <c r="R84" s="19"/>
      <c r="S84" s="20"/>
      <c r="T84" s="20"/>
      <c r="U84" s="20"/>
      <c r="V84" s="20"/>
      <c r="W84" s="20"/>
      <c r="X84" s="20"/>
      <c r="Y84" s="20"/>
      <c r="Z84" s="20"/>
      <c r="AA84" s="20"/>
      <c r="AB84" s="20"/>
      <c r="AC84" s="20"/>
    </row>
    <row r="85" hidden="1">
      <c r="A85" s="24" t="s">
        <v>448</v>
      </c>
      <c r="B85" s="24" t="s">
        <v>780</v>
      </c>
      <c r="C85" s="24" t="s">
        <v>77</v>
      </c>
      <c r="D85" s="24" t="s">
        <v>781</v>
      </c>
      <c r="E85" s="24" t="s">
        <v>782</v>
      </c>
      <c r="F85" s="24" t="s">
        <v>784</v>
      </c>
      <c r="G85" s="24">
        <v>2010.0</v>
      </c>
      <c r="H85" s="14"/>
      <c r="I85" s="14"/>
      <c r="J85" s="14"/>
      <c r="K85" s="14"/>
      <c r="L85" s="14" t="s">
        <v>1033</v>
      </c>
      <c r="M85" s="16"/>
      <c r="N85" s="16"/>
      <c r="O85" s="16"/>
      <c r="P85" s="19"/>
      <c r="Q85" s="19"/>
      <c r="R85" s="19"/>
      <c r="S85" s="20"/>
      <c r="T85" s="20"/>
      <c r="U85" s="20"/>
      <c r="V85" s="20"/>
      <c r="W85" s="20"/>
      <c r="X85" s="20"/>
      <c r="Y85" s="20"/>
      <c r="Z85" s="20"/>
      <c r="AA85" s="20"/>
      <c r="AB85" s="20"/>
      <c r="AC85" s="20"/>
    </row>
    <row r="86">
      <c r="A86" s="24" t="s">
        <v>448</v>
      </c>
      <c r="B86" s="24" t="s">
        <v>449</v>
      </c>
      <c r="C86" s="24" t="s">
        <v>77</v>
      </c>
      <c r="D86" s="24" t="s">
        <v>450</v>
      </c>
      <c r="E86" s="24" t="s">
        <v>451</v>
      </c>
      <c r="F86" s="24" t="s">
        <v>452</v>
      </c>
      <c r="G86" s="24">
        <v>2011.0</v>
      </c>
      <c r="H86" s="14" t="s">
        <v>81</v>
      </c>
      <c r="I86" s="14" t="s">
        <v>69</v>
      </c>
      <c r="J86" s="14" t="s">
        <v>1034</v>
      </c>
      <c r="K86" s="14" t="s">
        <v>69</v>
      </c>
      <c r="L86" s="64" t="s">
        <v>1035</v>
      </c>
      <c r="M86" s="78" t="s">
        <v>1036</v>
      </c>
      <c r="N86" s="78" t="s">
        <v>69</v>
      </c>
      <c r="O86" s="78" t="s">
        <v>1037</v>
      </c>
      <c r="P86" s="79" t="s">
        <v>69</v>
      </c>
      <c r="Q86" s="79" t="s">
        <v>1038</v>
      </c>
      <c r="R86" s="79" t="s">
        <v>1043</v>
      </c>
      <c r="S86" s="20"/>
      <c r="T86" s="20"/>
      <c r="U86" s="20"/>
      <c r="V86" s="20"/>
      <c r="W86" s="20"/>
      <c r="X86" s="20"/>
      <c r="Y86" s="20"/>
      <c r="Z86" s="20"/>
      <c r="AA86" s="20"/>
      <c r="AB86" s="20"/>
      <c r="AC86" s="20"/>
    </row>
    <row r="87">
      <c r="A87" s="76" t="s">
        <v>803</v>
      </c>
      <c r="B87" s="76" t="s">
        <v>804</v>
      </c>
      <c r="C87" s="76" t="s">
        <v>77</v>
      </c>
      <c r="D87" s="76" t="s">
        <v>805</v>
      </c>
      <c r="E87" s="76" t="s">
        <v>806</v>
      </c>
      <c r="F87" s="76" t="s">
        <v>807</v>
      </c>
      <c r="G87" s="76">
        <v>2011.0</v>
      </c>
      <c r="H87" s="14" t="s">
        <v>69</v>
      </c>
      <c r="I87" s="14" t="s">
        <v>69</v>
      </c>
      <c r="J87" s="14" t="s">
        <v>69</v>
      </c>
      <c r="K87" s="14" t="s">
        <v>69</v>
      </c>
      <c r="L87" s="14" t="s">
        <v>1044</v>
      </c>
      <c r="M87" s="16" t="s">
        <v>403</v>
      </c>
      <c r="N87" s="16" t="s">
        <v>69</v>
      </c>
      <c r="O87" s="16" t="s">
        <v>469</v>
      </c>
      <c r="P87" s="19" t="s">
        <v>69</v>
      </c>
      <c r="Q87" s="19" t="s">
        <v>69</v>
      </c>
      <c r="R87" s="19" t="s">
        <v>469</v>
      </c>
      <c r="S87" s="20"/>
      <c r="T87" s="20"/>
      <c r="U87" s="20"/>
      <c r="V87" s="20"/>
      <c r="W87" s="20"/>
      <c r="X87" s="20"/>
      <c r="Y87" s="20"/>
      <c r="Z87" s="20"/>
      <c r="AA87" s="20"/>
      <c r="AB87" s="20"/>
      <c r="AC87" s="20"/>
    </row>
    <row r="88">
      <c r="A88" s="76" t="s">
        <v>814</v>
      </c>
      <c r="B88" s="76" t="s">
        <v>815</v>
      </c>
      <c r="C88" s="76" t="s">
        <v>51</v>
      </c>
      <c r="D88" s="76" t="s">
        <v>816</v>
      </c>
      <c r="E88" s="76" t="s">
        <v>817</v>
      </c>
      <c r="F88" s="76" t="s">
        <v>818</v>
      </c>
      <c r="G88" s="76">
        <v>2006.0</v>
      </c>
      <c r="H88" s="14" t="s">
        <v>1049</v>
      </c>
      <c r="I88" s="14" t="s">
        <v>69</v>
      </c>
      <c r="J88" s="14" t="s">
        <v>1049</v>
      </c>
      <c r="K88" s="14" t="s">
        <v>69</v>
      </c>
      <c r="L88" s="64" t="s">
        <v>1050</v>
      </c>
      <c r="M88" s="16" t="s">
        <v>69</v>
      </c>
      <c r="N88" s="16" t="s">
        <v>69</v>
      </c>
      <c r="O88" s="16" t="s">
        <v>469</v>
      </c>
      <c r="P88" s="19" t="s">
        <v>337</v>
      </c>
      <c r="Q88" s="19" t="s">
        <v>69</v>
      </c>
      <c r="R88" s="19" t="s">
        <v>1051</v>
      </c>
      <c r="S88" s="20"/>
      <c r="T88" s="20"/>
      <c r="U88" s="20"/>
      <c r="V88" s="20"/>
      <c r="W88" s="20"/>
      <c r="X88" s="20"/>
      <c r="Y88" s="20"/>
      <c r="Z88" s="20"/>
      <c r="AA88" s="20"/>
      <c r="AB88" s="20"/>
      <c r="AC88" s="20"/>
    </row>
    <row r="89">
      <c r="A89" s="76" t="s">
        <v>825</v>
      </c>
      <c r="B89" s="76" t="s">
        <v>826</v>
      </c>
      <c r="C89" s="76" t="s">
        <v>51</v>
      </c>
      <c r="D89" s="76" t="s">
        <v>828</v>
      </c>
      <c r="E89" s="76" t="s">
        <v>829</v>
      </c>
      <c r="F89" s="76" t="s">
        <v>830</v>
      </c>
      <c r="G89" s="76">
        <v>2003.0</v>
      </c>
      <c r="H89" s="14" t="s">
        <v>81</v>
      </c>
      <c r="I89" s="14" t="s">
        <v>69</v>
      </c>
      <c r="J89" s="14" t="s">
        <v>81</v>
      </c>
      <c r="K89" s="14" t="s">
        <v>69</v>
      </c>
      <c r="L89" s="64" t="s">
        <v>1052</v>
      </c>
      <c r="M89" s="16" t="s">
        <v>363</v>
      </c>
      <c r="N89" s="16" t="s">
        <v>69</v>
      </c>
      <c r="O89" s="16" t="s">
        <v>469</v>
      </c>
      <c r="P89" s="19" t="s">
        <v>337</v>
      </c>
      <c r="Q89" s="19" t="s">
        <v>69</v>
      </c>
      <c r="R89" s="19" t="s">
        <v>1053</v>
      </c>
      <c r="S89" s="20"/>
      <c r="T89" s="20"/>
      <c r="U89" s="20"/>
      <c r="V89" s="20"/>
      <c r="W89" s="20"/>
      <c r="X89" s="20"/>
      <c r="Y89" s="20"/>
      <c r="Z89" s="20"/>
      <c r="AA89" s="20"/>
      <c r="AB89" s="20"/>
      <c r="AC89" s="20"/>
    </row>
    <row r="90" hidden="1">
      <c r="A90" s="24" t="s">
        <v>459</v>
      </c>
      <c r="B90" s="24" t="s">
        <v>832</v>
      </c>
      <c r="C90" s="24" t="s">
        <v>51</v>
      </c>
      <c r="D90" s="24" t="s">
        <v>834</v>
      </c>
      <c r="E90" s="24" t="s">
        <v>835</v>
      </c>
      <c r="F90" s="24" t="s">
        <v>837</v>
      </c>
      <c r="G90" s="24">
        <v>2009.0</v>
      </c>
      <c r="H90" s="14"/>
      <c r="I90" s="14"/>
      <c r="J90" s="14"/>
      <c r="K90" s="14"/>
      <c r="L90" s="64" t="s">
        <v>1057</v>
      </c>
      <c r="M90" s="16"/>
      <c r="N90" s="16"/>
      <c r="O90" s="16"/>
      <c r="P90" s="19"/>
      <c r="Q90" s="19"/>
      <c r="R90" s="19"/>
      <c r="S90" s="20"/>
      <c r="T90" s="20"/>
      <c r="U90" s="20"/>
      <c r="V90" s="20"/>
      <c r="W90" s="20"/>
      <c r="X90" s="20"/>
      <c r="Y90" s="20"/>
      <c r="Z90" s="20"/>
      <c r="AA90" s="20"/>
      <c r="AB90" s="20"/>
      <c r="AC90" s="20"/>
    </row>
    <row r="91">
      <c r="A91" s="24" t="s">
        <v>459</v>
      </c>
      <c r="B91" s="24" t="s">
        <v>461</v>
      </c>
      <c r="C91" s="24" t="s">
        <v>51</v>
      </c>
      <c r="D91" s="69" t="s">
        <v>464</v>
      </c>
      <c r="E91" s="24" t="s">
        <v>465</v>
      </c>
      <c r="F91" s="69" t="s">
        <v>466</v>
      </c>
      <c r="G91" s="24">
        <v>2009.0</v>
      </c>
      <c r="H91" s="14" t="s">
        <v>81</v>
      </c>
      <c r="I91" s="14" t="s">
        <v>1063</v>
      </c>
      <c r="J91" s="14" t="s">
        <v>81</v>
      </c>
      <c r="K91" s="14" t="s">
        <v>69</v>
      </c>
      <c r="L91" s="14" t="s">
        <v>1068</v>
      </c>
      <c r="M91" s="16" t="s">
        <v>1069</v>
      </c>
      <c r="N91" s="16" t="s">
        <v>69</v>
      </c>
      <c r="O91" s="16" t="s">
        <v>1070</v>
      </c>
      <c r="P91" s="19" t="s">
        <v>337</v>
      </c>
      <c r="Q91" s="19" t="s">
        <v>69</v>
      </c>
      <c r="R91" s="19" t="s">
        <v>1074</v>
      </c>
      <c r="S91" s="20"/>
      <c r="T91" s="20"/>
      <c r="U91" s="20"/>
      <c r="V91" s="20"/>
      <c r="W91" s="20"/>
      <c r="X91" s="20"/>
      <c r="Y91" s="20"/>
      <c r="Z91" s="20"/>
      <c r="AA91" s="20"/>
      <c r="AB91" s="20"/>
      <c r="AC91" s="20"/>
    </row>
    <row r="92">
      <c r="A92" s="10" t="s">
        <v>471</v>
      </c>
      <c r="B92" s="10" t="s">
        <v>472</v>
      </c>
      <c r="C92" s="10" t="s">
        <v>51</v>
      </c>
      <c r="D92" s="10" t="s">
        <v>473</v>
      </c>
      <c r="E92" s="10" t="s">
        <v>474</v>
      </c>
      <c r="F92" s="10" t="s">
        <v>476</v>
      </c>
      <c r="G92" s="10">
        <v>2007.0</v>
      </c>
      <c r="H92" s="14" t="s">
        <v>1077</v>
      </c>
      <c r="I92" s="14" t="s">
        <v>82</v>
      </c>
      <c r="J92" s="14" t="s">
        <v>1078</v>
      </c>
      <c r="K92" s="14" t="s">
        <v>69</v>
      </c>
      <c r="L92" s="64" t="s">
        <v>1079</v>
      </c>
      <c r="M92" s="16" t="s">
        <v>1080</v>
      </c>
      <c r="N92" s="16" t="s">
        <v>69</v>
      </c>
      <c r="O92" s="16" t="s">
        <v>1081</v>
      </c>
      <c r="P92" s="19" t="s">
        <v>69</v>
      </c>
      <c r="Q92" s="19" t="s">
        <v>1082</v>
      </c>
      <c r="R92" s="79" t="s">
        <v>1083</v>
      </c>
      <c r="S92" s="20"/>
      <c r="T92" s="20"/>
      <c r="U92" s="20"/>
      <c r="V92" s="20"/>
      <c r="W92" s="20"/>
      <c r="X92" s="20"/>
      <c r="Y92" s="20"/>
      <c r="Z92" s="20"/>
      <c r="AA92" s="20"/>
      <c r="AB92" s="20"/>
      <c r="AC92" s="20"/>
    </row>
    <row r="93">
      <c r="A93" s="76" t="s">
        <v>848</v>
      </c>
      <c r="B93" s="76" t="s">
        <v>849</v>
      </c>
      <c r="C93" s="76" t="s">
        <v>77</v>
      </c>
      <c r="D93" s="76" t="s">
        <v>850</v>
      </c>
      <c r="E93" s="76" t="s">
        <v>851</v>
      </c>
      <c r="F93" s="76" t="s">
        <v>80</v>
      </c>
      <c r="G93" s="76">
        <v>2008.0</v>
      </c>
      <c r="H93" s="84" t="s">
        <v>81</v>
      </c>
      <c r="I93" s="84" t="s">
        <v>82</v>
      </c>
      <c r="J93" s="84" t="s">
        <v>81</v>
      </c>
      <c r="K93" s="84" t="s">
        <v>69</v>
      </c>
      <c r="L93" s="14" t="s">
        <v>1084</v>
      </c>
      <c r="M93" s="16" t="s">
        <v>363</v>
      </c>
      <c r="N93" s="16" t="s">
        <v>69</v>
      </c>
      <c r="O93" s="16" t="s">
        <v>469</v>
      </c>
      <c r="P93" s="19" t="s">
        <v>337</v>
      </c>
      <c r="Q93" s="19" t="s">
        <v>69</v>
      </c>
      <c r="R93" s="19" t="s">
        <v>1085</v>
      </c>
      <c r="S93" s="20"/>
      <c r="T93" s="20"/>
      <c r="U93" s="20"/>
      <c r="V93" s="20"/>
      <c r="W93" s="20"/>
      <c r="X93" s="20"/>
      <c r="Y93" s="20"/>
      <c r="Z93" s="20"/>
      <c r="AA93" s="20"/>
      <c r="AB93" s="20"/>
      <c r="AC93" s="20"/>
    </row>
    <row r="94">
      <c r="A94" s="76" t="s">
        <v>852</v>
      </c>
      <c r="B94" s="76" t="s">
        <v>853</v>
      </c>
      <c r="C94" s="76" t="s">
        <v>51</v>
      </c>
      <c r="D94" s="76" t="s">
        <v>854</v>
      </c>
      <c r="E94" s="76" t="s">
        <v>855</v>
      </c>
      <c r="F94" s="76" t="s">
        <v>856</v>
      </c>
      <c r="G94" s="76">
        <v>2001.0</v>
      </c>
      <c r="H94" s="84" t="s">
        <v>69</v>
      </c>
      <c r="I94" s="84" t="s">
        <v>69</v>
      </c>
      <c r="J94" s="84" t="s">
        <v>69</v>
      </c>
      <c r="K94" s="84" t="s">
        <v>69</v>
      </c>
      <c r="L94" s="14" t="s">
        <v>1086</v>
      </c>
      <c r="M94" s="16" t="s">
        <v>69</v>
      </c>
      <c r="N94" s="16" t="s">
        <v>69</v>
      </c>
      <c r="O94" s="16" t="s">
        <v>469</v>
      </c>
      <c r="P94" s="19" t="s">
        <v>69</v>
      </c>
      <c r="Q94" s="19" t="s">
        <v>69</v>
      </c>
      <c r="R94" s="19" t="s">
        <v>469</v>
      </c>
      <c r="S94" s="20"/>
      <c r="T94" s="20"/>
      <c r="U94" s="20"/>
      <c r="V94" s="20"/>
      <c r="W94" s="20"/>
      <c r="X94" s="20"/>
      <c r="Y94" s="20"/>
      <c r="Z94" s="20"/>
      <c r="AA94" s="20"/>
      <c r="AB94" s="20"/>
      <c r="AC94" s="20"/>
    </row>
    <row r="95">
      <c r="A95" s="76" t="s">
        <v>858</v>
      </c>
      <c r="B95" s="76" t="s">
        <v>859</v>
      </c>
      <c r="C95" s="76" t="s">
        <v>51</v>
      </c>
      <c r="D95" s="76" t="s">
        <v>860</v>
      </c>
      <c r="E95" s="76" t="s">
        <v>861</v>
      </c>
      <c r="F95" s="76" t="s">
        <v>862</v>
      </c>
      <c r="G95" s="76">
        <v>2004.0</v>
      </c>
      <c r="H95" s="14" t="s">
        <v>1087</v>
      </c>
      <c r="I95" s="14" t="s">
        <v>69</v>
      </c>
      <c r="J95" s="14" t="s">
        <v>1087</v>
      </c>
      <c r="K95" s="14" t="s">
        <v>69</v>
      </c>
      <c r="L95" s="64" t="s">
        <v>1093</v>
      </c>
      <c r="M95" s="16" t="s">
        <v>1094</v>
      </c>
      <c r="N95" s="16" t="s">
        <v>69</v>
      </c>
      <c r="O95" s="16" t="s">
        <v>1095</v>
      </c>
      <c r="P95" s="19" t="s">
        <v>69</v>
      </c>
      <c r="Q95" s="19" t="s">
        <v>69</v>
      </c>
      <c r="R95" s="19" t="s">
        <v>469</v>
      </c>
      <c r="S95" s="20"/>
      <c r="T95" s="20"/>
      <c r="U95" s="20"/>
      <c r="V95" s="20"/>
      <c r="W95" s="20"/>
      <c r="X95" s="20"/>
      <c r="Y95" s="20"/>
      <c r="Z95" s="20"/>
      <c r="AA95" s="20"/>
      <c r="AB95" s="20"/>
      <c r="AC95" s="20"/>
    </row>
    <row r="96">
      <c r="A96" s="76" t="s">
        <v>863</v>
      </c>
      <c r="B96" s="76" t="s">
        <v>864</v>
      </c>
      <c r="C96" s="76" t="s">
        <v>51</v>
      </c>
      <c r="D96" s="76" t="s">
        <v>865</v>
      </c>
      <c r="E96" s="76" t="s">
        <v>866</v>
      </c>
      <c r="F96" s="76" t="s">
        <v>867</v>
      </c>
      <c r="G96" s="76">
        <v>1999.0</v>
      </c>
      <c r="H96" s="84" t="s">
        <v>81</v>
      </c>
      <c r="I96" s="84" t="s">
        <v>82</v>
      </c>
      <c r="J96" s="84" t="s">
        <v>81</v>
      </c>
      <c r="K96" s="84" t="s">
        <v>69</v>
      </c>
      <c r="L96" s="14" t="s">
        <v>1101</v>
      </c>
      <c r="M96" s="16" t="s">
        <v>363</v>
      </c>
      <c r="N96" s="16" t="s">
        <v>69</v>
      </c>
      <c r="O96" s="16" t="s">
        <v>469</v>
      </c>
      <c r="P96" s="19" t="s">
        <v>337</v>
      </c>
      <c r="Q96" s="19" t="s">
        <v>69</v>
      </c>
      <c r="R96" s="19" t="s">
        <v>1102</v>
      </c>
      <c r="S96" s="20"/>
      <c r="T96" s="20"/>
      <c r="U96" s="20"/>
      <c r="V96" s="20"/>
      <c r="W96" s="20"/>
      <c r="X96" s="20"/>
      <c r="Y96" s="20"/>
      <c r="Z96" s="20"/>
      <c r="AA96" s="20"/>
      <c r="AB96" s="20"/>
      <c r="AC96" s="20"/>
    </row>
    <row r="97">
      <c r="A97" s="76" t="s">
        <v>872</v>
      </c>
      <c r="B97" s="76" t="s">
        <v>873</v>
      </c>
      <c r="C97" s="76" t="s">
        <v>51</v>
      </c>
      <c r="D97" s="76" t="s">
        <v>874</v>
      </c>
      <c r="E97" s="76" t="s">
        <v>875</v>
      </c>
      <c r="F97" s="76" t="s">
        <v>876</v>
      </c>
      <c r="G97" s="76">
        <v>2005.0</v>
      </c>
      <c r="H97" s="14" t="s">
        <v>1107</v>
      </c>
      <c r="I97" s="14" t="s">
        <v>69</v>
      </c>
      <c r="J97" s="14" t="s">
        <v>1107</v>
      </c>
      <c r="K97" s="14" t="s">
        <v>69</v>
      </c>
      <c r="L97" s="64" t="s">
        <v>1110</v>
      </c>
      <c r="M97" s="16" t="s">
        <v>363</v>
      </c>
      <c r="N97" s="16" t="s">
        <v>69</v>
      </c>
      <c r="O97" s="16" t="s">
        <v>1115</v>
      </c>
      <c r="P97" s="19" t="s">
        <v>337</v>
      </c>
      <c r="Q97" s="19" t="s">
        <v>69</v>
      </c>
      <c r="R97" s="19" t="s">
        <v>1116</v>
      </c>
      <c r="S97" s="20"/>
      <c r="T97" s="20"/>
      <c r="U97" s="20"/>
      <c r="V97" s="20"/>
      <c r="W97" s="20"/>
      <c r="X97" s="20"/>
      <c r="Y97" s="20"/>
      <c r="Z97" s="20"/>
      <c r="AA97" s="20"/>
      <c r="AB97" s="20"/>
      <c r="AC97" s="20"/>
    </row>
    <row r="98">
      <c r="A98" s="76" t="s">
        <v>877</v>
      </c>
      <c r="B98" s="76" t="s">
        <v>878</v>
      </c>
      <c r="C98" s="76" t="s">
        <v>51</v>
      </c>
      <c r="D98" s="76" t="s">
        <v>879</v>
      </c>
      <c r="E98" s="76" t="s">
        <v>880</v>
      </c>
      <c r="F98" s="76" t="s">
        <v>830</v>
      </c>
      <c r="G98" s="76">
        <v>1999.0</v>
      </c>
      <c r="H98" s="14" t="s">
        <v>106</v>
      </c>
      <c r="I98" s="14" t="s">
        <v>82</v>
      </c>
      <c r="J98" s="14" t="s">
        <v>106</v>
      </c>
      <c r="K98" s="14" t="s">
        <v>69</v>
      </c>
      <c r="L98" s="64" t="s">
        <v>1117</v>
      </c>
      <c r="M98" s="16" t="s">
        <v>363</v>
      </c>
      <c r="N98" s="16" t="s">
        <v>69</v>
      </c>
      <c r="O98" s="16" t="s">
        <v>1118</v>
      </c>
      <c r="P98" s="19" t="s">
        <v>337</v>
      </c>
      <c r="Q98" s="19" t="s">
        <v>69</v>
      </c>
      <c r="R98" s="79" t="s">
        <v>1119</v>
      </c>
      <c r="S98" s="20"/>
      <c r="T98" s="20"/>
      <c r="U98" s="20"/>
      <c r="V98" s="20"/>
      <c r="W98" s="20"/>
      <c r="X98" s="20"/>
      <c r="Y98" s="20"/>
      <c r="Z98" s="20"/>
      <c r="AA98" s="20"/>
      <c r="AB98" s="20"/>
      <c r="AC98" s="20"/>
    </row>
    <row r="99">
      <c r="A99" s="76" t="s">
        <v>885</v>
      </c>
      <c r="B99" s="76" t="s">
        <v>886</v>
      </c>
      <c r="C99" s="76" t="s">
        <v>51</v>
      </c>
      <c r="D99" s="76" t="s">
        <v>887</v>
      </c>
      <c r="E99" s="76" t="s">
        <v>888</v>
      </c>
      <c r="F99" s="76" t="s">
        <v>889</v>
      </c>
      <c r="G99" s="76">
        <v>2009.0</v>
      </c>
      <c r="H99" s="84" t="s">
        <v>344</v>
      </c>
      <c r="I99" s="84" t="s">
        <v>69</v>
      </c>
      <c r="J99" s="84" t="s">
        <v>344</v>
      </c>
      <c r="K99" s="84" t="s">
        <v>69</v>
      </c>
      <c r="L99" s="64" t="s">
        <v>1120</v>
      </c>
      <c r="M99" s="16" t="s">
        <v>69</v>
      </c>
      <c r="N99" s="16" t="s">
        <v>69</v>
      </c>
      <c r="O99" s="16" t="s">
        <v>469</v>
      </c>
      <c r="P99" s="19" t="s">
        <v>337</v>
      </c>
      <c r="Q99" s="19" t="s">
        <v>69</v>
      </c>
      <c r="R99" s="19" t="s">
        <v>1121</v>
      </c>
      <c r="S99" s="20"/>
      <c r="T99" s="20"/>
      <c r="U99" s="20"/>
      <c r="V99" s="20"/>
      <c r="W99" s="20"/>
      <c r="X99" s="20"/>
      <c r="Y99" s="20"/>
      <c r="Z99" s="20"/>
      <c r="AA99" s="20"/>
      <c r="AB99" s="20"/>
      <c r="AC99" s="20"/>
    </row>
    <row r="100" hidden="1">
      <c r="A100" s="10" t="s">
        <v>483</v>
      </c>
      <c r="B100" s="10" t="s">
        <v>892</v>
      </c>
      <c r="C100" s="10" t="s">
        <v>77</v>
      </c>
      <c r="D100" s="10" t="s">
        <v>894</v>
      </c>
      <c r="E100" s="10" t="s">
        <v>896</v>
      </c>
      <c r="F100" s="10" t="s">
        <v>897</v>
      </c>
      <c r="G100" s="10">
        <v>2012.0</v>
      </c>
      <c r="H100" s="14"/>
      <c r="I100" s="14"/>
      <c r="J100" s="14"/>
      <c r="K100" s="14"/>
      <c r="L100" s="64" t="s">
        <v>1122</v>
      </c>
      <c r="M100" s="16"/>
      <c r="N100" s="16"/>
      <c r="O100" s="16"/>
      <c r="P100" s="19"/>
      <c r="Q100" s="19"/>
      <c r="R100" s="19"/>
      <c r="S100" s="20"/>
      <c r="T100" s="20"/>
      <c r="U100" s="20"/>
      <c r="V100" s="20"/>
      <c r="W100" s="20"/>
      <c r="X100" s="20"/>
      <c r="Y100" s="20"/>
      <c r="Z100" s="20"/>
      <c r="AA100" s="20"/>
      <c r="AB100" s="20"/>
      <c r="AC100" s="20"/>
    </row>
    <row r="101">
      <c r="A101" s="10" t="s">
        <v>483</v>
      </c>
      <c r="B101" s="10" t="s">
        <v>484</v>
      </c>
      <c r="C101" s="10" t="s">
        <v>77</v>
      </c>
      <c r="D101" s="97" t="s">
        <v>485</v>
      </c>
      <c r="E101" s="97" t="s">
        <v>488</v>
      </c>
      <c r="F101" s="10" t="s">
        <v>489</v>
      </c>
      <c r="G101" s="10">
        <v>2016.0</v>
      </c>
      <c r="H101" s="14" t="s">
        <v>1123</v>
      </c>
      <c r="I101" s="14" t="s">
        <v>69</v>
      </c>
      <c r="J101" s="14" t="s">
        <v>1124</v>
      </c>
      <c r="K101" s="14" t="s">
        <v>69</v>
      </c>
      <c r="L101" s="14" t="s">
        <v>1125</v>
      </c>
      <c r="M101" s="16" t="s">
        <v>1126</v>
      </c>
      <c r="N101" s="16" t="s">
        <v>69</v>
      </c>
      <c r="O101" s="16" t="s">
        <v>1132</v>
      </c>
      <c r="P101" s="19" t="s">
        <v>337</v>
      </c>
      <c r="Q101" s="19" t="s">
        <v>69</v>
      </c>
      <c r="R101" s="19" t="s">
        <v>1133</v>
      </c>
      <c r="S101" s="20"/>
      <c r="T101" s="20"/>
      <c r="U101" s="20"/>
      <c r="V101" s="20"/>
      <c r="W101" s="20"/>
      <c r="X101" s="20"/>
      <c r="Y101" s="20"/>
      <c r="Z101" s="20"/>
      <c r="AA101" s="20"/>
      <c r="AB101" s="20"/>
      <c r="AC101" s="20"/>
    </row>
    <row r="102">
      <c r="A102" s="24" t="s">
        <v>496</v>
      </c>
      <c r="B102" s="24" t="s">
        <v>497</v>
      </c>
      <c r="C102" s="24" t="s">
        <v>77</v>
      </c>
      <c r="D102" s="24" t="s">
        <v>498</v>
      </c>
      <c r="E102" s="24" t="s">
        <v>499</v>
      </c>
      <c r="F102" s="24" t="s">
        <v>500</v>
      </c>
      <c r="G102" s="24">
        <v>2005.0</v>
      </c>
      <c r="H102" s="14" t="s">
        <v>81</v>
      </c>
      <c r="I102" s="14" t="s">
        <v>69</v>
      </c>
      <c r="J102" s="14" t="s">
        <v>81</v>
      </c>
      <c r="K102" s="14" t="s">
        <v>1134</v>
      </c>
      <c r="L102" s="14" t="s">
        <v>1135</v>
      </c>
      <c r="M102" s="16" t="s">
        <v>1136</v>
      </c>
      <c r="N102" s="16" t="s">
        <v>69</v>
      </c>
      <c r="O102" s="16" t="s">
        <v>1137</v>
      </c>
      <c r="P102" s="19" t="s">
        <v>69</v>
      </c>
      <c r="Q102" s="19" t="s">
        <v>964</v>
      </c>
      <c r="R102" s="19" t="s">
        <v>1138</v>
      </c>
      <c r="S102" s="20"/>
      <c r="T102" s="20"/>
      <c r="U102" s="20"/>
      <c r="V102" s="20"/>
      <c r="W102" s="20"/>
      <c r="X102" s="20"/>
      <c r="Y102" s="20"/>
      <c r="Z102" s="20"/>
      <c r="AA102" s="20"/>
      <c r="AB102" s="20"/>
      <c r="AC102" s="20"/>
    </row>
    <row r="103">
      <c r="A103" s="76" t="s">
        <v>903</v>
      </c>
      <c r="B103" s="76" t="s">
        <v>904</v>
      </c>
      <c r="C103" s="76" t="s">
        <v>77</v>
      </c>
      <c r="D103" s="76" t="s">
        <v>905</v>
      </c>
      <c r="E103" s="76" t="s">
        <v>907</v>
      </c>
      <c r="F103" s="76" t="s">
        <v>908</v>
      </c>
      <c r="G103" s="76">
        <v>2009.0</v>
      </c>
      <c r="H103" s="14" t="s">
        <v>355</v>
      </c>
      <c r="I103" s="14" t="s">
        <v>82</v>
      </c>
      <c r="J103" s="14" t="s">
        <v>355</v>
      </c>
      <c r="K103" s="14" t="s">
        <v>69</v>
      </c>
      <c r="L103" s="64" t="s">
        <v>1141</v>
      </c>
      <c r="M103" s="16" t="s">
        <v>1142</v>
      </c>
      <c r="N103" s="16" t="s">
        <v>69</v>
      </c>
      <c r="O103" s="16" t="s">
        <v>1143</v>
      </c>
      <c r="P103" s="19" t="s">
        <v>69</v>
      </c>
      <c r="Q103" s="19" t="s">
        <v>69</v>
      </c>
      <c r="R103" s="19" t="s">
        <v>1144</v>
      </c>
      <c r="S103" s="20"/>
      <c r="T103" s="20"/>
      <c r="U103" s="20"/>
      <c r="V103" s="20"/>
      <c r="W103" s="20"/>
      <c r="X103" s="20"/>
      <c r="Y103" s="20"/>
      <c r="Z103" s="20"/>
      <c r="AA103" s="20"/>
      <c r="AB103" s="20"/>
      <c r="AC103" s="20"/>
    </row>
    <row r="104">
      <c r="A104" s="76" t="s">
        <v>912</v>
      </c>
      <c r="B104" s="76" t="s">
        <v>913</v>
      </c>
      <c r="C104" s="76" t="s">
        <v>77</v>
      </c>
      <c r="D104" s="76" t="s">
        <v>914</v>
      </c>
      <c r="E104" s="76" t="s">
        <v>915</v>
      </c>
      <c r="F104" s="76" t="s">
        <v>916</v>
      </c>
      <c r="G104" s="76">
        <v>2000.0</v>
      </c>
      <c r="H104" s="14" t="s">
        <v>69</v>
      </c>
      <c r="I104" s="14" t="s">
        <v>69</v>
      </c>
      <c r="J104" s="14" t="s">
        <v>69</v>
      </c>
      <c r="K104" s="14" t="s">
        <v>69</v>
      </c>
      <c r="L104" s="64" t="s">
        <v>1146</v>
      </c>
      <c r="M104" s="16" t="s">
        <v>69</v>
      </c>
      <c r="N104" s="16" t="s">
        <v>69</v>
      </c>
      <c r="O104" s="16" t="s">
        <v>1147</v>
      </c>
      <c r="P104" s="19" t="s">
        <v>69</v>
      </c>
      <c r="Q104" s="19" t="s">
        <v>69</v>
      </c>
      <c r="R104" s="19" t="s">
        <v>469</v>
      </c>
      <c r="S104" s="20"/>
      <c r="T104" s="20"/>
      <c r="U104" s="20"/>
      <c r="V104" s="20"/>
      <c r="W104" s="20"/>
      <c r="X104" s="20"/>
      <c r="Y104" s="20"/>
      <c r="Z104" s="20"/>
      <c r="AA104" s="20"/>
      <c r="AB104" s="20"/>
      <c r="AC104" s="20"/>
    </row>
    <row r="105">
      <c r="A105" s="76" t="s">
        <v>918</v>
      </c>
      <c r="B105" s="76" t="s">
        <v>920</v>
      </c>
      <c r="C105" s="76" t="s">
        <v>77</v>
      </c>
      <c r="D105" s="82" t="s">
        <v>921</v>
      </c>
      <c r="E105" s="76" t="s">
        <v>923</v>
      </c>
      <c r="F105" s="76" t="s">
        <v>924</v>
      </c>
      <c r="G105" s="76">
        <v>2002.0</v>
      </c>
      <c r="H105" s="14" t="s">
        <v>431</v>
      </c>
      <c r="I105" s="14" t="s">
        <v>69</v>
      </c>
      <c r="J105" s="14" t="s">
        <v>431</v>
      </c>
      <c r="K105" s="14" t="s">
        <v>69</v>
      </c>
      <c r="L105" s="14" t="s">
        <v>1149</v>
      </c>
      <c r="M105" s="16" t="s">
        <v>106</v>
      </c>
      <c r="N105" s="16" t="s">
        <v>69</v>
      </c>
      <c r="O105" s="16" t="s">
        <v>1155</v>
      </c>
      <c r="P105" s="19" t="s">
        <v>69</v>
      </c>
      <c r="Q105" s="19" t="s">
        <v>69</v>
      </c>
      <c r="R105" s="19" t="s">
        <v>1156</v>
      </c>
      <c r="S105" s="20"/>
      <c r="T105" s="20"/>
      <c r="U105" s="20"/>
      <c r="V105" s="20"/>
      <c r="W105" s="20"/>
      <c r="X105" s="20"/>
      <c r="Y105" s="20"/>
      <c r="Z105" s="20"/>
      <c r="AA105" s="20"/>
      <c r="AB105" s="20"/>
      <c r="AC105" s="20"/>
    </row>
    <row r="106" hidden="1">
      <c r="A106" s="24" t="s">
        <v>506</v>
      </c>
      <c r="B106" s="24" t="s">
        <v>927</v>
      </c>
      <c r="C106" s="24" t="s">
        <v>77</v>
      </c>
      <c r="D106" s="63" t="s">
        <v>928</v>
      </c>
      <c r="E106" s="63" t="s">
        <v>929</v>
      </c>
      <c r="F106" s="24" t="s">
        <v>930</v>
      </c>
      <c r="G106" s="24">
        <v>2018.0</v>
      </c>
      <c r="H106" s="14"/>
      <c r="I106" s="14"/>
      <c r="J106" s="14"/>
      <c r="K106" s="14"/>
      <c r="L106" s="64" t="s">
        <v>1157</v>
      </c>
      <c r="M106" s="16"/>
      <c r="N106" s="16"/>
      <c r="O106" s="16"/>
      <c r="P106" s="19"/>
      <c r="Q106" s="19"/>
      <c r="R106" s="19"/>
      <c r="S106" s="20"/>
      <c r="T106" s="20"/>
      <c r="U106" s="20"/>
      <c r="V106" s="20"/>
      <c r="W106" s="20"/>
      <c r="X106" s="20"/>
      <c r="Y106" s="20"/>
      <c r="Z106" s="20"/>
      <c r="AA106" s="20"/>
      <c r="AB106" s="20"/>
      <c r="AC106" s="20"/>
    </row>
    <row r="107">
      <c r="A107" s="24" t="s">
        <v>506</v>
      </c>
      <c r="B107" s="24" t="s">
        <v>507</v>
      </c>
      <c r="C107" s="24" t="s">
        <v>77</v>
      </c>
      <c r="D107" s="69" t="s">
        <v>508</v>
      </c>
      <c r="E107" s="69" t="s">
        <v>510</v>
      </c>
      <c r="F107" s="24" t="s">
        <v>512</v>
      </c>
      <c r="G107" s="24">
        <v>2020.0</v>
      </c>
      <c r="H107" s="14" t="s">
        <v>81</v>
      </c>
      <c r="I107" s="14" t="s">
        <v>82</v>
      </c>
      <c r="J107" s="14" t="s">
        <v>81</v>
      </c>
      <c r="K107" s="14" t="s">
        <v>1094</v>
      </c>
      <c r="L107" s="64" t="s">
        <v>1162</v>
      </c>
      <c r="M107" s="16" t="s">
        <v>1163</v>
      </c>
      <c r="N107" s="16" t="s">
        <v>69</v>
      </c>
      <c r="O107" s="16" t="s">
        <v>1164</v>
      </c>
      <c r="P107" s="19" t="s">
        <v>69</v>
      </c>
      <c r="Q107" s="19" t="s">
        <v>1165</v>
      </c>
      <c r="R107" s="79" t="s">
        <v>1166</v>
      </c>
      <c r="S107" s="20"/>
      <c r="T107" s="20"/>
      <c r="U107" s="20"/>
      <c r="V107" s="20"/>
      <c r="W107" s="20"/>
      <c r="X107" s="20"/>
      <c r="Y107" s="20"/>
      <c r="Z107" s="20"/>
      <c r="AA107" s="20"/>
      <c r="AB107" s="20"/>
      <c r="AC107" s="20"/>
    </row>
    <row r="108">
      <c r="A108" s="10" t="s">
        <v>518</v>
      </c>
      <c r="B108" s="10" t="s">
        <v>520</v>
      </c>
      <c r="C108" s="10" t="s">
        <v>51</v>
      </c>
      <c r="D108" s="68" t="s">
        <v>521</v>
      </c>
      <c r="E108" s="68" t="s">
        <v>522</v>
      </c>
      <c r="F108" s="10" t="s">
        <v>523</v>
      </c>
      <c r="G108" s="10">
        <v>2019.0</v>
      </c>
      <c r="H108" s="14" t="s">
        <v>307</v>
      </c>
      <c r="I108" s="14" t="s">
        <v>81</v>
      </c>
      <c r="J108" s="14" t="s">
        <v>307</v>
      </c>
      <c r="K108" s="14" t="s">
        <v>69</v>
      </c>
      <c r="L108" s="14" t="s">
        <v>1167</v>
      </c>
      <c r="M108" s="16" t="s">
        <v>846</v>
      </c>
      <c r="N108" s="16" t="s">
        <v>69</v>
      </c>
      <c r="O108" s="16" t="s">
        <v>1172</v>
      </c>
      <c r="P108" s="19" t="s">
        <v>337</v>
      </c>
      <c r="Q108" s="19" t="s">
        <v>69</v>
      </c>
      <c r="R108" s="19" t="s">
        <v>1174</v>
      </c>
      <c r="S108" s="20"/>
      <c r="T108" s="20"/>
      <c r="U108" s="20"/>
      <c r="V108" s="20"/>
      <c r="W108" s="20"/>
      <c r="X108" s="20"/>
      <c r="Y108" s="20"/>
      <c r="Z108" s="20"/>
      <c r="AA108" s="20"/>
      <c r="AB108" s="20"/>
      <c r="AC108" s="20"/>
    </row>
    <row r="109">
      <c r="A109" s="24" t="s">
        <v>528</v>
      </c>
      <c r="B109" s="24" t="s">
        <v>529</v>
      </c>
      <c r="C109" s="24" t="s">
        <v>51</v>
      </c>
      <c r="D109" s="24" t="s">
        <v>530</v>
      </c>
      <c r="E109" s="24" t="s">
        <v>531</v>
      </c>
      <c r="F109" s="24" t="s">
        <v>532</v>
      </c>
      <c r="G109" s="24">
        <v>2021.0</v>
      </c>
      <c r="H109" s="14" t="s">
        <v>1175</v>
      </c>
      <c r="I109" s="14" t="s">
        <v>82</v>
      </c>
      <c r="J109" s="14" t="s">
        <v>1175</v>
      </c>
      <c r="K109" s="14" t="s">
        <v>69</v>
      </c>
      <c r="L109" s="64" t="s">
        <v>1176</v>
      </c>
      <c r="M109" s="16" t="s">
        <v>363</v>
      </c>
      <c r="N109" s="16" t="s">
        <v>86</v>
      </c>
      <c r="O109" s="16" t="s">
        <v>1177</v>
      </c>
      <c r="P109" s="19" t="s">
        <v>1178</v>
      </c>
      <c r="Q109" s="19" t="s">
        <v>69</v>
      </c>
      <c r="R109" s="104" t="s">
        <v>1179</v>
      </c>
      <c r="S109" s="20"/>
      <c r="T109" s="20"/>
      <c r="U109" s="20"/>
      <c r="V109" s="20"/>
      <c r="W109" s="20"/>
      <c r="X109" s="20"/>
      <c r="Y109" s="20"/>
      <c r="Z109" s="20"/>
      <c r="AA109" s="20"/>
      <c r="AB109" s="20"/>
      <c r="AC109" s="20"/>
    </row>
    <row r="110" hidden="1">
      <c r="A110" s="10" t="s">
        <v>540</v>
      </c>
      <c r="B110" s="10" t="s">
        <v>937</v>
      </c>
      <c r="C110" s="10" t="s">
        <v>51</v>
      </c>
      <c r="D110" s="95" t="s">
        <v>939</v>
      </c>
      <c r="E110" s="95" t="s">
        <v>940</v>
      </c>
      <c r="F110" s="10" t="s">
        <v>102</v>
      </c>
      <c r="G110" s="10">
        <v>2018.0</v>
      </c>
      <c r="H110" s="14"/>
      <c r="I110" s="14"/>
      <c r="J110" s="14"/>
      <c r="K110" s="14"/>
      <c r="L110" s="14" t="s">
        <v>1185</v>
      </c>
      <c r="M110" s="16"/>
      <c r="N110" s="16"/>
      <c r="O110" s="16"/>
      <c r="P110" s="19"/>
      <c r="Q110" s="19"/>
      <c r="R110" s="19"/>
      <c r="S110" s="20"/>
      <c r="T110" s="20"/>
      <c r="U110" s="20"/>
      <c r="V110" s="20"/>
      <c r="W110" s="20"/>
      <c r="X110" s="20"/>
      <c r="Y110" s="20"/>
      <c r="Z110" s="20"/>
      <c r="AA110" s="20"/>
      <c r="AB110" s="20"/>
      <c r="AC110" s="20"/>
    </row>
    <row r="111">
      <c r="A111" s="10" t="s">
        <v>540</v>
      </c>
      <c r="B111" s="10" t="s">
        <v>541</v>
      </c>
      <c r="C111" s="10" t="s">
        <v>77</v>
      </c>
      <c r="D111" s="68" t="s">
        <v>542</v>
      </c>
      <c r="E111" s="68" t="s">
        <v>543</v>
      </c>
      <c r="F111" s="10" t="s">
        <v>191</v>
      </c>
      <c r="G111" s="10">
        <v>2021.0</v>
      </c>
      <c r="H111" s="14" t="s">
        <v>1186</v>
      </c>
      <c r="I111" s="14" t="s">
        <v>1187</v>
      </c>
      <c r="J111" s="14" t="s">
        <v>1186</v>
      </c>
      <c r="K111" s="14" t="s">
        <v>69</v>
      </c>
      <c r="L111" s="64" t="s">
        <v>1188</v>
      </c>
      <c r="M111" s="16" t="s">
        <v>1190</v>
      </c>
      <c r="N111" s="16" t="s">
        <v>86</v>
      </c>
      <c r="O111" s="16" t="s">
        <v>1194</v>
      </c>
      <c r="P111" s="19" t="s">
        <v>122</v>
      </c>
      <c r="Q111" s="19" t="s">
        <v>123</v>
      </c>
      <c r="R111" s="104" t="s">
        <v>1195</v>
      </c>
      <c r="S111" s="20"/>
      <c r="T111" s="20"/>
      <c r="U111" s="20"/>
      <c r="V111" s="20"/>
      <c r="W111" s="20"/>
      <c r="X111" s="20"/>
      <c r="Y111" s="20"/>
      <c r="Z111" s="20"/>
      <c r="AA111" s="20"/>
      <c r="AB111" s="20"/>
      <c r="AC111" s="20"/>
    </row>
    <row r="112">
      <c r="A112" s="24" t="s">
        <v>548</v>
      </c>
      <c r="B112" s="24" t="s">
        <v>549</v>
      </c>
      <c r="C112" s="24" t="s">
        <v>77</v>
      </c>
      <c r="D112" s="69" t="s">
        <v>550</v>
      </c>
      <c r="E112" s="69" t="s">
        <v>551</v>
      </c>
      <c r="F112" s="24" t="s">
        <v>552</v>
      </c>
      <c r="G112" s="24">
        <v>2021.0</v>
      </c>
      <c r="H112" s="14" t="s">
        <v>81</v>
      </c>
      <c r="I112" s="14" t="s">
        <v>81</v>
      </c>
      <c r="J112" s="14" t="s">
        <v>81</v>
      </c>
      <c r="K112" s="14" t="s">
        <v>69</v>
      </c>
      <c r="L112" s="64" t="s">
        <v>1196</v>
      </c>
      <c r="M112" s="16" t="s">
        <v>1197</v>
      </c>
      <c r="N112" s="16" t="s">
        <v>69</v>
      </c>
      <c r="O112" s="16" t="s">
        <v>1198</v>
      </c>
      <c r="P112" s="19" t="s">
        <v>73</v>
      </c>
      <c r="Q112" s="19" t="s">
        <v>69</v>
      </c>
      <c r="R112" s="104" t="s">
        <v>1199</v>
      </c>
      <c r="S112" s="20"/>
      <c r="T112" s="20"/>
      <c r="U112" s="20"/>
      <c r="V112" s="20"/>
      <c r="W112" s="20"/>
      <c r="X112" s="20"/>
      <c r="Y112" s="20"/>
      <c r="Z112" s="20"/>
      <c r="AA112" s="20"/>
      <c r="AB112" s="20"/>
      <c r="AC112" s="20"/>
    </row>
    <row r="113" hidden="1">
      <c r="A113" s="10" t="s">
        <v>554</v>
      </c>
      <c r="B113" s="10" t="s">
        <v>947</v>
      </c>
      <c r="C113" s="10" t="s">
        <v>51</v>
      </c>
      <c r="D113" s="95" t="s">
        <v>948</v>
      </c>
      <c r="E113" s="95" t="s">
        <v>949</v>
      </c>
      <c r="F113" s="73" t="s">
        <v>950</v>
      </c>
      <c r="G113" s="10">
        <v>2021.0</v>
      </c>
      <c r="H113" s="14"/>
      <c r="I113" s="14"/>
      <c r="J113" s="14"/>
      <c r="K113" s="14"/>
      <c r="L113" s="64" t="s">
        <v>1200</v>
      </c>
      <c r="M113" s="16"/>
      <c r="N113" s="16"/>
      <c r="O113" s="16"/>
      <c r="P113" s="19"/>
      <c r="Q113" s="19"/>
      <c r="R113" s="19"/>
      <c r="S113" s="20"/>
      <c r="T113" s="20"/>
      <c r="U113" s="20"/>
      <c r="V113" s="20"/>
      <c r="W113" s="20"/>
      <c r="X113" s="20"/>
      <c r="Y113" s="20"/>
      <c r="Z113" s="20"/>
      <c r="AA113" s="20"/>
      <c r="AB113" s="20"/>
      <c r="AC113" s="20"/>
    </row>
    <row r="114">
      <c r="A114" s="10" t="s">
        <v>554</v>
      </c>
      <c r="B114" s="10" t="s">
        <v>555</v>
      </c>
      <c r="C114" s="10" t="s">
        <v>77</v>
      </c>
      <c r="D114" s="68" t="s">
        <v>558</v>
      </c>
      <c r="E114" s="68" t="s">
        <v>559</v>
      </c>
      <c r="F114" s="10" t="s">
        <v>560</v>
      </c>
      <c r="G114" s="10">
        <v>2023.0</v>
      </c>
      <c r="H114" s="14" t="s">
        <v>81</v>
      </c>
      <c r="I114" s="14" t="s">
        <v>82</v>
      </c>
      <c r="J114" s="14" t="s">
        <v>81</v>
      </c>
      <c r="K114" s="14" t="s">
        <v>1201</v>
      </c>
      <c r="L114" s="64" t="s">
        <v>1202</v>
      </c>
      <c r="M114" s="16" t="s">
        <v>1203</v>
      </c>
      <c r="N114" s="16" t="s">
        <v>69</v>
      </c>
      <c r="O114" s="16" t="s">
        <v>1204</v>
      </c>
      <c r="P114" s="19" t="s">
        <v>902</v>
      </c>
      <c r="Q114" s="19" t="s">
        <v>1205</v>
      </c>
      <c r="R114" s="104" t="s">
        <v>1206</v>
      </c>
      <c r="S114" s="20"/>
      <c r="T114" s="20"/>
      <c r="U114" s="20"/>
      <c r="V114" s="20"/>
      <c r="W114" s="20"/>
      <c r="X114" s="20"/>
      <c r="Y114" s="20"/>
      <c r="Z114" s="20"/>
      <c r="AA114" s="20"/>
      <c r="AB114" s="20"/>
      <c r="AC114" s="20"/>
    </row>
    <row r="115">
      <c r="A115" s="24" t="s">
        <v>568</v>
      </c>
      <c r="B115" s="24" t="s">
        <v>569</v>
      </c>
      <c r="C115" s="24" t="s">
        <v>51</v>
      </c>
      <c r="D115" s="69" t="s">
        <v>570</v>
      </c>
      <c r="E115" s="69" t="s">
        <v>571</v>
      </c>
      <c r="F115" s="24" t="s">
        <v>572</v>
      </c>
      <c r="G115" s="24">
        <v>2018.0</v>
      </c>
      <c r="H115" s="14" t="s">
        <v>1107</v>
      </c>
      <c r="I115" s="14" t="s">
        <v>69</v>
      </c>
      <c r="J115" s="14" t="s">
        <v>1107</v>
      </c>
      <c r="K115" s="14" t="s">
        <v>69</v>
      </c>
      <c r="L115" s="14" t="s">
        <v>1207</v>
      </c>
      <c r="M115" s="16" t="s">
        <v>363</v>
      </c>
      <c r="N115" s="16" t="s">
        <v>69</v>
      </c>
      <c r="O115" s="16" t="s">
        <v>1208</v>
      </c>
      <c r="P115" s="19" t="s">
        <v>69</v>
      </c>
      <c r="Q115" s="19" t="s">
        <v>123</v>
      </c>
      <c r="R115" s="19" t="s">
        <v>1209</v>
      </c>
      <c r="S115" s="20"/>
      <c r="T115" s="20"/>
      <c r="U115" s="20"/>
      <c r="V115" s="20"/>
      <c r="W115" s="20"/>
      <c r="X115" s="20"/>
      <c r="Y115" s="20"/>
      <c r="Z115" s="20"/>
      <c r="AA115" s="20"/>
      <c r="AB115" s="20"/>
      <c r="AC115" s="20"/>
    </row>
    <row r="116">
      <c r="A116" s="76" t="s">
        <v>957</v>
      </c>
      <c r="B116" s="76" t="s">
        <v>958</v>
      </c>
      <c r="C116" s="76" t="s">
        <v>77</v>
      </c>
      <c r="D116" s="82" t="s">
        <v>959</v>
      </c>
      <c r="E116" s="82" t="s">
        <v>960</v>
      </c>
      <c r="F116" s="76" t="s">
        <v>961</v>
      </c>
      <c r="G116" s="76">
        <v>2011.0</v>
      </c>
      <c r="H116" s="14" t="s">
        <v>1210</v>
      </c>
      <c r="I116" s="14" t="s">
        <v>69</v>
      </c>
      <c r="J116" s="14" t="s">
        <v>1210</v>
      </c>
      <c r="K116" s="14" t="s">
        <v>69</v>
      </c>
      <c r="L116" s="14" t="s">
        <v>1211</v>
      </c>
      <c r="M116" s="16" t="s">
        <v>1212</v>
      </c>
      <c r="N116" s="16" t="s">
        <v>69</v>
      </c>
      <c r="O116" s="16" t="s">
        <v>1213</v>
      </c>
      <c r="P116" s="19" t="s">
        <v>337</v>
      </c>
      <c r="Q116" s="19" t="s">
        <v>69</v>
      </c>
      <c r="R116" s="96" t="s">
        <v>1214</v>
      </c>
      <c r="S116" s="20"/>
      <c r="T116" s="20"/>
      <c r="U116" s="20"/>
      <c r="V116" s="20"/>
      <c r="W116" s="20"/>
      <c r="X116" s="20"/>
      <c r="Y116" s="20"/>
      <c r="Z116" s="20"/>
      <c r="AA116" s="20"/>
      <c r="AB116" s="20"/>
      <c r="AC116" s="20"/>
    </row>
    <row r="117">
      <c r="A117" s="24" t="s">
        <v>580</v>
      </c>
      <c r="B117" s="24" t="s">
        <v>581</v>
      </c>
      <c r="C117" s="24" t="s">
        <v>77</v>
      </c>
      <c r="D117" s="69" t="s">
        <v>582</v>
      </c>
      <c r="E117" s="69" t="s">
        <v>583</v>
      </c>
      <c r="F117" s="24" t="s">
        <v>278</v>
      </c>
      <c r="G117" s="24">
        <v>2017.0</v>
      </c>
      <c r="H117" s="14" t="s">
        <v>81</v>
      </c>
      <c r="I117" s="14" t="s">
        <v>69</v>
      </c>
      <c r="J117" s="14" t="s">
        <v>81</v>
      </c>
      <c r="K117" s="14" t="s">
        <v>69</v>
      </c>
      <c r="L117" s="14" t="s">
        <v>1215</v>
      </c>
      <c r="M117" s="16" t="s">
        <v>1216</v>
      </c>
      <c r="N117" s="16" t="s">
        <v>69</v>
      </c>
      <c r="O117" s="16" t="s">
        <v>1217</v>
      </c>
      <c r="P117" s="19" t="s">
        <v>1218</v>
      </c>
      <c r="Q117" s="19" t="s">
        <v>69</v>
      </c>
      <c r="R117" s="96" t="s">
        <v>1219</v>
      </c>
      <c r="S117" s="20"/>
      <c r="T117" s="20"/>
      <c r="U117" s="20"/>
      <c r="V117" s="20"/>
      <c r="W117" s="20"/>
      <c r="X117" s="20"/>
      <c r="Y117" s="20"/>
      <c r="Z117" s="20"/>
      <c r="AA117" s="20"/>
      <c r="AB117" s="20"/>
      <c r="AC117" s="20"/>
    </row>
    <row r="118">
      <c r="A118" s="10" t="s">
        <v>593</v>
      </c>
      <c r="B118" s="10" t="s">
        <v>594</v>
      </c>
      <c r="C118" s="10" t="s">
        <v>77</v>
      </c>
      <c r="D118" s="97" t="s">
        <v>596</v>
      </c>
      <c r="E118" s="97" t="s">
        <v>597</v>
      </c>
      <c r="F118" s="10" t="s">
        <v>598</v>
      </c>
      <c r="G118" s="10">
        <v>2020.0</v>
      </c>
      <c r="H118" s="14" t="s">
        <v>1220</v>
      </c>
      <c r="I118" s="14" t="s">
        <v>82</v>
      </c>
      <c r="J118" s="14" t="s">
        <v>1220</v>
      </c>
      <c r="K118" s="14" t="s">
        <v>86</v>
      </c>
      <c r="L118" s="64" t="s">
        <v>1221</v>
      </c>
      <c r="M118" s="16" t="s">
        <v>1222</v>
      </c>
      <c r="N118" s="16" t="s">
        <v>86</v>
      </c>
      <c r="O118" s="16" t="s">
        <v>1223</v>
      </c>
      <c r="P118" s="19" t="s">
        <v>122</v>
      </c>
      <c r="Q118" s="19" t="s">
        <v>69</v>
      </c>
      <c r="R118" s="104" t="s">
        <v>1224</v>
      </c>
      <c r="S118" s="20"/>
      <c r="T118" s="20"/>
      <c r="U118" s="20"/>
      <c r="V118" s="20"/>
      <c r="W118" s="20"/>
      <c r="X118" s="20"/>
      <c r="Y118" s="20"/>
      <c r="Z118" s="20"/>
      <c r="AA118" s="20"/>
      <c r="AB118" s="20"/>
      <c r="AC118" s="20"/>
    </row>
    <row r="119">
      <c r="A119" s="76" t="s">
        <v>975</v>
      </c>
      <c r="B119" s="76" t="s">
        <v>976</v>
      </c>
      <c r="C119" s="76" t="s">
        <v>51</v>
      </c>
      <c r="D119" s="82" t="s">
        <v>977</v>
      </c>
      <c r="E119" s="82" t="s">
        <v>978</v>
      </c>
      <c r="F119" s="76" t="s">
        <v>979</v>
      </c>
      <c r="G119" s="76">
        <v>2019.0</v>
      </c>
      <c r="H119" s="14" t="s">
        <v>69</v>
      </c>
      <c r="I119" s="14" t="s">
        <v>69</v>
      </c>
      <c r="J119" s="14" t="s">
        <v>69</v>
      </c>
      <c r="K119" s="14" t="s">
        <v>69</v>
      </c>
      <c r="L119" s="64" t="s">
        <v>1225</v>
      </c>
      <c r="M119" s="16" t="s">
        <v>85</v>
      </c>
      <c r="N119" s="16" t="s">
        <v>69</v>
      </c>
      <c r="O119" s="16" t="s">
        <v>1226</v>
      </c>
      <c r="P119" s="19" t="s">
        <v>337</v>
      </c>
      <c r="Q119" s="19" t="s">
        <v>69</v>
      </c>
      <c r="R119" s="19" t="s">
        <v>1227</v>
      </c>
      <c r="S119" s="20"/>
      <c r="T119" s="20"/>
      <c r="U119" s="20"/>
      <c r="V119" s="20"/>
      <c r="W119" s="20"/>
      <c r="X119" s="20"/>
      <c r="Y119" s="20"/>
      <c r="Z119" s="20"/>
      <c r="AA119" s="20"/>
      <c r="AB119" s="20"/>
      <c r="AC119" s="20"/>
    </row>
    <row r="120">
      <c r="A120" s="76" t="s">
        <v>983</v>
      </c>
      <c r="B120" s="76" t="s">
        <v>984</v>
      </c>
      <c r="C120" s="76" t="s">
        <v>51</v>
      </c>
      <c r="D120" s="82" t="s">
        <v>985</v>
      </c>
      <c r="E120" s="82" t="s">
        <v>986</v>
      </c>
      <c r="F120" s="76" t="s">
        <v>987</v>
      </c>
      <c r="G120" s="76">
        <v>2012.0</v>
      </c>
      <c r="H120" s="14" t="s">
        <v>81</v>
      </c>
      <c r="I120" s="14" t="s">
        <v>69</v>
      </c>
      <c r="J120" s="14" t="s">
        <v>81</v>
      </c>
      <c r="K120" s="14" t="s">
        <v>69</v>
      </c>
      <c r="L120" s="64" t="s">
        <v>1228</v>
      </c>
      <c r="M120" s="16" t="s">
        <v>1229</v>
      </c>
      <c r="N120" s="16" t="s">
        <v>69</v>
      </c>
      <c r="O120" s="16" t="s">
        <v>1230</v>
      </c>
      <c r="P120" s="19" t="s">
        <v>337</v>
      </c>
      <c r="Q120" s="19" t="s">
        <v>69</v>
      </c>
      <c r="R120" s="19" t="s">
        <v>1231</v>
      </c>
      <c r="S120" s="20"/>
      <c r="T120" s="20"/>
      <c r="U120" s="20"/>
      <c r="V120" s="20"/>
      <c r="W120" s="20"/>
      <c r="X120" s="20"/>
      <c r="Y120" s="20"/>
      <c r="Z120" s="20"/>
      <c r="AA120" s="20"/>
      <c r="AB120" s="20"/>
      <c r="AC120" s="20"/>
    </row>
    <row r="121">
      <c r="A121" s="76" t="s">
        <v>991</v>
      </c>
      <c r="B121" s="76" t="s">
        <v>992</v>
      </c>
      <c r="C121" s="76" t="s">
        <v>77</v>
      </c>
      <c r="D121" s="82" t="s">
        <v>993</v>
      </c>
      <c r="E121" s="82" t="s">
        <v>994</v>
      </c>
      <c r="F121" s="76" t="s">
        <v>114</v>
      </c>
      <c r="G121" s="76">
        <v>2005.0</v>
      </c>
      <c r="H121" s="14" t="s">
        <v>81</v>
      </c>
      <c r="I121" s="14" t="s">
        <v>81</v>
      </c>
      <c r="J121" s="14" t="s">
        <v>81</v>
      </c>
      <c r="K121" s="14" t="s">
        <v>69</v>
      </c>
      <c r="L121" s="64" t="s">
        <v>1232</v>
      </c>
      <c r="M121" s="16" t="s">
        <v>1233</v>
      </c>
      <c r="N121" s="16" t="s">
        <v>1234</v>
      </c>
      <c r="O121" s="16" t="s">
        <v>1235</v>
      </c>
      <c r="P121" s="19" t="s">
        <v>337</v>
      </c>
      <c r="Q121" s="19" t="s">
        <v>69</v>
      </c>
      <c r="R121" s="19" t="s">
        <v>1236</v>
      </c>
      <c r="S121" s="20"/>
      <c r="T121" s="20"/>
      <c r="U121" s="20"/>
      <c r="V121" s="20"/>
      <c r="W121" s="20"/>
      <c r="X121" s="20"/>
      <c r="Y121" s="20"/>
      <c r="Z121" s="20"/>
      <c r="AA121" s="20"/>
      <c r="AB121" s="20"/>
      <c r="AC121" s="20"/>
    </row>
    <row r="122">
      <c r="A122" s="10" t="s">
        <v>606</v>
      </c>
      <c r="B122" s="10" t="s">
        <v>607</v>
      </c>
      <c r="C122" s="10" t="s">
        <v>77</v>
      </c>
      <c r="D122" s="68" t="s">
        <v>609</v>
      </c>
      <c r="E122" s="10" t="s">
        <v>611</v>
      </c>
      <c r="F122" s="10" t="s">
        <v>612</v>
      </c>
      <c r="G122" s="10">
        <v>2010.0</v>
      </c>
      <c r="H122" s="14" t="s">
        <v>1237</v>
      </c>
      <c r="I122" s="14" t="s">
        <v>1063</v>
      </c>
      <c r="J122" s="14" t="s">
        <v>1238</v>
      </c>
      <c r="K122" s="14" t="s">
        <v>69</v>
      </c>
      <c r="L122" s="64" t="s">
        <v>1239</v>
      </c>
      <c r="M122" s="16" t="s">
        <v>1240</v>
      </c>
      <c r="N122" s="16" t="s">
        <v>69</v>
      </c>
      <c r="O122" s="16" t="s">
        <v>1241</v>
      </c>
      <c r="P122" s="19" t="s">
        <v>69</v>
      </c>
      <c r="Q122" s="96" t="s">
        <v>1242</v>
      </c>
      <c r="R122" s="104" t="s">
        <v>1243</v>
      </c>
      <c r="S122" s="20"/>
      <c r="T122" s="20"/>
      <c r="U122" s="20"/>
      <c r="V122" s="20"/>
      <c r="W122" s="20"/>
      <c r="X122" s="20"/>
      <c r="Y122" s="20"/>
      <c r="Z122" s="20"/>
      <c r="AA122" s="20"/>
      <c r="AB122" s="20"/>
      <c r="AC122" s="20"/>
    </row>
    <row r="123" hidden="1">
      <c r="A123" s="10"/>
      <c r="B123" s="10" t="s">
        <v>997</v>
      </c>
      <c r="C123" s="10" t="s">
        <v>51</v>
      </c>
      <c r="D123" s="95" t="s">
        <v>609</v>
      </c>
      <c r="E123" s="95" t="s">
        <v>999</v>
      </c>
      <c r="F123" s="10" t="s">
        <v>1000</v>
      </c>
      <c r="G123" s="10">
        <v>2006.0</v>
      </c>
      <c r="H123" s="14"/>
      <c r="I123" s="14"/>
      <c r="J123" s="14"/>
      <c r="K123" s="14"/>
      <c r="L123" s="14" t="s">
        <v>1244</v>
      </c>
      <c r="M123" s="16"/>
      <c r="N123" s="16"/>
      <c r="O123" s="16"/>
      <c r="P123" s="19"/>
      <c r="Q123" s="19"/>
      <c r="R123" s="19"/>
      <c r="S123" s="20"/>
      <c r="T123" s="20"/>
      <c r="U123" s="20"/>
      <c r="V123" s="20"/>
      <c r="W123" s="20"/>
      <c r="X123" s="20"/>
      <c r="Y123" s="20"/>
      <c r="Z123" s="20"/>
      <c r="AA123" s="20"/>
      <c r="AB123" s="20"/>
      <c r="AC123" s="20"/>
    </row>
    <row r="124" hidden="1">
      <c r="A124" s="10"/>
      <c r="B124" s="10" t="s">
        <v>1006</v>
      </c>
      <c r="C124" s="10" t="s">
        <v>51</v>
      </c>
      <c r="D124" s="95" t="s">
        <v>609</v>
      </c>
      <c r="E124" s="10" t="s">
        <v>1009</v>
      </c>
      <c r="F124" s="10" t="s">
        <v>1010</v>
      </c>
      <c r="G124" s="10">
        <v>2006.0</v>
      </c>
      <c r="H124" s="14"/>
      <c r="I124" s="14"/>
      <c r="J124" s="14"/>
      <c r="K124" s="14"/>
      <c r="L124" s="64" t="s">
        <v>1245</v>
      </c>
      <c r="M124" s="16"/>
      <c r="N124" s="16"/>
      <c r="O124" s="16"/>
      <c r="P124" s="19"/>
      <c r="Q124" s="19"/>
      <c r="R124" s="19"/>
      <c r="S124" s="20"/>
      <c r="T124" s="20"/>
      <c r="U124" s="20"/>
      <c r="V124" s="20"/>
      <c r="W124" s="20"/>
      <c r="X124" s="20"/>
      <c r="Y124" s="20"/>
      <c r="Z124" s="20"/>
      <c r="AA124" s="20"/>
      <c r="AB124" s="20"/>
      <c r="AC124" s="20"/>
    </row>
    <row r="125" hidden="1">
      <c r="A125" s="24" t="s">
        <v>1013</v>
      </c>
      <c r="B125" s="24" t="s">
        <v>1014</v>
      </c>
      <c r="C125" s="24" t="s">
        <v>51</v>
      </c>
      <c r="D125" s="63" t="s">
        <v>1015</v>
      </c>
      <c r="E125" s="63" t="s">
        <v>1016</v>
      </c>
      <c r="F125" s="24" t="s">
        <v>1017</v>
      </c>
      <c r="G125" s="24">
        <v>2008.0</v>
      </c>
      <c r="H125" s="14"/>
      <c r="I125" s="14"/>
      <c r="J125" s="14"/>
      <c r="K125" s="14"/>
      <c r="L125" s="64" t="s">
        <v>1246</v>
      </c>
      <c r="M125" s="16"/>
      <c r="N125" s="16"/>
      <c r="O125" s="16"/>
      <c r="P125" s="19"/>
      <c r="Q125" s="19"/>
      <c r="R125" s="19"/>
      <c r="S125" s="20"/>
      <c r="T125" s="20"/>
      <c r="U125" s="20"/>
      <c r="V125" s="20"/>
      <c r="W125" s="20"/>
      <c r="X125" s="20"/>
      <c r="Y125" s="20"/>
      <c r="Z125" s="20"/>
      <c r="AA125" s="20"/>
      <c r="AB125" s="20"/>
      <c r="AC125" s="20"/>
    </row>
    <row r="126">
      <c r="A126" s="76" t="s">
        <v>1013</v>
      </c>
      <c r="B126" s="76" t="s">
        <v>1018</v>
      </c>
      <c r="C126" s="76" t="s">
        <v>77</v>
      </c>
      <c r="D126" s="82" t="s">
        <v>1020</v>
      </c>
      <c r="E126" s="82" t="s">
        <v>1021</v>
      </c>
      <c r="F126" s="76" t="s">
        <v>1022</v>
      </c>
      <c r="G126" s="76">
        <v>2009.0</v>
      </c>
      <c r="H126" s="14" t="s">
        <v>1247</v>
      </c>
      <c r="I126" s="14" t="s">
        <v>69</v>
      </c>
      <c r="J126" s="14" t="s">
        <v>1247</v>
      </c>
      <c r="K126" s="14" t="s">
        <v>1094</v>
      </c>
      <c r="L126" s="14" t="s">
        <v>1248</v>
      </c>
      <c r="M126" s="16" t="s">
        <v>1094</v>
      </c>
      <c r="N126" s="16" t="s">
        <v>69</v>
      </c>
      <c r="O126" s="16" t="s">
        <v>1249</v>
      </c>
      <c r="P126" s="19" t="s">
        <v>1250</v>
      </c>
      <c r="Q126" s="19" t="s">
        <v>69</v>
      </c>
      <c r="R126" s="19" t="s">
        <v>1251</v>
      </c>
      <c r="S126" s="20"/>
      <c r="T126" s="20"/>
      <c r="U126" s="20"/>
      <c r="V126" s="20"/>
      <c r="W126" s="20"/>
      <c r="X126" s="20"/>
      <c r="Y126" s="20"/>
      <c r="Z126" s="20"/>
      <c r="AA126" s="20"/>
      <c r="AB126" s="20"/>
      <c r="AC126" s="20"/>
    </row>
    <row r="127" hidden="1">
      <c r="A127" s="62"/>
      <c r="B127" s="24" t="s">
        <v>1027</v>
      </c>
      <c r="C127" s="24" t="s">
        <v>51</v>
      </c>
      <c r="D127" s="63" t="s">
        <v>1015</v>
      </c>
      <c r="E127" s="63" t="s">
        <v>1028</v>
      </c>
      <c r="F127" s="24" t="s">
        <v>275</v>
      </c>
      <c r="G127" s="24">
        <v>2009.0</v>
      </c>
      <c r="H127" s="14"/>
      <c r="I127" s="14"/>
      <c r="J127" s="14"/>
      <c r="K127" s="14"/>
      <c r="L127" s="64" t="s">
        <v>1252</v>
      </c>
      <c r="M127" s="16"/>
      <c r="N127" s="16"/>
      <c r="O127" s="16"/>
      <c r="P127" s="19"/>
      <c r="Q127" s="19"/>
      <c r="R127" s="19"/>
      <c r="S127" s="20"/>
      <c r="T127" s="20"/>
      <c r="U127" s="20"/>
      <c r="V127" s="20"/>
      <c r="W127" s="20"/>
      <c r="X127" s="20"/>
      <c r="Y127" s="20"/>
      <c r="Z127" s="20"/>
      <c r="AA127" s="20"/>
      <c r="AB127" s="20"/>
      <c r="AC127" s="20"/>
    </row>
    <row r="128" hidden="1">
      <c r="A128" s="10" t="s">
        <v>617</v>
      </c>
      <c r="B128" s="10" t="s">
        <v>1030</v>
      </c>
      <c r="C128" s="10" t="s">
        <v>51</v>
      </c>
      <c r="D128" s="95" t="s">
        <v>619</v>
      </c>
      <c r="E128" s="95" t="s">
        <v>1031</v>
      </c>
      <c r="F128" s="73" t="s">
        <v>1032</v>
      </c>
      <c r="G128" s="10">
        <v>2010.0</v>
      </c>
      <c r="H128" s="14"/>
      <c r="I128" s="14"/>
      <c r="J128" s="14"/>
      <c r="K128" s="14"/>
      <c r="L128" s="14" t="s">
        <v>1253</v>
      </c>
      <c r="M128" s="16"/>
      <c r="N128" s="16"/>
      <c r="O128" s="16"/>
      <c r="P128" s="19"/>
      <c r="Q128" s="19"/>
      <c r="R128" s="19"/>
      <c r="S128" s="20"/>
      <c r="T128" s="20"/>
      <c r="U128" s="20"/>
      <c r="V128" s="20"/>
      <c r="W128" s="20"/>
      <c r="X128" s="20"/>
      <c r="Y128" s="20"/>
      <c r="Z128" s="20"/>
      <c r="AA128" s="20"/>
      <c r="AB128" s="20"/>
      <c r="AC128" s="20"/>
    </row>
    <row r="129">
      <c r="A129" s="10" t="s">
        <v>617</v>
      </c>
      <c r="B129" s="10" t="s">
        <v>618</v>
      </c>
      <c r="C129" s="10" t="s">
        <v>77</v>
      </c>
      <c r="D129" s="68" t="s">
        <v>619</v>
      </c>
      <c r="E129" s="68" t="s">
        <v>620</v>
      </c>
      <c r="F129" s="10" t="s">
        <v>621</v>
      </c>
      <c r="G129" s="10">
        <v>2010.0</v>
      </c>
      <c r="H129" s="14" t="s">
        <v>81</v>
      </c>
      <c r="I129" s="14" t="s">
        <v>69</v>
      </c>
      <c r="J129" s="14" t="s">
        <v>1254</v>
      </c>
      <c r="K129" s="14" t="s">
        <v>357</v>
      </c>
      <c r="L129" s="64" t="s">
        <v>1255</v>
      </c>
      <c r="M129" s="16" t="s">
        <v>357</v>
      </c>
      <c r="N129" s="16" t="s">
        <v>69</v>
      </c>
      <c r="O129" s="16" t="s">
        <v>1256</v>
      </c>
      <c r="P129" s="19" t="s">
        <v>337</v>
      </c>
      <c r="Q129" s="19" t="s">
        <v>69</v>
      </c>
      <c r="R129" s="104" t="s">
        <v>1257</v>
      </c>
      <c r="S129" s="20"/>
      <c r="T129" s="20"/>
      <c r="U129" s="20"/>
      <c r="V129" s="20"/>
      <c r="W129" s="20"/>
      <c r="X129" s="20"/>
      <c r="Y129" s="20"/>
      <c r="Z129" s="20"/>
      <c r="AA129" s="20"/>
      <c r="AB129" s="20"/>
      <c r="AC129" s="20"/>
    </row>
    <row r="130" hidden="1">
      <c r="A130" s="10"/>
      <c r="B130" s="10" t="s">
        <v>1039</v>
      </c>
      <c r="C130" s="10" t="s">
        <v>51</v>
      </c>
      <c r="D130" s="95" t="s">
        <v>1040</v>
      </c>
      <c r="E130" s="10" t="s">
        <v>1041</v>
      </c>
      <c r="F130" s="73" t="s">
        <v>1042</v>
      </c>
      <c r="G130" s="10">
        <v>2009.0</v>
      </c>
      <c r="H130" s="14"/>
      <c r="I130" s="14"/>
      <c r="J130" s="14"/>
      <c r="K130" s="14"/>
      <c r="L130" s="64" t="s">
        <v>1258</v>
      </c>
      <c r="M130" s="16"/>
      <c r="N130" s="16"/>
      <c r="O130" s="16"/>
      <c r="P130" s="19"/>
      <c r="Q130" s="19"/>
      <c r="R130" s="19"/>
      <c r="S130" s="20"/>
      <c r="T130" s="20"/>
      <c r="U130" s="20"/>
      <c r="V130" s="20"/>
      <c r="W130" s="20"/>
      <c r="X130" s="20"/>
      <c r="Y130" s="20"/>
      <c r="Z130" s="20"/>
      <c r="AA130" s="20"/>
      <c r="AB130" s="20"/>
      <c r="AC130" s="20"/>
    </row>
    <row r="131" hidden="1">
      <c r="A131" s="10"/>
      <c r="B131" s="10" t="s">
        <v>1045</v>
      </c>
      <c r="C131" s="10" t="s">
        <v>51</v>
      </c>
      <c r="D131" s="95" t="s">
        <v>1046</v>
      </c>
      <c r="E131" s="95" t="s">
        <v>1047</v>
      </c>
      <c r="F131" s="10" t="s">
        <v>1048</v>
      </c>
      <c r="G131" s="10">
        <v>2009.0</v>
      </c>
      <c r="H131" s="14"/>
      <c r="I131" s="14"/>
      <c r="J131" s="14"/>
      <c r="K131" s="14"/>
      <c r="L131" s="64" t="s">
        <v>1259</v>
      </c>
      <c r="M131" s="16"/>
      <c r="N131" s="16"/>
      <c r="O131" s="16"/>
      <c r="P131" s="19"/>
      <c r="Q131" s="19"/>
      <c r="R131" s="19"/>
      <c r="S131" s="20"/>
      <c r="T131" s="20"/>
      <c r="U131" s="20"/>
      <c r="V131" s="20"/>
      <c r="W131" s="20"/>
      <c r="X131" s="20"/>
      <c r="Y131" s="20"/>
      <c r="Z131" s="20"/>
      <c r="AA131" s="20"/>
      <c r="AB131" s="20"/>
      <c r="AC131" s="20"/>
    </row>
    <row r="132">
      <c r="A132" s="24" t="s">
        <v>631</v>
      </c>
      <c r="B132" s="24" t="s">
        <v>632</v>
      </c>
      <c r="C132" s="24" t="s">
        <v>51</v>
      </c>
      <c r="D132" s="69" t="s">
        <v>633</v>
      </c>
      <c r="E132" s="69" t="s">
        <v>634</v>
      </c>
      <c r="F132" s="24" t="s">
        <v>635</v>
      </c>
      <c r="G132" s="24">
        <v>2007.0</v>
      </c>
      <c r="H132" s="14" t="s">
        <v>1023</v>
      </c>
      <c r="I132" s="14" t="s">
        <v>82</v>
      </c>
      <c r="J132" s="14" t="s">
        <v>1023</v>
      </c>
      <c r="K132" s="14" t="s">
        <v>69</v>
      </c>
      <c r="L132" s="64" t="s">
        <v>1260</v>
      </c>
      <c r="M132" s="78" t="s">
        <v>1261</v>
      </c>
      <c r="N132" s="78" t="s">
        <v>69</v>
      </c>
      <c r="O132" s="78" t="s">
        <v>1262</v>
      </c>
      <c r="P132" s="79" t="s">
        <v>1218</v>
      </c>
      <c r="Q132" s="79" t="s">
        <v>69</v>
      </c>
      <c r="R132" s="79" t="s">
        <v>1263</v>
      </c>
      <c r="S132" s="20"/>
      <c r="T132" s="20"/>
      <c r="U132" s="20"/>
      <c r="V132" s="20"/>
      <c r="W132" s="20"/>
      <c r="X132" s="20"/>
      <c r="Y132" s="20"/>
      <c r="Z132" s="20"/>
      <c r="AA132" s="20"/>
      <c r="AB132" s="20"/>
      <c r="AC132" s="20"/>
    </row>
    <row r="133" hidden="1">
      <c r="A133" s="24"/>
      <c r="B133" s="24" t="s">
        <v>1054</v>
      </c>
      <c r="C133" s="24" t="s">
        <v>51</v>
      </c>
      <c r="D133" s="69" t="s">
        <v>633</v>
      </c>
      <c r="E133" s="69" t="s">
        <v>1055</v>
      </c>
      <c r="F133" s="24" t="s">
        <v>1056</v>
      </c>
      <c r="G133" s="24">
        <v>2008.0</v>
      </c>
      <c r="H133" s="14"/>
      <c r="I133" s="14"/>
      <c r="J133" s="14"/>
      <c r="K133" s="14"/>
      <c r="L133" s="64" t="s">
        <v>1264</v>
      </c>
      <c r="M133" s="16"/>
      <c r="N133" s="16"/>
      <c r="O133" s="16"/>
      <c r="P133" s="19"/>
      <c r="Q133" s="19"/>
      <c r="R133" s="19"/>
      <c r="S133" s="20"/>
      <c r="T133" s="20"/>
      <c r="U133" s="20"/>
      <c r="V133" s="20"/>
      <c r="W133" s="20"/>
      <c r="X133" s="20"/>
      <c r="Y133" s="20"/>
      <c r="Z133" s="20"/>
      <c r="AA133" s="20"/>
      <c r="AB133" s="20"/>
      <c r="AC133" s="20"/>
    </row>
    <row r="134">
      <c r="A134" s="76" t="s">
        <v>1058</v>
      </c>
      <c r="B134" s="76" t="s">
        <v>1059</v>
      </c>
      <c r="C134" s="76" t="s">
        <v>51</v>
      </c>
      <c r="D134" s="82" t="s">
        <v>1060</v>
      </c>
      <c r="E134" s="82" t="s">
        <v>1061</v>
      </c>
      <c r="F134" s="76" t="s">
        <v>1062</v>
      </c>
      <c r="G134" s="76">
        <v>2020.0</v>
      </c>
      <c r="H134" s="14" t="s">
        <v>81</v>
      </c>
      <c r="I134" s="14" t="s">
        <v>69</v>
      </c>
      <c r="J134" s="14" t="s">
        <v>81</v>
      </c>
      <c r="K134" s="14" t="s">
        <v>69</v>
      </c>
      <c r="L134" s="14" t="s">
        <v>1265</v>
      </c>
      <c r="M134" s="16" t="s">
        <v>1266</v>
      </c>
      <c r="N134" s="16" t="s">
        <v>69</v>
      </c>
      <c r="O134" s="16" t="s">
        <v>1267</v>
      </c>
      <c r="P134" s="19" t="s">
        <v>337</v>
      </c>
      <c r="Q134" s="19" t="s">
        <v>69</v>
      </c>
      <c r="R134" s="19" t="s">
        <v>1268</v>
      </c>
      <c r="S134" s="20"/>
      <c r="T134" s="20"/>
      <c r="U134" s="20"/>
      <c r="V134" s="20"/>
      <c r="W134" s="20"/>
      <c r="X134" s="20"/>
      <c r="Y134" s="20"/>
      <c r="Z134" s="20"/>
      <c r="AA134" s="20"/>
      <c r="AB134" s="20"/>
      <c r="AC134" s="20"/>
    </row>
    <row r="135">
      <c r="A135" s="76" t="s">
        <v>1064</v>
      </c>
      <c r="B135" s="76" t="s">
        <v>1065</v>
      </c>
      <c r="C135" s="76" t="s">
        <v>77</v>
      </c>
      <c r="D135" s="82" t="s">
        <v>1066</v>
      </c>
      <c r="E135" s="82" t="s">
        <v>1067</v>
      </c>
      <c r="F135" s="76" t="s">
        <v>494</v>
      </c>
      <c r="G135" s="76">
        <v>2001.0</v>
      </c>
      <c r="H135" s="14" t="s">
        <v>69</v>
      </c>
      <c r="I135" s="14" t="s">
        <v>82</v>
      </c>
      <c r="J135" s="14" t="s">
        <v>69</v>
      </c>
      <c r="K135" s="14" t="s">
        <v>69</v>
      </c>
      <c r="L135" s="64" t="s">
        <v>1269</v>
      </c>
      <c r="M135" s="16" t="s">
        <v>69</v>
      </c>
      <c r="N135" s="16" t="s">
        <v>69</v>
      </c>
      <c r="O135" s="16" t="s">
        <v>1270</v>
      </c>
      <c r="P135" s="19" t="s">
        <v>337</v>
      </c>
      <c r="Q135" s="19" t="s">
        <v>69</v>
      </c>
      <c r="R135" s="104" t="s">
        <v>1271</v>
      </c>
      <c r="S135" s="20"/>
      <c r="T135" s="20"/>
      <c r="U135" s="20"/>
      <c r="V135" s="20"/>
      <c r="W135" s="20"/>
      <c r="X135" s="20"/>
      <c r="Y135" s="20"/>
      <c r="Z135" s="20"/>
      <c r="AA135" s="20"/>
      <c r="AB135" s="20"/>
      <c r="AC135" s="20"/>
    </row>
    <row r="136">
      <c r="A136" s="76" t="s">
        <v>1071</v>
      </c>
      <c r="B136" s="76" t="s">
        <v>1072</v>
      </c>
      <c r="C136" s="76" t="s">
        <v>51</v>
      </c>
      <c r="D136" s="82" t="s">
        <v>1073</v>
      </c>
      <c r="E136" s="76" t="s">
        <v>1075</v>
      </c>
      <c r="F136" s="82" t="s">
        <v>1076</v>
      </c>
      <c r="G136" s="76">
        <v>2011.0</v>
      </c>
      <c r="H136" s="14" t="s">
        <v>1272</v>
      </c>
      <c r="I136" s="14" t="s">
        <v>1273</v>
      </c>
      <c r="J136" s="14" t="s">
        <v>1274</v>
      </c>
      <c r="K136" s="14" t="s">
        <v>69</v>
      </c>
      <c r="L136" s="64" t="s">
        <v>1275</v>
      </c>
      <c r="M136" s="16" t="s">
        <v>403</v>
      </c>
      <c r="N136" s="16" t="s">
        <v>69</v>
      </c>
      <c r="O136" s="16" t="s">
        <v>1276</v>
      </c>
      <c r="P136" s="19" t="s">
        <v>73</v>
      </c>
      <c r="Q136" s="19" t="s">
        <v>69</v>
      </c>
      <c r="R136" s="104" t="s">
        <v>1277</v>
      </c>
      <c r="S136" s="20"/>
      <c r="T136" s="20"/>
      <c r="U136" s="20"/>
      <c r="V136" s="20"/>
      <c r="W136" s="20"/>
      <c r="X136" s="20"/>
      <c r="Y136" s="20"/>
      <c r="Z136" s="20"/>
      <c r="AA136" s="20"/>
      <c r="AB136" s="20"/>
      <c r="AC136" s="20"/>
    </row>
    <row r="137">
      <c r="A137" s="24" t="s">
        <v>639</v>
      </c>
      <c r="B137" s="24" t="s">
        <v>640</v>
      </c>
      <c r="C137" s="24" t="s">
        <v>77</v>
      </c>
      <c r="D137" s="69" t="s">
        <v>641</v>
      </c>
      <c r="E137" s="24" t="s">
        <v>642</v>
      </c>
      <c r="F137" s="24" t="s">
        <v>643</v>
      </c>
      <c r="G137" s="24">
        <v>2017.0</v>
      </c>
      <c r="H137" s="14" t="s">
        <v>81</v>
      </c>
      <c r="I137" s="14" t="s">
        <v>69</v>
      </c>
      <c r="J137" s="14" t="s">
        <v>81</v>
      </c>
      <c r="K137" s="14" t="s">
        <v>69</v>
      </c>
      <c r="L137" s="14" t="s">
        <v>1278</v>
      </c>
      <c r="M137" s="16" t="s">
        <v>1279</v>
      </c>
      <c r="N137" s="16" t="s">
        <v>69</v>
      </c>
      <c r="O137" s="16" t="s">
        <v>1280</v>
      </c>
      <c r="P137" s="19" t="s">
        <v>69</v>
      </c>
      <c r="Q137" s="19" t="s">
        <v>1281</v>
      </c>
      <c r="R137" s="96" t="s">
        <v>1282</v>
      </c>
      <c r="S137" s="20"/>
      <c r="T137" s="20"/>
      <c r="U137" s="20"/>
      <c r="V137" s="20"/>
      <c r="W137" s="20"/>
      <c r="X137" s="20"/>
      <c r="Y137" s="20"/>
      <c r="Z137" s="20"/>
      <c r="AA137" s="20"/>
      <c r="AB137" s="20"/>
      <c r="AC137" s="20"/>
    </row>
    <row r="138">
      <c r="A138" s="10" t="s">
        <v>647</v>
      </c>
      <c r="B138" s="10" t="s">
        <v>648</v>
      </c>
      <c r="C138" s="10" t="s">
        <v>51</v>
      </c>
      <c r="D138" s="97" t="s">
        <v>649</v>
      </c>
      <c r="E138" s="97" t="s">
        <v>650</v>
      </c>
      <c r="F138" s="10" t="s">
        <v>651</v>
      </c>
      <c r="G138" s="10">
        <v>2011.0</v>
      </c>
      <c r="H138" s="14" t="s">
        <v>1283</v>
      </c>
      <c r="I138" s="14" t="s">
        <v>82</v>
      </c>
      <c r="J138" s="14" t="s">
        <v>1283</v>
      </c>
      <c r="K138" s="14" t="s">
        <v>86</v>
      </c>
      <c r="L138" s="64" t="s">
        <v>1284</v>
      </c>
      <c r="M138" s="16" t="s">
        <v>1266</v>
      </c>
      <c r="N138" s="16" t="s">
        <v>69</v>
      </c>
      <c r="O138" s="16" t="s">
        <v>1285</v>
      </c>
      <c r="P138" s="19" t="s">
        <v>73</v>
      </c>
      <c r="Q138" s="19" t="s">
        <v>69</v>
      </c>
      <c r="R138" s="104" t="s">
        <v>1286</v>
      </c>
      <c r="S138" s="20"/>
      <c r="T138" s="20"/>
      <c r="U138" s="20"/>
      <c r="V138" s="20"/>
      <c r="W138" s="20"/>
      <c r="X138" s="20"/>
      <c r="Y138" s="20"/>
      <c r="Z138" s="20"/>
      <c r="AA138" s="20"/>
      <c r="AB138" s="20"/>
      <c r="AC138" s="20"/>
    </row>
    <row r="139">
      <c r="A139" s="24" t="s">
        <v>657</v>
      </c>
      <c r="B139" s="24" t="s">
        <v>659</v>
      </c>
      <c r="C139" s="24" t="s">
        <v>77</v>
      </c>
      <c r="D139" s="69" t="s">
        <v>660</v>
      </c>
      <c r="E139" s="69" t="s">
        <v>663</v>
      </c>
      <c r="F139" s="69" t="s">
        <v>665</v>
      </c>
      <c r="G139" s="24">
        <v>2013.0</v>
      </c>
      <c r="H139" s="14" t="s">
        <v>431</v>
      </c>
      <c r="I139" s="14" t="s">
        <v>82</v>
      </c>
      <c r="J139" s="14" t="s">
        <v>1287</v>
      </c>
      <c r="K139" s="14" t="s">
        <v>69</v>
      </c>
      <c r="L139" s="64" t="s">
        <v>1288</v>
      </c>
      <c r="M139" s="16" t="s">
        <v>1289</v>
      </c>
      <c r="N139" s="16" t="s">
        <v>69</v>
      </c>
      <c r="O139" s="16" t="s">
        <v>1290</v>
      </c>
      <c r="P139" s="19" t="s">
        <v>981</v>
      </c>
      <c r="Q139" s="19" t="s">
        <v>155</v>
      </c>
      <c r="R139" s="104" t="s">
        <v>1291</v>
      </c>
      <c r="S139" s="20"/>
      <c r="T139" s="20"/>
      <c r="U139" s="20"/>
      <c r="V139" s="20"/>
      <c r="W139" s="20"/>
      <c r="X139" s="20"/>
      <c r="Y139" s="20"/>
      <c r="Z139" s="20"/>
      <c r="AA139" s="20"/>
      <c r="AB139" s="20"/>
      <c r="AC139" s="20"/>
    </row>
    <row r="140">
      <c r="A140" s="10" t="s">
        <v>669</v>
      </c>
      <c r="B140" s="10" t="s">
        <v>670</v>
      </c>
      <c r="C140" s="10" t="s">
        <v>77</v>
      </c>
      <c r="D140" s="68" t="s">
        <v>671</v>
      </c>
      <c r="E140" s="68" t="s">
        <v>672</v>
      </c>
      <c r="F140" s="10" t="s">
        <v>673</v>
      </c>
      <c r="G140" s="10">
        <v>2018.0</v>
      </c>
      <c r="H140" s="14" t="s">
        <v>433</v>
      </c>
      <c r="I140" s="14" t="s">
        <v>82</v>
      </c>
      <c r="J140" s="14" t="s">
        <v>433</v>
      </c>
      <c r="K140" s="14" t="s">
        <v>69</v>
      </c>
      <c r="L140" s="64" t="s">
        <v>1292</v>
      </c>
      <c r="M140" s="78" t="s">
        <v>1293</v>
      </c>
      <c r="N140" s="78" t="s">
        <v>69</v>
      </c>
      <c r="O140" s="78" t="s">
        <v>1294</v>
      </c>
      <c r="P140" s="79" t="s">
        <v>69</v>
      </c>
      <c r="Q140" s="79" t="s">
        <v>1295</v>
      </c>
      <c r="R140" s="104" t="s">
        <v>1296</v>
      </c>
      <c r="S140" s="20"/>
      <c r="T140" s="20"/>
      <c r="U140" s="20"/>
      <c r="V140" s="20"/>
      <c r="W140" s="20"/>
      <c r="X140" s="20"/>
      <c r="Y140" s="20"/>
      <c r="Z140" s="20"/>
      <c r="AA140" s="20"/>
      <c r="AB140" s="20"/>
      <c r="AC140" s="20"/>
    </row>
    <row r="141">
      <c r="A141" s="24" t="s">
        <v>726</v>
      </c>
      <c r="B141" s="24" t="s">
        <v>727</v>
      </c>
      <c r="C141" s="24" t="s">
        <v>77</v>
      </c>
      <c r="D141" s="69" t="s">
        <v>728</v>
      </c>
      <c r="E141" s="69" t="s">
        <v>729</v>
      </c>
      <c r="F141" s="24" t="s">
        <v>182</v>
      </c>
      <c r="G141" s="24">
        <v>2019.0</v>
      </c>
      <c r="H141" s="14" t="s">
        <v>81</v>
      </c>
      <c r="I141" s="14" t="s">
        <v>1297</v>
      </c>
      <c r="J141" s="14" t="s">
        <v>81</v>
      </c>
      <c r="K141" s="14" t="s">
        <v>69</v>
      </c>
      <c r="L141" s="14" t="s">
        <v>1298</v>
      </c>
      <c r="M141" s="16" t="s">
        <v>403</v>
      </c>
      <c r="N141" s="16" t="s">
        <v>69</v>
      </c>
      <c r="O141" s="16" t="s">
        <v>1299</v>
      </c>
      <c r="P141" s="19" t="s">
        <v>69</v>
      </c>
      <c r="Q141" s="19" t="s">
        <v>1300</v>
      </c>
      <c r="R141" s="96" t="s">
        <v>1301</v>
      </c>
      <c r="S141" s="20"/>
      <c r="T141" s="20"/>
      <c r="U141" s="20"/>
      <c r="V141" s="20"/>
      <c r="W141" s="20"/>
      <c r="X141" s="20"/>
      <c r="Y141" s="20"/>
      <c r="Z141" s="20"/>
      <c r="AA141" s="20"/>
      <c r="AB141" s="20"/>
      <c r="AC141" s="20"/>
    </row>
    <row r="142">
      <c r="A142" s="76" t="s">
        <v>1088</v>
      </c>
      <c r="B142" s="76" t="s">
        <v>1089</v>
      </c>
      <c r="C142" s="76" t="s">
        <v>51</v>
      </c>
      <c r="D142" s="82" t="s">
        <v>1090</v>
      </c>
      <c r="E142" s="82" t="s">
        <v>1091</v>
      </c>
      <c r="F142" s="76" t="s">
        <v>1092</v>
      </c>
      <c r="G142" s="76">
        <v>2012.0</v>
      </c>
      <c r="H142" s="14" t="s">
        <v>1302</v>
      </c>
      <c r="I142" s="14" t="s">
        <v>82</v>
      </c>
      <c r="J142" s="14" t="s">
        <v>433</v>
      </c>
      <c r="K142" s="14" t="s">
        <v>69</v>
      </c>
      <c r="L142" s="64" t="s">
        <v>1303</v>
      </c>
      <c r="M142" s="16" t="s">
        <v>846</v>
      </c>
      <c r="N142" s="16" t="s">
        <v>69</v>
      </c>
      <c r="O142" s="16" t="s">
        <v>1304</v>
      </c>
      <c r="P142" s="19" t="s">
        <v>337</v>
      </c>
      <c r="Q142" s="19" t="s">
        <v>69</v>
      </c>
      <c r="R142" s="104" t="s">
        <v>1305</v>
      </c>
      <c r="S142" s="20"/>
      <c r="T142" s="20"/>
      <c r="U142" s="20"/>
      <c r="V142" s="20"/>
      <c r="W142" s="20"/>
      <c r="X142" s="20"/>
      <c r="Y142" s="20"/>
      <c r="Z142" s="20"/>
      <c r="AA142" s="20"/>
      <c r="AB142" s="20"/>
      <c r="AC142" s="20"/>
    </row>
    <row r="143">
      <c r="A143" s="76" t="s">
        <v>1096</v>
      </c>
      <c r="B143" s="76" t="s">
        <v>1097</v>
      </c>
      <c r="C143" s="76" t="s">
        <v>51</v>
      </c>
      <c r="D143" s="82" t="s">
        <v>1098</v>
      </c>
      <c r="E143" s="82" t="s">
        <v>1099</v>
      </c>
      <c r="F143" s="76" t="s">
        <v>1100</v>
      </c>
      <c r="G143" s="76">
        <v>2012.0</v>
      </c>
      <c r="H143" s="14" t="s">
        <v>69</v>
      </c>
      <c r="I143" s="14" t="s">
        <v>69</v>
      </c>
      <c r="J143" s="14" t="s">
        <v>69</v>
      </c>
      <c r="K143" s="14" t="s">
        <v>69</v>
      </c>
      <c r="L143" s="64" t="s">
        <v>1306</v>
      </c>
      <c r="M143" s="16" t="s">
        <v>846</v>
      </c>
      <c r="N143" s="16" t="s">
        <v>69</v>
      </c>
      <c r="O143" s="16" t="s">
        <v>1307</v>
      </c>
      <c r="P143" s="19" t="s">
        <v>69</v>
      </c>
      <c r="Q143" s="19" t="s">
        <v>69</v>
      </c>
      <c r="R143" s="19" t="s">
        <v>469</v>
      </c>
      <c r="S143" s="20"/>
      <c r="T143" s="20"/>
      <c r="U143" s="20"/>
      <c r="V143" s="20"/>
      <c r="W143" s="20"/>
      <c r="X143" s="20"/>
      <c r="Y143" s="20"/>
      <c r="Z143" s="20"/>
      <c r="AA143" s="20"/>
      <c r="AB143" s="20"/>
      <c r="AC143" s="20"/>
    </row>
    <row r="144">
      <c r="A144" s="76" t="s">
        <v>1103</v>
      </c>
      <c r="B144" s="76" t="s">
        <v>1104</v>
      </c>
      <c r="C144" s="76" t="s">
        <v>51</v>
      </c>
      <c r="D144" s="82" t="s">
        <v>1105</v>
      </c>
      <c r="E144" s="82" t="s">
        <v>1106</v>
      </c>
      <c r="F144" s="76" t="s">
        <v>1108</v>
      </c>
      <c r="G144" s="76">
        <v>2006.0</v>
      </c>
      <c r="H144" s="14" t="s">
        <v>1308</v>
      </c>
      <c r="I144" s="14" t="s">
        <v>69</v>
      </c>
      <c r="J144" s="14" t="s">
        <v>1308</v>
      </c>
      <c r="K144" s="14" t="s">
        <v>69</v>
      </c>
      <c r="L144" s="64" t="s">
        <v>1309</v>
      </c>
      <c r="M144" s="16" t="s">
        <v>69</v>
      </c>
      <c r="N144" s="16" t="s">
        <v>69</v>
      </c>
      <c r="O144" s="16" t="s">
        <v>1310</v>
      </c>
      <c r="P144" s="19" t="s">
        <v>69</v>
      </c>
      <c r="Q144" s="19" t="s">
        <v>155</v>
      </c>
      <c r="R144" s="19" t="s">
        <v>1311</v>
      </c>
      <c r="S144" s="20"/>
      <c r="T144" s="20"/>
      <c r="U144" s="20"/>
      <c r="V144" s="20"/>
      <c r="W144" s="20"/>
      <c r="X144" s="20"/>
      <c r="Y144" s="20"/>
      <c r="Z144" s="20"/>
      <c r="AA144" s="20"/>
      <c r="AB144" s="20"/>
      <c r="AC144" s="20"/>
    </row>
    <row r="145">
      <c r="A145" s="76" t="s">
        <v>1109</v>
      </c>
      <c r="B145" s="76" t="s">
        <v>1111</v>
      </c>
      <c r="C145" s="76" t="s">
        <v>77</v>
      </c>
      <c r="D145" s="82" t="s">
        <v>1112</v>
      </c>
      <c r="E145" s="82" t="s">
        <v>1113</v>
      </c>
      <c r="F145" s="76" t="s">
        <v>1114</v>
      </c>
      <c r="G145" s="76">
        <v>2015.0</v>
      </c>
      <c r="H145" s="14" t="s">
        <v>1312</v>
      </c>
      <c r="I145" s="14" t="s">
        <v>69</v>
      </c>
      <c r="J145" s="14" t="s">
        <v>1312</v>
      </c>
      <c r="K145" s="14" t="s">
        <v>69</v>
      </c>
      <c r="L145" s="14" t="s">
        <v>1313</v>
      </c>
      <c r="M145" s="16" t="s">
        <v>69</v>
      </c>
      <c r="N145" s="16" t="s">
        <v>69</v>
      </c>
      <c r="O145" s="16" t="s">
        <v>469</v>
      </c>
      <c r="P145" s="19" t="s">
        <v>69</v>
      </c>
      <c r="Q145" s="19" t="s">
        <v>155</v>
      </c>
      <c r="R145" s="19" t="s">
        <v>1314</v>
      </c>
      <c r="S145" s="20"/>
      <c r="T145" s="20"/>
      <c r="U145" s="20"/>
      <c r="V145" s="20"/>
      <c r="W145" s="20"/>
      <c r="X145" s="20"/>
      <c r="Y145" s="20"/>
      <c r="Z145" s="20"/>
      <c r="AA145" s="20"/>
      <c r="AB145" s="20"/>
      <c r="AC145" s="20"/>
    </row>
    <row r="146">
      <c r="A146" s="10" t="s">
        <v>737</v>
      </c>
      <c r="B146" s="10" t="s">
        <v>738</v>
      </c>
      <c r="C146" s="10" t="s">
        <v>77</v>
      </c>
      <c r="D146" s="68" t="s">
        <v>739</v>
      </c>
      <c r="E146" s="10" t="s">
        <v>740</v>
      </c>
      <c r="F146" s="10" t="s">
        <v>665</v>
      </c>
      <c r="G146" s="10">
        <v>2018.0</v>
      </c>
      <c r="H146" s="14" t="s">
        <v>431</v>
      </c>
      <c r="I146" s="14" t="s">
        <v>82</v>
      </c>
      <c r="J146" s="14" t="s">
        <v>431</v>
      </c>
      <c r="K146" s="14" t="s">
        <v>1094</v>
      </c>
      <c r="L146" s="64" t="s">
        <v>1315</v>
      </c>
      <c r="M146" s="16" t="s">
        <v>1316</v>
      </c>
      <c r="N146" s="16" t="s">
        <v>69</v>
      </c>
      <c r="O146" s="16" t="s">
        <v>1317</v>
      </c>
      <c r="P146" s="19" t="s">
        <v>337</v>
      </c>
      <c r="Q146" s="19" t="s">
        <v>69</v>
      </c>
      <c r="R146" s="104" t="s">
        <v>1318</v>
      </c>
      <c r="S146" s="20"/>
      <c r="T146" s="20"/>
      <c r="U146" s="20"/>
      <c r="V146" s="20"/>
      <c r="W146" s="20"/>
      <c r="X146" s="20"/>
      <c r="Y146" s="20"/>
      <c r="Z146" s="20"/>
      <c r="AA146" s="20"/>
      <c r="AB146" s="20"/>
      <c r="AC146" s="20"/>
    </row>
    <row r="147">
      <c r="A147" s="76" t="s">
        <v>1127</v>
      </c>
      <c r="B147" s="76" t="s">
        <v>1128</v>
      </c>
      <c r="C147" s="76" t="s">
        <v>51</v>
      </c>
      <c r="D147" s="82" t="s">
        <v>1129</v>
      </c>
      <c r="E147" s="82" t="s">
        <v>1130</v>
      </c>
      <c r="F147" s="76" t="s">
        <v>1131</v>
      </c>
      <c r="G147" s="76">
        <v>2015.0</v>
      </c>
      <c r="H147" s="14" t="s">
        <v>431</v>
      </c>
      <c r="I147" s="14" t="s">
        <v>69</v>
      </c>
      <c r="J147" s="14" t="s">
        <v>431</v>
      </c>
      <c r="K147" s="14" t="s">
        <v>69</v>
      </c>
      <c r="L147" s="14" t="s">
        <v>1319</v>
      </c>
      <c r="M147" s="16" t="s">
        <v>363</v>
      </c>
      <c r="N147" s="16" t="s">
        <v>69</v>
      </c>
      <c r="O147" s="16" t="s">
        <v>1320</v>
      </c>
      <c r="P147" s="19" t="s">
        <v>69</v>
      </c>
      <c r="Q147" s="19" t="s">
        <v>69</v>
      </c>
      <c r="R147" s="19" t="s">
        <v>469</v>
      </c>
      <c r="S147" s="20"/>
      <c r="T147" s="20"/>
      <c r="U147" s="20"/>
      <c r="V147" s="20"/>
      <c r="W147" s="20"/>
      <c r="X147" s="20"/>
      <c r="Y147" s="20"/>
      <c r="Z147" s="20"/>
      <c r="AA147" s="20"/>
      <c r="AB147" s="20"/>
      <c r="AC147" s="20"/>
    </row>
    <row r="148">
      <c r="A148" s="10" t="s">
        <v>748</v>
      </c>
      <c r="B148" s="10" t="s">
        <v>749</v>
      </c>
      <c r="C148" s="10" t="s">
        <v>51</v>
      </c>
      <c r="D148" s="97" t="s">
        <v>750</v>
      </c>
      <c r="E148" s="97" t="s">
        <v>751</v>
      </c>
      <c r="F148" s="10" t="s">
        <v>752</v>
      </c>
      <c r="G148" s="10">
        <v>2020.0</v>
      </c>
      <c r="H148" s="14" t="s">
        <v>1321</v>
      </c>
      <c r="I148" s="14" t="s">
        <v>1322</v>
      </c>
      <c r="J148" s="14" t="s">
        <v>1321</v>
      </c>
      <c r="K148" s="14" t="s">
        <v>69</v>
      </c>
      <c r="L148" s="64" t="s">
        <v>1323</v>
      </c>
      <c r="M148" s="16" t="s">
        <v>1094</v>
      </c>
      <c r="N148" s="16" t="s">
        <v>69</v>
      </c>
      <c r="O148" s="16" t="s">
        <v>1324</v>
      </c>
      <c r="P148" s="19" t="s">
        <v>1325</v>
      </c>
      <c r="Q148" s="19" t="s">
        <v>1326</v>
      </c>
      <c r="R148" s="104" t="s">
        <v>1327</v>
      </c>
      <c r="S148" s="20"/>
      <c r="T148" s="20"/>
      <c r="U148" s="20"/>
      <c r="V148" s="20"/>
      <c r="W148" s="20"/>
      <c r="X148" s="20"/>
      <c r="Y148" s="20"/>
      <c r="Z148" s="20"/>
      <c r="AA148" s="20"/>
      <c r="AB148" s="20"/>
      <c r="AC148" s="20"/>
    </row>
    <row r="149">
      <c r="A149" s="24" t="s">
        <v>756</v>
      </c>
      <c r="B149" s="24" t="s">
        <v>757</v>
      </c>
      <c r="C149" s="24" t="s">
        <v>51</v>
      </c>
      <c r="D149" s="69" t="s">
        <v>758</v>
      </c>
      <c r="E149" s="69" t="s">
        <v>759</v>
      </c>
      <c r="F149" s="24" t="s">
        <v>760</v>
      </c>
      <c r="G149" s="24">
        <v>2017.0</v>
      </c>
      <c r="H149" s="14" t="s">
        <v>1328</v>
      </c>
      <c r="I149" s="14" t="s">
        <v>69</v>
      </c>
      <c r="J149" s="14" t="s">
        <v>1328</v>
      </c>
      <c r="K149" s="14" t="s">
        <v>69</v>
      </c>
      <c r="L149" s="64" t="s">
        <v>1329</v>
      </c>
      <c r="M149" s="16" t="s">
        <v>1330</v>
      </c>
      <c r="N149" s="16" t="s">
        <v>69</v>
      </c>
      <c r="O149" s="16" t="s">
        <v>1331</v>
      </c>
      <c r="P149" s="19" t="s">
        <v>1332</v>
      </c>
      <c r="Q149" s="19" t="s">
        <v>69</v>
      </c>
      <c r="R149" s="19" t="s">
        <v>1333</v>
      </c>
      <c r="S149" s="20"/>
      <c r="T149" s="20"/>
      <c r="U149" s="20"/>
      <c r="V149" s="20"/>
      <c r="W149" s="20"/>
      <c r="X149" s="20"/>
      <c r="Y149" s="20"/>
      <c r="Z149" s="20"/>
      <c r="AA149" s="20"/>
      <c r="AB149" s="20"/>
      <c r="AC149" s="20"/>
    </row>
    <row r="150">
      <c r="A150" s="76" t="s">
        <v>1139</v>
      </c>
      <c r="B150" s="76" t="s">
        <v>1140</v>
      </c>
      <c r="C150" s="107" t="s">
        <v>77</v>
      </c>
      <c r="D150" s="107" t="s">
        <v>1145</v>
      </c>
      <c r="E150" s="108" t="s">
        <v>1148</v>
      </c>
      <c r="F150" s="107" t="s">
        <v>576</v>
      </c>
      <c r="G150" s="109">
        <v>2008.0</v>
      </c>
      <c r="H150" s="110" t="s">
        <v>433</v>
      </c>
      <c r="I150" s="110" t="s">
        <v>69</v>
      </c>
      <c r="J150" s="110" t="s">
        <v>433</v>
      </c>
      <c r="K150" s="110" t="s">
        <v>69</v>
      </c>
      <c r="L150" s="111" t="s">
        <v>1334</v>
      </c>
      <c r="M150" s="112" t="s">
        <v>69</v>
      </c>
      <c r="N150" s="112" t="s">
        <v>69</v>
      </c>
      <c r="O150" s="112" t="s">
        <v>469</v>
      </c>
      <c r="P150" s="86" t="s">
        <v>69</v>
      </c>
      <c r="Q150" s="86" t="s">
        <v>155</v>
      </c>
      <c r="R150" s="96" t="s">
        <v>1335</v>
      </c>
      <c r="S150" s="20"/>
      <c r="T150" s="20"/>
      <c r="U150" s="20"/>
      <c r="V150" s="20"/>
      <c r="W150" s="20"/>
      <c r="X150" s="20"/>
      <c r="Y150" s="20"/>
      <c r="Z150" s="20"/>
      <c r="AA150" s="20"/>
      <c r="AB150" s="20"/>
      <c r="AC150" s="20"/>
    </row>
    <row r="151">
      <c r="A151" s="76" t="s">
        <v>1150</v>
      </c>
      <c r="B151" s="76" t="s">
        <v>1151</v>
      </c>
      <c r="C151" s="107" t="s">
        <v>51</v>
      </c>
      <c r="D151" s="107" t="s">
        <v>1152</v>
      </c>
      <c r="E151" s="107" t="s">
        <v>1153</v>
      </c>
      <c r="F151" s="107" t="s">
        <v>1154</v>
      </c>
      <c r="G151" s="109">
        <v>2010.0</v>
      </c>
      <c r="H151" s="110" t="s">
        <v>1336</v>
      </c>
      <c r="I151" s="110" t="s">
        <v>69</v>
      </c>
      <c r="J151" s="110" t="s">
        <v>1336</v>
      </c>
      <c r="K151" s="110" t="s">
        <v>69</v>
      </c>
      <c r="L151" s="111" t="s">
        <v>1337</v>
      </c>
      <c r="M151" s="112" t="s">
        <v>69</v>
      </c>
      <c r="N151" s="112" t="s">
        <v>69</v>
      </c>
      <c r="O151" s="112" t="s">
        <v>469</v>
      </c>
      <c r="P151" s="86" t="s">
        <v>69</v>
      </c>
      <c r="Q151" s="86" t="s">
        <v>123</v>
      </c>
      <c r="R151" s="96" t="s">
        <v>1338</v>
      </c>
      <c r="S151" s="20"/>
      <c r="T151" s="20"/>
      <c r="U151" s="20"/>
      <c r="V151" s="20"/>
      <c r="W151" s="20"/>
      <c r="X151" s="20"/>
      <c r="Y151" s="20"/>
      <c r="Z151" s="20"/>
      <c r="AA151" s="20"/>
      <c r="AB151" s="20"/>
      <c r="AC151" s="20"/>
    </row>
    <row r="152">
      <c r="A152" s="10" t="s">
        <v>768</v>
      </c>
      <c r="B152" s="113" t="s">
        <v>769</v>
      </c>
      <c r="C152" s="65" t="s">
        <v>77</v>
      </c>
      <c r="D152" s="65" t="s">
        <v>770</v>
      </c>
      <c r="E152" s="65" t="s">
        <v>771</v>
      </c>
      <c r="F152" s="65" t="s">
        <v>772</v>
      </c>
      <c r="G152" s="114">
        <v>2012.0</v>
      </c>
      <c r="H152" s="14" t="s">
        <v>1247</v>
      </c>
      <c r="I152" s="14" t="s">
        <v>82</v>
      </c>
      <c r="J152" s="14" t="s">
        <v>1339</v>
      </c>
      <c r="K152" s="14" t="s">
        <v>86</v>
      </c>
      <c r="L152" s="14" t="s">
        <v>1340</v>
      </c>
      <c r="M152" s="16" t="s">
        <v>1094</v>
      </c>
      <c r="N152" s="16" t="s">
        <v>69</v>
      </c>
      <c r="O152" s="16" t="s">
        <v>1341</v>
      </c>
      <c r="P152" s="19" t="s">
        <v>69</v>
      </c>
      <c r="Q152" s="19" t="s">
        <v>1342</v>
      </c>
      <c r="R152" s="19" t="s">
        <v>1343</v>
      </c>
      <c r="S152" s="20"/>
      <c r="T152" s="20"/>
      <c r="U152" s="20"/>
      <c r="V152" s="20"/>
      <c r="W152" s="20"/>
      <c r="X152" s="20"/>
      <c r="Y152" s="20"/>
      <c r="Z152" s="20"/>
      <c r="AA152" s="20"/>
      <c r="AB152" s="20"/>
      <c r="AC152" s="20"/>
    </row>
    <row r="153">
      <c r="A153" s="24" t="s">
        <v>774</v>
      </c>
      <c r="B153" s="115" t="s">
        <v>775</v>
      </c>
      <c r="C153" s="25" t="s">
        <v>77</v>
      </c>
      <c r="D153" s="25" t="s">
        <v>776</v>
      </c>
      <c r="E153" s="25" t="s">
        <v>777</v>
      </c>
      <c r="F153" s="25" t="s">
        <v>778</v>
      </c>
      <c r="G153" s="116">
        <v>2013.0</v>
      </c>
      <c r="H153" s="14" t="s">
        <v>1107</v>
      </c>
      <c r="I153" s="14" t="s">
        <v>81</v>
      </c>
      <c r="J153" s="14" t="s">
        <v>1344</v>
      </c>
      <c r="K153" s="14" t="s">
        <v>69</v>
      </c>
      <c r="L153" s="14" t="s">
        <v>1345</v>
      </c>
      <c r="M153" s="16" t="s">
        <v>1094</v>
      </c>
      <c r="N153" s="16" t="s">
        <v>69</v>
      </c>
      <c r="O153" s="16" t="s">
        <v>1346</v>
      </c>
      <c r="P153" s="19" t="s">
        <v>69</v>
      </c>
      <c r="Q153" s="19" t="s">
        <v>1347</v>
      </c>
      <c r="R153" s="19" t="s">
        <v>1348</v>
      </c>
      <c r="S153" s="20"/>
      <c r="T153" s="20"/>
      <c r="U153" s="20"/>
      <c r="V153" s="20"/>
      <c r="W153" s="20"/>
      <c r="X153" s="20"/>
      <c r="Y153" s="20"/>
      <c r="Z153" s="20"/>
      <c r="AA153" s="20"/>
      <c r="AB153" s="20"/>
      <c r="AC153" s="20"/>
    </row>
    <row r="154">
      <c r="A154" s="76" t="s">
        <v>1158</v>
      </c>
      <c r="B154" s="117" t="s">
        <v>1159</v>
      </c>
      <c r="C154" s="71" t="s">
        <v>77</v>
      </c>
      <c r="D154" s="71" t="s">
        <v>1160</v>
      </c>
      <c r="E154" s="71" t="s">
        <v>1161</v>
      </c>
      <c r="F154" s="71" t="s">
        <v>784</v>
      </c>
      <c r="G154" s="118">
        <v>2011.0</v>
      </c>
      <c r="H154" s="14" t="s">
        <v>1247</v>
      </c>
      <c r="I154" s="14" t="s">
        <v>1349</v>
      </c>
      <c r="J154" s="14" t="s">
        <v>1247</v>
      </c>
      <c r="K154" s="14" t="s">
        <v>69</v>
      </c>
      <c r="L154" s="14" t="s">
        <v>1350</v>
      </c>
      <c r="M154" s="16" t="s">
        <v>1351</v>
      </c>
      <c r="N154" s="16" t="s">
        <v>69</v>
      </c>
      <c r="O154" s="16" t="s">
        <v>1352</v>
      </c>
      <c r="P154" s="19" t="s">
        <v>337</v>
      </c>
      <c r="Q154" s="19" t="s">
        <v>69</v>
      </c>
      <c r="R154" s="19" t="s">
        <v>1353</v>
      </c>
      <c r="S154" s="20"/>
      <c r="T154" s="20"/>
      <c r="U154" s="20"/>
      <c r="V154" s="20"/>
      <c r="W154" s="20"/>
      <c r="X154" s="20"/>
      <c r="Y154" s="20"/>
      <c r="Z154" s="20"/>
      <c r="AA154" s="20"/>
      <c r="AB154" s="20"/>
      <c r="AC154" s="20"/>
    </row>
    <row r="155">
      <c r="A155" s="24" t="s">
        <v>785</v>
      </c>
      <c r="B155" s="115" t="s">
        <v>786</v>
      </c>
      <c r="C155" s="25" t="s">
        <v>51</v>
      </c>
      <c r="D155" s="25" t="s">
        <v>787</v>
      </c>
      <c r="E155" s="25" t="s">
        <v>788</v>
      </c>
      <c r="F155" s="25" t="s">
        <v>789</v>
      </c>
      <c r="G155" s="116">
        <v>2003.0</v>
      </c>
      <c r="H155" s="14" t="s">
        <v>1354</v>
      </c>
      <c r="I155" s="14" t="s">
        <v>1355</v>
      </c>
      <c r="J155" s="14" t="s">
        <v>1354</v>
      </c>
      <c r="K155" s="14" t="s">
        <v>86</v>
      </c>
      <c r="L155" s="14" t="s">
        <v>1356</v>
      </c>
      <c r="M155" s="16" t="s">
        <v>69</v>
      </c>
      <c r="N155" s="16" t="s">
        <v>69</v>
      </c>
      <c r="O155" s="16" t="s">
        <v>1357</v>
      </c>
      <c r="P155" s="19" t="s">
        <v>69</v>
      </c>
      <c r="Q155" s="19" t="s">
        <v>1358</v>
      </c>
      <c r="R155" s="19" t="s">
        <v>1359</v>
      </c>
      <c r="S155" s="20"/>
      <c r="T155" s="20"/>
      <c r="U155" s="20"/>
      <c r="V155" s="20"/>
      <c r="W155" s="20"/>
      <c r="X155" s="20"/>
      <c r="Y155" s="20"/>
      <c r="Z155" s="20"/>
      <c r="AA155" s="20"/>
      <c r="AB155" s="20"/>
      <c r="AC155" s="20"/>
    </row>
    <row r="156">
      <c r="A156" s="10" t="s">
        <v>791</v>
      </c>
      <c r="B156" s="113" t="s">
        <v>792</v>
      </c>
      <c r="C156" s="65" t="s">
        <v>51</v>
      </c>
      <c r="D156" s="65" t="s">
        <v>793</v>
      </c>
      <c r="E156" s="65" t="s">
        <v>794</v>
      </c>
      <c r="F156" s="65" t="s">
        <v>795</v>
      </c>
      <c r="G156" s="114">
        <v>2009.0</v>
      </c>
      <c r="H156" s="14" t="s">
        <v>1360</v>
      </c>
      <c r="I156" s="14" t="s">
        <v>1361</v>
      </c>
      <c r="J156" s="14" t="s">
        <v>1362</v>
      </c>
      <c r="K156" s="14" t="s">
        <v>69</v>
      </c>
      <c r="L156" s="14" t="s">
        <v>1363</v>
      </c>
      <c r="M156" s="16" t="s">
        <v>69</v>
      </c>
      <c r="N156" s="16" t="s">
        <v>69</v>
      </c>
      <c r="O156" s="16" t="s">
        <v>469</v>
      </c>
      <c r="P156" s="19" t="s">
        <v>69</v>
      </c>
      <c r="Q156" s="19" t="s">
        <v>1358</v>
      </c>
      <c r="R156" s="19" t="s">
        <v>1364</v>
      </c>
      <c r="S156" s="20"/>
      <c r="T156" s="20"/>
      <c r="U156" s="20"/>
      <c r="V156" s="20"/>
      <c r="W156" s="20"/>
      <c r="X156" s="20"/>
      <c r="Y156" s="20"/>
      <c r="Z156" s="20"/>
      <c r="AA156" s="20"/>
      <c r="AB156" s="20"/>
      <c r="AC156" s="20"/>
    </row>
    <row r="157">
      <c r="A157" s="76" t="s">
        <v>1168</v>
      </c>
      <c r="B157" s="117" t="s">
        <v>1169</v>
      </c>
      <c r="C157" s="71" t="s">
        <v>51</v>
      </c>
      <c r="D157" s="71" t="s">
        <v>1170</v>
      </c>
      <c r="E157" s="71" t="s">
        <v>1171</v>
      </c>
      <c r="F157" s="71" t="s">
        <v>1173</v>
      </c>
      <c r="G157" s="118">
        <v>2008.0</v>
      </c>
      <c r="H157" s="14" t="s">
        <v>1365</v>
      </c>
      <c r="I157" s="14" t="s">
        <v>82</v>
      </c>
      <c r="J157" s="14" t="s">
        <v>1366</v>
      </c>
      <c r="K157" s="14" t="s">
        <v>69</v>
      </c>
      <c r="L157" s="14" t="s">
        <v>1367</v>
      </c>
      <c r="M157" s="16" t="s">
        <v>1368</v>
      </c>
      <c r="N157" s="16" t="s">
        <v>69</v>
      </c>
      <c r="O157" s="16" t="s">
        <v>1369</v>
      </c>
      <c r="P157" s="19" t="s">
        <v>69</v>
      </c>
      <c r="Q157" s="19" t="s">
        <v>123</v>
      </c>
      <c r="R157" s="19" t="s">
        <v>1370</v>
      </c>
      <c r="S157" s="20"/>
      <c r="T157" s="20"/>
      <c r="U157" s="20"/>
      <c r="V157" s="20"/>
      <c r="W157" s="20"/>
      <c r="X157" s="20"/>
      <c r="Y157" s="20"/>
      <c r="Z157" s="20"/>
      <c r="AA157" s="20"/>
      <c r="AB157" s="20"/>
      <c r="AC157" s="20"/>
    </row>
    <row r="158">
      <c r="A158" s="10" t="s">
        <v>797</v>
      </c>
      <c r="B158" s="113" t="s">
        <v>798</v>
      </c>
      <c r="C158" s="65" t="s">
        <v>51</v>
      </c>
      <c r="D158" s="65" t="s">
        <v>149</v>
      </c>
      <c r="E158" s="65" t="s">
        <v>799</v>
      </c>
      <c r="F158" s="65" t="s">
        <v>800</v>
      </c>
      <c r="G158" s="114">
        <v>2007.0</v>
      </c>
      <c r="H158" s="14" t="s">
        <v>1371</v>
      </c>
      <c r="I158" s="14" t="s">
        <v>1372</v>
      </c>
      <c r="J158" s="14" t="s">
        <v>1373</v>
      </c>
      <c r="K158" s="14" t="s">
        <v>1374</v>
      </c>
      <c r="L158" s="14" t="s">
        <v>1375</v>
      </c>
      <c r="M158" s="16" t="s">
        <v>1376</v>
      </c>
      <c r="N158" s="16" t="s">
        <v>86</v>
      </c>
      <c r="O158" s="16" t="s">
        <v>1377</v>
      </c>
      <c r="P158" s="19" t="s">
        <v>69</v>
      </c>
      <c r="Q158" s="19" t="s">
        <v>1378</v>
      </c>
      <c r="R158" s="19" t="s">
        <v>1379</v>
      </c>
      <c r="S158" s="20"/>
      <c r="T158" s="20"/>
      <c r="U158" s="20"/>
      <c r="V158" s="20"/>
      <c r="W158" s="20"/>
      <c r="X158" s="20"/>
      <c r="Y158" s="20"/>
      <c r="Z158" s="20"/>
      <c r="AA158" s="20"/>
      <c r="AB158" s="20"/>
      <c r="AC158" s="20"/>
    </row>
    <row r="159">
      <c r="A159" s="24" t="s">
        <v>809</v>
      </c>
      <c r="B159" s="115" t="s">
        <v>810</v>
      </c>
      <c r="C159" s="25" t="s">
        <v>51</v>
      </c>
      <c r="D159" s="25" t="s">
        <v>811</v>
      </c>
      <c r="E159" s="25" t="s">
        <v>812</v>
      </c>
      <c r="F159" s="25" t="s">
        <v>813</v>
      </c>
      <c r="G159" s="116">
        <v>2010.0</v>
      </c>
      <c r="H159" s="14" t="s">
        <v>1380</v>
      </c>
      <c r="I159" s="14" t="s">
        <v>1381</v>
      </c>
      <c r="J159" s="14" t="s">
        <v>1382</v>
      </c>
      <c r="K159" s="14" t="s">
        <v>69</v>
      </c>
      <c r="L159" s="14" t="s">
        <v>1383</v>
      </c>
      <c r="M159" s="16" t="s">
        <v>69</v>
      </c>
      <c r="N159" s="16" t="s">
        <v>69</v>
      </c>
      <c r="O159" s="16" t="s">
        <v>1384</v>
      </c>
      <c r="P159" s="19" t="s">
        <v>69</v>
      </c>
      <c r="Q159" s="19" t="s">
        <v>123</v>
      </c>
      <c r="R159" s="19" t="s">
        <v>1385</v>
      </c>
      <c r="S159" s="20"/>
      <c r="T159" s="20"/>
      <c r="U159" s="20"/>
      <c r="V159" s="20"/>
      <c r="W159" s="20"/>
      <c r="X159" s="20"/>
      <c r="Y159" s="20"/>
      <c r="Z159" s="20"/>
      <c r="AA159" s="20"/>
      <c r="AB159" s="20"/>
      <c r="AC159" s="20"/>
    </row>
    <row r="160">
      <c r="A160" s="76" t="s">
        <v>1180</v>
      </c>
      <c r="B160" s="117" t="s">
        <v>1181</v>
      </c>
      <c r="C160" s="71" t="s">
        <v>51</v>
      </c>
      <c r="D160" s="119" t="s">
        <v>1182</v>
      </c>
      <c r="E160" s="119" t="s">
        <v>1183</v>
      </c>
      <c r="F160" s="71" t="s">
        <v>1184</v>
      </c>
      <c r="G160" s="118">
        <v>2021.0</v>
      </c>
      <c r="H160" s="14" t="s">
        <v>69</v>
      </c>
      <c r="I160" s="14" t="s">
        <v>69</v>
      </c>
      <c r="J160" s="14" t="s">
        <v>69</v>
      </c>
      <c r="K160" s="14" t="s">
        <v>69</v>
      </c>
      <c r="L160" s="14" t="s">
        <v>1386</v>
      </c>
      <c r="M160" s="16" t="s">
        <v>869</v>
      </c>
      <c r="N160" s="16" t="s">
        <v>69</v>
      </c>
      <c r="O160" s="16" t="s">
        <v>1387</v>
      </c>
      <c r="P160" s="19" t="s">
        <v>337</v>
      </c>
      <c r="Q160" s="19" t="s">
        <v>69</v>
      </c>
      <c r="R160" s="19" t="s">
        <v>1388</v>
      </c>
      <c r="S160" s="20"/>
      <c r="T160" s="20"/>
      <c r="U160" s="20"/>
      <c r="V160" s="20"/>
      <c r="W160" s="20"/>
      <c r="X160" s="20"/>
      <c r="Y160" s="20"/>
      <c r="Z160" s="20"/>
      <c r="AA160" s="20"/>
      <c r="AB160" s="20"/>
      <c r="AC160" s="20"/>
    </row>
    <row r="161">
      <c r="A161" s="24" t="s">
        <v>821</v>
      </c>
      <c r="B161" s="115" t="s">
        <v>822</v>
      </c>
      <c r="C161" s="25" t="s">
        <v>77</v>
      </c>
      <c r="D161" s="120" t="s">
        <v>823</v>
      </c>
      <c r="E161" s="120" t="s">
        <v>824</v>
      </c>
      <c r="F161" s="25" t="s">
        <v>827</v>
      </c>
      <c r="G161" s="116">
        <v>2010.0</v>
      </c>
      <c r="H161" s="14" t="s">
        <v>1389</v>
      </c>
      <c r="I161" s="14" t="s">
        <v>1372</v>
      </c>
      <c r="J161" s="14" t="s">
        <v>1390</v>
      </c>
      <c r="K161" s="14" t="s">
        <v>69</v>
      </c>
      <c r="L161" s="14" t="s">
        <v>1391</v>
      </c>
      <c r="M161" s="16" t="s">
        <v>403</v>
      </c>
      <c r="N161" s="16" t="s">
        <v>69</v>
      </c>
      <c r="O161" s="16" t="s">
        <v>1392</v>
      </c>
      <c r="P161" s="19" t="s">
        <v>69</v>
      </c>
      <c r="Q161" s="19" t="s">
        <v>964</v>
      </c>
      <c r="R161" s="19" t="s">
        <v>1393</v>
      </c>
      <c r="S161" s="20"/>
      <c r="T161" s="20"/>
      <c r="U161" s="20"/>
      <c r="V161" s="20"/>
      <c r="W161" s="20"/>
      <c r="X161" s="20"/>
      <c r="Y161" s="20"/>
      <c r="Z161" s="20"/>
      <c r="AA161" s="20"/>
      <c r="AB161" s="20"/>
      <c r="AC161" s="20"/>
    </row>
    <row r="162">
      <c r="A162" s="76" t="s">
        <v>1189</v>
      </c>
      <c r="B162" s="117" t="s">
        <v>1191</v>
      </c>
      <c r="C162" s="71" t="s">
        <v>77</v>
      </c>
      <c r="D162" s="119" t="s">
        <v>1192</v>
      </c>
      <c r="E162" s="119" t="s">
        <v>1193</v>
      </c>
      <c r="F162" s="71" t="s">
        <v>665</v>
      </c>
      <c r="G162" s="118">
        <v>2021.0</v>
      </c>
      <c r="H162" s="14" t="s">
        <v>431</v>
      </c>
      <c r="I162" s="14" t="s">
        <v>69</v>
      </c>
      <c r="J162" s="14" t="s">
        <v>431</v>
      </c>
      <c r="K162" s="14" t="s">
        <v>69</v>
      </c>
      <c r="L162" s="14" t="s">
        <v>1394</v>
      </c>
      <c r="M162" s="16" t="s">
        <v>1395</v>
      </c>
      <c r="N162" s="16" t="s">
        <v>69</v>
      </c>
      <c r="O162" s="16" t="s">
        <v>1396</v>
      </c>
      <c r="P162" s="19" t="s">
        <v>69</v>
      </c>
      <c r="Q162" s="19" t="s">
        <v>69</v>
      </c>
      <c r="R162" s="19" t="s">
        <v>1397</v>
      </c>
      <c r="S162" s="20"/>
      <c r="T162" s="20"/>
      <c r="U162" s="20"/>
      <c r="V162" s="20"/>
      <c r="W162" s="20"/>
      <c r="X162" s="20"/>
      <c r="Y162" s="20"/>
      <c r="Z162" s="20"/>
      <c r="AA162" s="20"/>
      <c r="AB162" s="20"/>
      <c r="AC162" s="20"/>
    </row>
    <row r="163">
      <c r="A163" s="24" t="s">
        <v>833</v>
      </c>
      <c r="B163" s="24" t="s">
        <v>836</v>
      </c>
      <c r="C163" s="24" t="s">
        <v>77</v>
      </c>
      <c r="D163" s="24" t="s">
        <v>838</v>
      </c>
      <c r="E163" s="24" t="s">
        <v>840</v>
      </c>
      <c r="F163" s="24" t="s">
        <v>841</v>
      </c>
      <c r="G163" s="24">
        <v>2013.0</v>
      </c>
      <c r="H163" s="14" t="s">
        <v>1398</v>
      </c>
      <c r="I163" s="14" t="s">
        <v>1399</v>
      </c>
      <c r="J163" s="14" t="s">
        <v>1398</v>
      </c>
      <c r="K163" s="14" t="s">
        <v>86</v>
      </c>
      <c r="L163" s="14" t="s">
        <v>1400</v>
      </c>
      <c r="M163" s="16" t="s">
        <v>403</v>
      </c>
      <c r="N163" s="16" t="s">
        <v>69</v>
      </c>
      <c r="O163" s="16" t="s">
        <v>469</v>
      </c>
      <c r="P163" s="19" t="s">
        <v>69</v>
      </c>
      <c r="Q163" s="19" t="s">
        <v>1401</v>
      </c>
      <c r="R163" s="19" t="s">
        <v>1402</v>
      </c>
      <c r="S163" s="20"/>
      <c r="T163" s="20"/>
      <c r="U163" s="20"/>
      <c r="V163" s="20"/>
      <c r="W163" s="20"/>
      <c r="X163" s="20"/>
      <c r="Y163" s="20"/>
      <c r="Z163" s="20"/>
      <c r="AA163" s="20"/>
      <c r="AB163" s="20"/>
      <c r="AC163" s="20"/>
    </row>
    <row r="164">
      <c r="A164" s="20"/>
      <c r="B164" s="20"/>
      <c r="C164" s="20"/>
      <c r="D164" s="20"/>
      <c r="E164" s="20"/>
      <c r="F164" s="20"/>
      <c r="G164" s="20"/>
      <c r="H164" s="121"/>
      <c r="I164" s="121"/>
      <c r="J164" s="121"/>
      <c r="K164" s="121"/>
      <c r="L164" s="121"/>
      <c r="M164" s="122"/>
      <c r="N164" s="122"/>
      <c r="O164" s="122"/>
      <c r="P164" s="123"/>
      <c r="Q164" s="123"/>
      <c r="R164" s="123"/>
      <c r="S164" s="20"/>
      <c r="T164" s="20"/>
      <c r="U164" s="20"/>
      <c r="V164" s="20"/>
      <c r="W164" s="20"/>
      <c r="X164" s="20"/>
      <c r="Y164" s="20"/>
      <c r="Z164" s="20"/>
      <c r="AA164" s="20"/>
      <c r="AB164" s="20"/>
      <c r="AC164" s="20"/>
    </row>
    <row r="165">
      <c r="A165" s="20"/>
      <c r="B165" s="20"/>
      <c r="C165" s="20"/>
      <c r="D165" s="20"/>
      <c r="E165" s="20"/>
      <c r="F165" s="20"/>
      <c r="G165" s="20"/>
      <c r="H165" s="121"/>
      <c r="I165" s="121"/>
      <c r="J165" s="121"/>
      <c r="K165" s="121"/>
      <c r="L165" s="121"/>
      <c r="M165" s="122"/>
      <c r="N165" s="122"/>
      <c r="O165" s="122"/>
      <c r="P165" s="123"/>
      <c r="Q165" s="123"/>
      <c r="R165" s="123"/>
      <c r="S165" s="20"/>
      <c r="T165" s="20"/>
      <c r="U165" s="20"/>
      <c r="V165" s="20"/>
      <c r="W165" s="20"/>
      <c r="X165" s="20"/>
      <c r="Y165" s="20"/>
      <c r="Z165" s="20"/>
      <c r="AA165" s="20"/>
      <c r="AB165" s="20"/>
      <c r="AC165" s="20"/>
    </row>
    <row r="166">
      <c r="A166" s="20"/>
      <c r="B166" s="20"/>
      <c r="C166" s="20"/>
      <c r="D166" s="20"/>
      <c r="E166" s="20"/>
      <c r="F166" s="20"/>
      <c r="G166" s="20"/>
      <c r="H166" s="121"/>
      <c r="I166" s="121"/>
      <c r="J166" s="121"/>
      <c r="K166" s="121"/>
      <c r="L166" s="121"/>
      <c r="M166" s="122"/>
      <c r="N166" s="122"/>
      <c r="O166" s="122"/>
      <c r="P166" s="123"/>
      <c r="Q166" s="123"/>
      <c r="R166" s="123"/>
      <c r="S166" s="20"/>
      <c r="T166" s="20"/>
      <c r="U166" s="20"/>
      <c r="V166" s="20"/>
      <c r="W166" s="20"/>
      <c r="X166" s="20"/>
      <c r="Y166" s="20"/>
      <c r="Z166" s="20"/>
      <c r="AA166" s="20"/>
      <c r="AB166" s="20"/>
      <c r="AC166" s="20"/>
    </row>
    <row r="167">
      <c r="A167" s="20"/>
      <c r="B167" s="20"/>
      <c r="C167" s="20"/>
      <c r="D167" s="20"/>
      <c r="E167" s="20"/>
      <c r="F167" s="20"/>
      <c r="G167" s="20"/>
      <c r="H167" s="121"/>
      <c r="I167" s="121"/>
      <c r="J167" s="121"/>
      <c r="K167" s="121"/>
      <c r="L167" s="121"/>
      <c r="M167" s="122"/>
      <c r="N167" s="122"/>
      <c r="O167" s="122"/>
      <c r="P167" s="123"/>
      <c r="Q167" s="123"/>
      <c r="R167" s="123"/>
      <c r="S167" s="20"/>
      <c r="T167" s="20"/>
      <c r="U167" s="20"/>
      <c r="V167" s="20"/>
      <c r="W167" s="20"/>
      <c r="X167" s="20"/>
      <c r="Y167" s="20"/>
      <c r="Z167" s="20"/>
      <c r="AA167" s="20"/>
      <c r="AB167" s="20"/>
      <c r="AC167" s="20"/>
    </row>
    <row r="168">
      <c r="A168" s="20"/>
      <c r="B168" s="20"/>
      <c r="C168" s="20"/>
      <c r="D168" s="20"/>
      <c r="E168" s="20"/>
      <c r="F168" s="20"/>
      <c r="G168" s="20"/>
      <c r="H168" s="121"/>
      <c r="I168" s="121"/>
      <c r="J168" s="121"/>
      <c r="K168" s="121"/>
      <c r="L168" s="121"/>
      <c r="M168" s="122"/>
      <c r="N168" s="122"/>
      <c r="O168" s="122"/>
      <c r="P168" s="123"/>
      <c r="Q168" s="123"/>
      <c r="R168" s="123"/>
      <c r="S168" s="20"/>
      <c r="T168" s="20"/>
      <c r="U168" s="20"/>
      <c r="V168" s="20"/>
      <c r="W168" s="20"/>
      <c r="X168" s="20"/>
      <c r="Y168" s="20"/>
      <c r="Z168" s="20"/>
      <c r="AA168" s="20"/>
      <c r="AB168" s="20"/>
      <c r="AC168" s="20"/>
    </row>
    <row r="169">
      <c r="A169" s="20"/>
      <c r="B169" s="20"/>
      <c r="C169" s="20"/>
      <c r="D169" s="20"/>
      <c r="E169" s="20"/>
      <c r="F169" s="20"/>
      <c r="G169" s="20"/>
      <c r="H169" s="121"/>
      <c r="I169" s="121"/>
      <c r="J169" s="121"/>
      <c r="K169" s="121"/>
      <c r="L169" s="121"/>
      <c r="M169" s="122"/>
      <c r="N169" s="122"/>
      <c r="O169" s="122"/>
      <c r="P169" s="123"/>
      <c r="Q169" s="123"/>
      <c r="R169" s="123"/>
      <c r="S169" s="20"/>
      <c r="T169" s="20"/>
      <c r="U169" s="20"/>
      <c r="V169" s="20"/>
      <c r="W169" s="20"/>
      <c r="X169" s="20"/>
      <c r="Y169" s="20"/>
      <c r="Z169" s="20"/>
      <c r="AA169" s="20"/>
      <c r="AB169" s="20"/>
      <c r="AC169" s="20"/>
    </row>
    <row r="170">
      <c r="A170" s="20"/>
      <c r="B170" s="20"/>
      <c r="C170" s="20"/>
      <c r="D170" s="20"/>
      <c r="E170" s="20"/>
      <c r="F170" s="20"/>
      <c r="G170" s="20"/>
      <c r="H170" s="121"/>
      <c r="I170" s="121"/>
      <c r="J170" s="121"/>
      <c r="K170" s="121"/>
      <c r="L170" s="121"/>
      <c r="M170" s="122"/>
      <c r="N170" s="122"/>
      <c r="O170" s="122"/>
      <c r="P170" s="123"/>
      <c r="Q170" s="123"/>
      <c r="R170" s="123"/>
      <c r="S170" s="20"/>
      <c r="T170" s="20"/>
      <c r="U170" s="20"/>
      <c r="V170" s="20"/>
      <c r="W170" s="20"/>
      <c r="X170" s="20"/>
      <c r="Y170" s="20"/>
      <c r="Z170" s="20"/>
      <c r="AA170" s="20"/>
      <c r="AB170" s="20"/>
      <c r="AC170" s="20"/>
    </row>
    <row r="171">
      <c r="A171" s="20"/>
      <c r="B171" s="20"/>
      <c r="C171" s="20"/>
      <c r="D171" s="20"/>
      <c r="E171" s="20"/>
      <c r="F171" s="20"/>
      <c r="G171" s="20"/>
      <c r="H171" s="121"/>
      <c r="I171" s="121"/>
      <c r="J171" s="121"/>
      <c r="K171" s="121"/>
      <c r="L171" s="121"/>
      <c r="M171" s="122"/>
      <c r="N171" s="122"/>
      <c r="O171" s="122"/>
      <c r="P171" s="123"/>
      <c r="Q171" s="123"/>
      <c r="R171" s="123"/>
      <c r="S171" s="20"/>
      <c r="T171" s="20"/>
      <c r="U171" s="20"/>
      <c r="V171" s="20"/>
      <c r="W171" s="20"/>
      <c r="X171" s="20"/>
      <c r="Y171" s="20"/>
      <c r="Z171" s="20"/>
      <c r="AA171" s="20"/>
      <c r="AB171" s="20"/>
      <c r="AC171" s="20"/>
    </row>
    <row r="172">
      <c r="A172" s="20"/>
      <c r="B172" s="20"/>
      <c r="C172" s="20"/>
      <c r="D172" s="20"/>
      <c r="E172" s="20"/>
      <c r="F172" s="20"/>
      <c r="G172" s="20"/>
      <c r="H172" s="121"/>
      <c r="I172" s="121"/>
      <c r="J172" s="121"/>
      <c r="K172" s="121"/>
      <c r="L172" s="121"/>
      <c r="M172" s="122"/>
      <c r="N172" s="122"/>
      <c r="O172" s="122"/>
      <c r="P172" s="123"/>
      <c r="Q172" s="123"/>
      <c r="R172" s="123"/>
      <c r="S172" s="20"/>
      <c r="T172" s="20"/>
      <c r="U172" s="20"/>
      <c r="V172" s="20"/>
      <c r="W172" s="20"/>
      <c r="X172" s="20"/>
      <c r="Y172" s="20"/>
      <c r="Z172" s="20"/>
      <c r="AA172" s="20"/>
      <c r="AB172" s="20"/>
      <c r="AC172" s="20"/>
    </row>
    <row r="173">
      <c r="A173" s="20"/>
      <c r="B173" s="20"/>
      <c r="C173" s="20"/>
      <c r="D173" s="20"/>
      <c r="E173" s="20"/>
      <c r="F173" s="20"/>
      <c r="G173" s="20"/>
      <c r="H173" s="121"/>
      <c r="I173" s="121"/>
      <c r="J173" s="121"/>
      <c r="K173" s="121"/>
      <c r="L173" s="121"/>
      <c r="M173" s="122"/>
      <c r="N173" s="122"/>
      <c r="O173" s="122"/>
      <c r="P173" s="123"/>
      <c r="Q173" s="123"/>
      <c r="R173" s="123"/>
      <c r="S173" s="20"/>
      <c r="T173" s="20"/>
      <c r="U173" s="20"/>
      <c r="V173" s="20"/>
      <c r="W173" s="20"/>
      <c r="X173" s="20"/>
      <c r="Y173" s="20"/>
      <c r="Z173" s="20"/>
      <c r="AA173" s="20"/>
      <c r="AB173" s="20"/>
      <c r="AC173" s="20"/>
    </row>
    <row r="174">
      <c r="A174" s="20"/>
      <c r="B174" s="20"/>
      <c r="C174" s="20"/>
      <c r="D174" s="20"/>
      <c r="E174" s="20"/>
      <c r="F174" s="20"/>
      <c r="G174" s="20"/>
      <c r="H174" s="121"/>
      <c r="I174" s="121"/>
      <c r="J174" s="121"/>
      <c r="K174" s="121"/>
      <c r="L174" s="121"/>
      <c r="M174" s="122"/>
      <c r="N174" s="122"/>
      <c r="O174" s="122"/>
      <c r="P174" s="123"/>
      <c r="Q174" s="123"/>
      <c r="R174" s="123"/>
      <c r="S174" s="20"/>
      <c r="T174" s="20"/>
      <c r="U174" s="20"/>
      <c r="V174" s="20"/>
      <c r="W174" s="20"/>
      <c r="X174" s="20"/>
      <c r="Y174" s="20"/>
      <c r="Z174" s="20"/>
      <c r="AA174" s="20"/>
      <c r="AB174" s="20"/>
      <c r="AC174" s="20"/>
    </row>
    <row r="175">
      <c r="A175" s="20"/>
      <c r="B175" s="20"/>
      <c r="C175" s="20"/>
      <c r="D175" s="20"/>
      <c r="E175" s="20"/>
      <c r="F175" s="20"/>
      <c r="G175" s="20"/>
      <c r="H175" s="121"/>
      <c r="I175" s="121"/>
      <c r="J175" s="121"/>
      <c r="K175" s="121"/>
      <c r="L175" s="121"/>
      <c r="M175" s="122"/>
      <c r="N175" s="122"/>
      <c r="O175" s="122"/>
      <c r="P175" s="123"/>
      <c r="Q175" s="123"/>
      <c r="R175" s="123"/>
      <c r="S175" s="20"/>
      <c r="T175" s="20"/>
      <c r="U175" s="20"/>
      <c r="V175" s="20"/>
      <c r="W175" s="20"/>
      <c r="X175" s="20"/>
      <c r="Y175" s="20"/>
      <c r="Z175" s="20"/>
      <c r="AA175" s="20"/>
      <c r="AB175" s="20"/>
      <c r="AC175" s="20"/>
    </row>
    <row r="176">
      <c r="A176" s="20"/>
      <c r="B176" s="20"/>
      <c r="C176" s="20"/>
      <c r="D176" s="20"/>
      <c r="E176" s="20"/>
      <c r="F176" s="20"/>
      <c r="G176" s="20"/>
      <c r="H176" s="121"/>
      <c r="I176" s="121"/>
      <c r="J176" s="121"/>
      <c r="K176" s="121"/>
      <c r="L176" s="121"/>
      <c r="M176" s="122"/>
      <c r="N176" s="122"/>
      <c r="O176" s="122"/>
      <c r="P176" s="123"/>
      <c r="Q176" s="123"/>
      <c r="R176" s="123"/>
      <c r="S176" s="20"/>
      <c r="T176" s="20"/>
      <c r="U176" s="20"/>
      <c r="V176" s="20"/>
      <c r="W176" s="20"/>
      <c r="X176" s="20"/>
      <c r="Y176" s="20"/>
      <c r="Z176" s="20"/>
      <c r="AA176" s="20"/>
      <c r="AB176" s="20"/>
      <c r="AC176" s="20"/>
    </row>
    <row r="177">
      <c r="A177" s="20"/>
      <c r="B177" s="20"/>
      <c r="C177" s="20"/>
      <c r="D177" s="20"/>
      <c r="E177" s="20"/>
      <c r="F177" s="20"/>
      <c r="G177" s="20"/>
      <c r="H177" s="121"/>
      <c r="I177" s="121"/>
      <c r="J177" s="121"/>
      <c r="K177" s="121"/>
      <c r="L177" s="121"/>
      <c r="M177" s="122"/>
      <c r="N177" s="122"/>
      <c r="O177" s="122"/>
      <c r="P177" s="123"/>
      <c r="Q177" s="123"/>
      <c r="R177" s="123"/>
      <c r="S177" s="20"/>
      <c r="T177" s="20"/>
      <c r="U177" s="20"/>
      <c r="V177" s="20"/>
      <c r="W177" s="20"/>
      <c r="X177" s="20"/>
      <c r="Y177" s="20"/>
      <c r="Z177" s="20"/>
      <c r="AA177" s="20"/>
      <c r="AB177" s="20"/>
      <c r="AC177" s="20"/>
    </row>
    <row r="178">
      <c r="A178" s="20"/>
      <c r="B178" s="20"/>
      <c r="C178" s="20"/>
      <c r="D178" s="20"/>
      <c r="E178" s="20"/>
      <c r="F178" s="20"/>
      <c r="G178" s="20"/>
      <c r="H178" s="121"/>
      <c r="I178" s="121"/>
      <c r="J178" s="121"/>
      <c r="K178" s="121"/>
      <c r="L178" s="121"/>
      <c r="M178" s="122"/>
      <c r="N178" s="122"/>
      <c r="O178" s="122"/>
      <c r="P178" s="123"/>
      <c r="Q178" s="123"/>
      <c r="R178" s="123"/>
      <c r="S178" s="20"/>
      <c r="T178" s="20"/>
      <c r="U178" s="20"/>
      <c r="V178" s="20"/>
      <c r="W178" s="20"/>
      <c r="X178" s="20"/>
      <c r="Y178" s="20"/>
      <c r="Z178" s="20"/>
      <c r="AA178" s="20"/>
      <c r="AB178" s="20"/>
      <c r="AC178" s="20"/>
    </row>
    <row r="179">
      <c r="A179" s="20"/>
      <c r="B179" s="20"/>
      <c r="C179" s="20"/>
      <c r="D179" s="20"/>
      <c r="E179" s="20"/>
      <c r="F179" s="20"/>
      <c r="G179" s="20"/>
      <c r="H179" s="121"/>
      <c r="I179" s="121"/>
      <c r="J179" s="121"/>
      <c r="K179" s="121"/>
      <c r="L179" s="121"/>
      <c r="M179" s="122"/>
      <c r="N179" s="122"/>
      <c r="O179" s="122"/>
      <c r="P179" s="123"/>
      <c r="Q179" s="123"/>
      <c r="R179" s="123"/>
      <c r="S179" s="20"/>
      <c r="T179" s="20"/>
      <c r="U179" s="20"/>
      <c r="V179" s="20"/>
      <c r="W179" s="20"/>
      <c r="X179" s="20"/>
      <c r="Y179" s="20"/>
      <c r="Z179" s="20"/>
      <c r="AA179" s="20"/>
      <c r="AB179" s="20"/>
      <c r="AC179" s="20"/>
    </row>
    <row r="180">
      <c r="A180" s="20"/>
      <c r="B180" s="20"/>
      <c r="C180" s="20"/>
      <c r="D180" s="20"/>
      <c r="E180" s="20"/>
      <c r="F180" s="20"/>
      <c r="G180" s="20"/>
      <c r="H180" s="121"/>
      <c r="I180" s="121"/>
      <c r="J180" s="121"/>
      <c r="K180" s="121"/>
      <c r="L180" s="121"/>
      <c r="M180" s="122"/>
      <c r="N180" s="122"/>
      <c r="O180" s="122"/>
      <c r="P180" s="123"/>
      <c r="Q180" s="123"/>
      <c r="R180" s="123"/>
      <c r="S180" s="20"/>
      <c r="T180" s="20"/>
      <c r="U180" s="20"/>
      <c r="V180" s="20"/>
      <c r="W180" s="20"/>
      <c r="X180" s="20"/>
      <c r="Y180" s="20"/>
      <c r="Z180" s="20"/>
      <c r="AA180" s="20"/>
      <c r="AB180" s="20"/>
      <c r="AC180" s="20"/>
    </row>
    <row r="181">
      <c r="A181" s="20"/>
      <c r="B181" s="20"/>
      <c r="C181" s="20"/>
      <c r="D181" s="20"/>
      <c r="E181" s="20"/>
      <c r="F181" s="20"/>
      <c r="G181" s="20"/>
      <c r="H181" s="121"/>
      <c r="I181" s="121"/>
      <c r="J181" s="121"/>
      <c r="K181" s="121"/>
      <c r="L181" s="121"/>
      <c r="M181" s="122"/>
      <c r="N181" s="122"/>
      <c r="O181" s="122"/>
      <c r="P181" s="123"/>
      <c r="Q181" s="123"/>
      <c r="R181" s="123"/>
      <c r="S181" s="20"/>
      <c r="T181" s="20"/>
      <c r="U181" s="20"/>
      <c r="V181" s="20"/>
      <c r="W181" s="20"/>
      <c r="X181" s="20"/>
      <c r="Y181" s="20"/>
      <c r="Z181" s="20"/>
      <c r="AA181" s="20"/>
      <c r="AB181" s="20"/>
      <c r="AC181" s="20"/>
    </row>
    <row r="182">
      <c r="A182" s="20"/>
      <c r="B182" s="20"/>
      <c r="C182" s="20"/>
      <c r="D182" s="20"/>
      <c r="E182" s="20"/>
      <c r="F182" s="20"/>
      <c r="G182" s="20"/>
      <c r="H182" s="121"/>
      <c r="I182" s="121"/>
      <c r="J182" s="121"/>
      <c r="K182" s="121"/>
      <c r="L182" s="121"/>
      <c r="M182" s="122"/>
      <c r="N182" s="122"/>
      <c r="O182" s="122"/>
      <c r="P182" s="123"/>
      <c r="Q182" s="123"/>
      <c r="R182" s="123"/>
      <c r="S182" s="20"/>
      <c r="T182" s="20"/>
      <c r="U182" s="20"/>
      <c r="V182" s="20"/>
      <c r="W182" s="20"/>
      <c r="X182" s="20"/>
      <c r="Y182" s="20"/>
      <c r="Z182" s="20"/>
      <c r="AA182" s="20"/>
      <c r="AB182" s="20"/>
      <c r="AC182" s="20"/>
    </row>
    <row r="183">
      <c r="A183" s="20"/>
      <c r="B183" s="20"/>
      <c r="C183" s="20"/>
      <c r="D183" s="20"/>
      <c r="E183" s="20"/>
      <c r="F183" s="20"/>
      <c r="G183" s="20"/>
      <c r="H183" s="121"/>
      <c r="I183" s="121"/>
      <c r="J183" s="121"/>
      <c r="K183" s="121"/>
      <c r="L183" s="121"/>
      <c r="M183" s="122"/>
      <c r="N183" s="122"/>
      <c r="O183" s="122"/>
      <c r="P183" s="123"/>
      <c r="Q183" s="123"/>
      <c r="R183" s="123"/>
      <c r="S183" s="20"/>
      <c r="T183" s="20"/>
      <c r="U183" s="20"/>
      <c r="V183" s="20"/>
      <c r="W183" s="20"/>
      <c r="X183" s="20"/>
      <c r="Y183" s="20"/>
      <c r="Z183" s="20"/>
      <c r="AA183" s="20"/>
      <c r="AB183" s="20"/>
      <c r="AC183" s="20"/>
    </row>
    <row r="184">
      <c r="A184" s="20"/>
      <c r="B184" s="20"/>
      <c r="C184" s="20"/>
      <c r="D184" s="20"/>
      <c r="E184" s="20"/>
      <c r="F184" s="20"/>
      <c r="G184" s="20"/>
      <c r="H184" s="121"/>
      <c r="I184" s="121"/>
      <c r="J184" s="121"/>
      <c r="K184" s="121"/>
      <c r="L184" s="121"/>
      <c r="M184" s="122"/>
      <c r="N184" s="122"/>
      <c r="O184" s="122"/>
      <c r="P184" s="123"/>
      <c r="Q184" s="123"/>
      <c r="R184" s="123"/>
      <c r="S184" s="20"/>
      <c r="T184" s="20"/>
      <c r="U184" s="20"/>
      <c r="V184" s="20"/>
      <c r="W184" s="20"/>
      <c r="X184" s="20"/>
      <c r="Y184" s="20"/>
      <c r="Z184" s="20"/>
      <c r="AA184" s="20"/>
      <c r="AB184" s="20"/>
      <c r="AC184" s="20"/>
    </row>
    <row r="185">
      <c r="A185" s="20"/>
      <c r="B185" s="20"/>
      <c r="C185" s="20"/>
      <c r="D185" s="20"/>
      <c r="E185" s="20"/>
      <c r="F185" s="20"/>
      <c r="G185" s="20"/>
      <c r="H185" s="121"/>
      <c r="I185" s="121"/>
      <c r="J185" s="121"/>
      <c r="K185" s="121"/>
      <c r="L185" s="121"/>
      <c r="M185" s="122"/>
      <c r="N185" s="122"/>
      <c r="O185" s="122"/>
      <c r="P185" s="123"/>
      <c r="Q185" s="123"/>
      <c r="R185" s="123"/>
      <c r="S185" s="20"/>
      <c r="T185" s="20"/>
      <c r="U185" s="20"/>
      <c r="V185" s="20"/>
      <c r="W185" s="20"/>
      <c r="X185" s="20"/>
      <c r="Y185" s="20"/>
      <c r="Z185" s="20"/>
      <c r="AA185" s="20"/>
      <c r="AB185" s="20"/>
      <c r="AC185" s="20"/>
    </row>
    <row r="186">
      <c r="A186" s="20"/>
      <c r="B186" s="20"/>
      <c r="C186" s="20"/>
      <c r="D186" s="20"/>
      <c r="E186" s="20"/>
      <c r="F186" s="20"/>
      <c r="G186" s="20"/>
      <c r="H186" s="121"/>
      <c r="I186" s="121"/>
      <c r="J186" s="121"/>
      <c r="K186" s="121"/>
      <c r="L186" s="121"/>
      <c r="M186" s="122"/>
      <c r="N186" s="122"/>
      <c r="O186" s="122"/>
      <c r="P186" s="123"/>
      <c r="Q186" s="123"/>
      <c r="R186" s="123"/>
      <c r="S186" s="20"/>
      <c r="T186" s="20"/>
      <c r="U186" s="20"/>
      <c r="V186" s="20"/>
      <c r="W186" s="20"/>
      <c r="X186" s="20"/>
      <c r="Y186" s="20"/>
      <c r="Z186" s="20"/>
      <c r="AA186" s="20"/>
      <c r="AB186" s="20"/>
      <c r="AC186" s="20"/>
    </row>
    <row r="187">
      <c r="A187" s="20"/>
      <c r="B187" s="20"/>
      <c r="C187" s="20"/>
      <c r="D187" s="20"/>
      <c r="E187" s="20"/>
      <c r="F187" s="20"/>
      <c r="G187" s="20"/>
      <c r="H187" s="121"/>
      <c r="I187" s="121"/>
      <c r="J187" s="121"/>
      <c r="K187" s="121"/>
      <c r="L187" s="121"/>
      <c r="M187" s="122"/>
      <c r="N187" s="122"/>
      <c r="O187" s="122"/>
      <c r="P187" s="123"/>
      <c r="Q187" s="123"/>
      <c r="R187" s="123"/>
      <c r="S187" s="20"/>
      <c r="T187" s="20"/>
      <c r="U187" s="20"/>
      <c r="V187" s="20"/>
      <c r="W187" s="20"/>
      <c r="X187" s="20"/>
      <c r="Y187" s="20"/>
      <c r="Z187" s="20"/>
      <c r="AA187" s="20"/>
      <c r="AB187" s="20"/>
      <c r="AC187" s="20"/>
    </row>
    <row r="188">
      <c r="A188" s="20"/>
      <c r="B188" s="20"/>
      <c r="C188" s="20"/>
      <c r="D188" s="20"/>
      <c r="E188" s="20"/>
      <c r="F188" s="20"/>
      <c r="G188" s="20"/>
      <c r="H188" s="121"/>
      <c r="I188" s="121"/>
      <c r="J188" s="121"/>
      <c r="K188" s="121"/>
      <c r="L188" s="121"/>
      <c r="M188" s="122"/>
      <c r="N188" s="122"/>
      <c r="O188" s="122"/>
      <c r="P188" s="123"/>
      <c r="Q188" s="123"/>
      <c r="R188" s="123"/>
      <c r="S188" s="20"/>
      <c r="T188" s="20"/>
      <c r="U188" s="20"/>
      <c r="V188" s="20"/>
      <c r="W188" s="20"/>
      <c r="X188" s="20"/>
      <c r="Y188" s="20"/>
      <c r="Z188" s="20"/>
      <c r="AA188" s="20"/>
      <c r="AB188" s="20"/>
      <c r="AC188" s="20"/>
    </row>
    <row r="189">
      <c r="A189" s="20"/>
      <c r="B189" s="20"/>
      <c r="C189" s="20"/>
      <c r="D189" s="20"/>
      <c r="E189" s="20"/>
      <c r="F189" s="20"/>
      <c r="G189" s="20"/>
      <c r="H189" s="121"/>
      <c r="I189" s="121"/>
      <c r="J189" s="121"/>
      <c r="K189" s="121"/>
      <c r="L189" s="121"/>
      <c r="M189" s="122"/>
      <c r="N189" s="122"/>
      <c r="O189" s="122"/>
      <c r="P189" s="123"/>
      <c r="Q189" s="123"/>
      <c r="R189" s="123"/>
      <c r="S189" s="20"/>
      <c r="T189" s="20"/>
      <c r="U189" s="20"/>
      <c r="V189" s="20"/>
      <c r="W189" s="20"/>
      <c r="X189" s="20"/>
      <c r="Y189" s="20"/>
      <c r="Z189" s="20"/>
      <c r="AA189" s="20"/>
      <c r="AB189" s="20"/>
      <c r="AC189" s="20"/>
    </row>
    <row r="190">
      <c r="A190" s="20"/>
      <c r="B190" s="20"/>
      <c r="C190" s="20"/>
      <c r="D190" s="20"/>
      <c r="E190" s="20"/>
      <c r="F190" s="20"/>
      <c r="G190" s="20"/>
      <c r="H190" s="121"/>
      <c r="I190" s="121"/>
      <c r="J190" s="121"/>
      <c r="K190" s="121"/>
      <c r="L190" s="121"/>
      <c r="M190" s="122"/>
      <c r="N190" s="122"/>
      <c r="O190" s="122"/>
      <c r="P190" s="123"/>
      <c r="Q190" s="123"/>
      <c r="R190" s="123"/>
      <c r="S190" s="20"/>
      <c r="T190" s="20"/>
      <c r="U190" s="20"/>
      <c r="V190" s="20"/>
      <c r="W190" s="20"/>
      <c r="X190" s="20"/>
      <c r="Y190" s="20"/>
      <c r="Z190" s="20"/>
      <c r="AA190" s="20"/>
      <c r="AB190" s="20"/>
      <c r="AC190" s="20"/>
    </row>
    <row r="191">
      <c r="A191" s="20"/>
      <c r="B191" s="20"/>
      <c r="C191" s="20"/>
      <c r="D191" s="20"/>
      <c r="E191" s="20"/>
      <c r="F191" s="20"/>
      <c r="G191" s="20"/>
      <c r="H191" s="121"/>
      <c r="I191" s="121"/>
      <c r="J191" s="121"/>
      <c r="K191" s="121"/>
      <c r="L191" s="121"/>
      <c r="M191" s="122"/>
      <c r="N191" s="122"/>
      <c r="O191" s="122"/>
      <c r="P191" s="123"/>
      <c r="Q191" s="123"/>
      <c r="R191" s="123"/>
      <c r="S191" s="20"/>
      <c r="T191" s="20"/>
      <c r="U191" s="20"/>
      <c r="V191" s="20"/>
      <c r="W191" s="20"/>
      <c r="X191" s="20"/>
      <c r="Y191" s="20"/>
      <c r="Z191" s="20"/>
      <c r="AA191" s="20"/>
      <c r="AB191" s="20"/>
      <c r="AC191" s="20"/>
    </row>
    <row r="192">
      <c r="A192" s="20"/>
      <c r="B192" s="20"/>
      <c r="C192" s="20"/>
      <c r="D192" s="20"/>
      <c r="E192" s="20"/>
      <c r="F192" s="20"/>
      <c r="G192" s="20"/>
      <c r="H192" s="121"/>
      <c r="I192" s="121"/>
      <c r="J192" s="121"/>
      <c r="K192" s="121"/>
      <c r="L192" s="121"/>
      <c r="M192" s="122"/>
      <c r="N192" s="122"/>
      <c r="O192" s="122"/>
      <c r="P192" s="123"/>
      <c r="Q192" s="123"/>
      <c r="R192" s="123"/>
      <c r="S192" s="20"/>
      <c r="T192" s="20"/>
      <c r="U192" s="20"/>
      <c r="V192" s="20"/>
      <c r="W192" s="20"/>
      <c r="X192" s="20"/>
      <c r="Y192" s="20"/>
      <c r="Z192" s="20"/>
      <c r="AA192" s="20"/>
      <c r="AB192" s="20"/>
      <c r="AC192" s="20"/>
    </row>
    <row r="193">
      <c r="A193" s="20"/>
      <c r="B193" s="20"/>
      <c r="C193" s="20"/>
      <c r="D193" s="20"/>
      <c r="E193" s="20"/>
      <c r="F193" s="20"/>
      <c r="G193" s="20"/>
      <c r="H193" s="121"/>
      <c r="I193" s="121"/>
      <c r="J193" s="121"/>
      <c r="K193" s="121"/>
      <c r="L193" s="121"/>
      <c r="M193" s="122"/>
      <c r="N193" s="122"/>
      <c r="O193" s="122"/>
      <c r="P193" s="123"/>
      <c r="Q193" s="123"/>
      <c r="R193" s="123"/>
      <c r="S193" s="20"/>
      <c r="T193" s="20"/>
      <c r="U193" s="20"/>
      <c r="V193" s="20"/>
      <c r="W193" s="20"/>
      <c r="X193" s="20"/>
      <c r="Y193" s="20"/>
      <c r="Z193" s="20"/>
      <c r="AA193" s="20"/>
      <c r="AB193" s="20"/>
      <c r="AC193" s="20"/>
    </row>
    <row r="194">
      <c r="A194" s="20"/>
      <c r="B194" s="20"/>
      <c r="C194" s="20"/>
      <c r="D194" s="20"/>
      <c r="E194" s="20"/>
      <c r="F194" s="20"/>
      <c r="G194" s="20"/>
      <c r="H194" s="121"/>
      <c r="I194" s="121"/>
      <c r="J194" s="121"/>
      <c r="K194" s="121"/>
      <c r="L194" s="121"/>
      <c r="M194" s="122"/>
      <c r="N194" s="122"/>
      <c r="O194" s="122"/>
      <c r="P194" s="123"/>
      <c r="Q194" s="123"/>
      <c r="R194" s="123"/>
      <c r="S194" s="20"/>
      <c r="T194" s="20"/>
      <c r="U194" s="20"/>
      <c r="V194" s="20"/>
      <c r="W194" s="20"/>
      <c r="X194" s="20"/>
      <c r="Y194" s="20"/>
      <c r="Z194" s="20"/>
      <c r="AA194" s="20"/>
      <c r="AB194" s="20"/>
      <c r="AC194" s="20"/>
    </row>
    <row r="195">
      <c r="A195" s="20"/>
      <c r="B195" s="20"/>
      <c r="C195" s="20"/>
      <c r="D195" s="20"/>
      <c r="E195" s="20"/>
      <c r="F195" s="20"/>
      <c r="G195" s="20"/>
      <c r="H195" s="121"/>
      <c r="I195" s="121"/>
      <c r="J195" s="121"/>
      <c r="K195" s="121"/>
      <c r="L195" s="121"/>
      <c r="M195" s="122"/>
      <c r="N195" s="122"/>
      <c r="O195" s="122"/>
      <c r="P195" s="123"/>
      <c r="Q195" s="123"/>
      <c r="R195" s="123"/>
      <c r="S195" s="20"/>
      <c r="T195" s="20"/>
      <c r="U195" s="20"/>
      <c r="V195" s="20"/>
      <c r="W195" s="20"/>
      <c r="X195" s="20"/>
      <c r="Y195" s="20"/>
      <c r="Z195" s="20"/>
      <c r="AA195" s="20"/>
      <c r="AB195" s="20"/>
      <c r="AC195" s="20"/>
    </row>
    <row r="196">
      <c r="A196" s="20"/>
      <c r="B196" s="20"/>
      <c r="C196" s="20"/>
      <c r="D196" s="20"/>
      <c r="E196" s="20"/>
      <c r="F196" s="20"/>
      <c r="G196" s="20"/>
      <c r="H196" s="121"/>
      <c r="I196" s="121"/>
      <c r="J196" s="121"/>
      <c r="K196" s="121"/>
      <c r="L196" s="121"/>
      <c r="M196" s="122"/>
      <c r="N196" s="122"/>
      <c r="O196" s="122"/>
      <c r="P196" s="123"/>
      <c r="Q196" s="123"/>
      <c r="R196" s="123"/>
      <c r="S196" s="20"/>
      <c r="T196" s="20"/>
      <c r="U196" s="20"/>
      <c r="V196" s="20"/>
      <c r="W196" s="20"/>
      <c r="X196" s="20"/>
      <c r="Y196" s="20"/>
      <c r="Z196" s="20"/>
      <c r="AA196" s="20"/>
      <c r="AB196" s="20"/>
      <c r="AC196" s="20"/>
    </row>
    <row r="197">
      <c r="A197" s="20"/>
      <c r="B197" s="20"/>
      <c r="C197" s="20"/>
      <c r="D197" s="20"/>
      <c r="E197" s="20"/>
      <c r="F197" s="20"/>
      <c r="G197" s="20"/>
      <c r="H197" s="121"/>
      <c r="I197" s="121"/>
      <c r="J197" s="121"/>
      <c r="K197" s="121"/>
      <c r="L197" s="121"/>
      <c r="M197" s="122"/>
      <c r="N197" s="122"/>
      <c r="O197" s="122"/>
      <c r="P197" s="123"/>
      <c r="Q197" s="123"/>
      <c r="R197" s="123"/>
      <c r="S197" s="20"/>
      <c r="T197" s="20"/>
      <c r="U197" s="20"/>
      <c r="V197" s="20"/>
      <c r="W197" s="20"/>
      <c r="X197" s="20"/>
      <c r="Y197" s="20"/>
      <c r="Z197" s="20"/>
      <c r="AA197" s="20"/>
      <c r="AB197" s="20"/>
      <c r="AC197" s="20"/>
    </row>
    <row r="198">
      <c r="A198" s="20"/>
      <c r="B198" s="20"/>
      <c r="C198" s="20"/>
      <c r="D198" s="20"/>
      <c r="E198" s="20"/>
      <c r="F198" s="20"/>
      <c r="G198" s="20"/>
      <c r="H198" s="121"/>
      <c r="I198" s="121"/>
      <c r="J198" s="121"/>
      <c r="K198" s="121"/>
      <c r="L198" s="121"/>
      <c r="M198" s="122"/>
      <c r="N198" s="122"/>
      <c r="O198" s="122"/>
      <c r="P198" s="123"/>
      <c r="Q198" s="123"/>
      <c r="R198" s="123"/>
      <c r="S198" s="20"/>
      <c r="T198" s="20"/>
      <c r="U198" s="20"/>
      <c r="V198" s="20"/>
      <c r="W198" s="20"/>
      <c r="X198" s="20"/>
      <c r="Y198" s="20"/>
      <c r="Z198" s="20"/>
      <c r="AA198" s="20"/>
      <c r="AB198" s="20"/>
      <c r="AC198" s="20"/>
    </row>
    <row r="199">
      <c r="A199" s="20"/>
      <c r="B199" s="20"/>
      <c r="C199" s="20"/>
      <c r="D199" s="20"/>
      <c r="E199" s="20"/>
      <c r="F199" s="20"/>
      <c r="G199" s="20"/>
      <c r="H199" s="121"/>
      <c r="I199" s="121"/>
      <c r="J199" s="121"/>
      <c r="K199" s="121"/>
      <c r="L199" s="121"/>
      <c r="M199" s="122"/>
      <c r="N199" s="122"/>
      <c r="O199" s="122"/>
      <c r="P199" s="123"/>
      <c r="Q199" s="123"/>
      <c r="R199" s="123"/>
      <c r="S199" s="20"/>
      <c r="T199" s="20"/>
      <c r="U199" s="20"/>
      <c r="V199" s="20"/>
      <c r="W199" s="20"/>
      <c r="X199" s="20"/>
      <c r="Y199" s="20"/>
      <c r="Z199" s="20"/>
      <c r="AA199" s="20"/>
      <c r="AB199" s="20"/>
      <c r="AC199" s="20"/>
    </row>
    <row r="200">
      <c r="A200" s="20"/>
      <c r="B200" s="20"/>
      <c r="C200" s="20"/>
      <c r="D200" s="20"/>
      <c r="E200" s="20"/>
      <c r="F200" s="20"/>
      <c r="G200" s="20"/>
      <c r="H200" s="121"/>
      <c r="I200" s="121"/>
      <c r="J200" s="121"/>
      <c r="K200" s="121"/>
      <c r="L200" s="121"/>
      <c r="M200" s="122"/>
      <c r="N200" s="122"/>
      <c r="O200" s="122"/>
      <c r="P200" s="123"/>
      <c r="Q200" s="123"/>
      <c r="R200" s="123"/>
      <c r="S200" s="20"/>
      <c r="T200" s="20"/>
      <c r="U200" s="20"/>
      <c r="V200" s="20"/>
      <c r="W200" s="20"/>
      <c r="X200" s="20"/>
      <c r="Y200" s="20"/>
      <c r="Z200" s="20"/>
      <c r="AA200" s="20"/>
      <c r="AB200" s="20"/>
      <c r="AC200" s="20"/>
    </row>
    <row r="201">
      <c r="A201" s="20"/>
      <c r="B201" s="20"/>
      <c r="C201" s="20"/>
      <c r="D201" s="20"/>
      <c r="E201" s="20"/>
      <c r="F201" s="20"/>
      <c r="G201" s="20"/>
      <c r="H201" s="121"/>
      <c r="I201" s="121"/>
      <c r="J201" s="121"/>
      <c r="K201" s="121"/>
      <c r="L201" s="121"/>
      <c r="M201" s="122"/>
      <c r="N201" s="122"/>
      <c r="O201" s="122"/>
      <c r="P201" s="123"/>
      <c r="Q201" s="123"/>
      <c r="R201" s="123"/>
      <c r="S201" s="20"/>
      <c r="T201" s="20"/>
      <c r="U201" s="20"/>
      <c r="V201" s="20"/>
      <c r="W201" s="20"/>
      <c r="X201" s="20"/>
      <c r="Y201" s="20"/>
      <c r="Z201" s="20"/>
      <c r="AA201" s="20"/>
      <c r="AB201" s="20"/>
      <c r="AC201" s="20"/>
    </row>
    <row r="202">
      <c r="A202" s="20"/>
      <c r="B202" s="20"/>
      <c r="C202" s="20"/>
      <c r="D202" s="20"/>
      <c r="E202" s="20"/>
      <c r="F202" s="20"/>
      <c r="G202" s="20"/>
      <c r="H202" s="121"/>
      <c r="I202" s="121"/>
      <c r="J202" s="121"/>
      <c r="K202" s="121"/>
      <c r="L202" s="121"/>
      <c r="M202" s="122"/>
      <c r="N202" s="122"/>
      <c r="O202" s="122"/>
      <c r="P202" s="123"/>
      <c r="Q202" s="123"/>
      <c r="R202" s="123"/>
      <c r="S202" s="20"/>
      <c r="T202" s="20"/>
      <c r="U202" s="20"/>
      <c r="V202" s="20"/>
      <c r="W202" s="20"/>
      <c r="X202" s="20"/>
      <c r="Y202" s="20"/>
      <c r="Z202" s="20"/>
      <c r="AA202" s="20"/>
      <c r="AB202" s="20"/>
      <c r="AC202" s="20"/>
    </row>
    <row r="203">
      <c r="A203" s="20"/>
      <c r="B203" s="20"/>
      <c r="C203" s="20"/>
      <c r="D203" s="20"/>
      <c r="E203" s="20"/>
      <c r="F203" s="20"/>
      <c r="G203" s="20"/>
      <c r="H203" s="121"/>
      <c r="I203" s="121"/>
      <c r="J203" s="121"/>
      <c r="K203" s="121"/>
      <c r="L203" s="121"/>
      <c r="M203" s="122"/>
      <c r="N203" s="122"/>
      <c r="O203" s="122"/>
      <c r="P203" s="123"/>
      <c r="Q203" s="123"/>
      <c r="R203" s="123"/>
      <c r="S203" s="20"/>
      <c r="T203" s="20"/>
      <c r="U203" s="20"/>
      <c r="V203" s="20"/>
      <c r="W203" s="20"/>
      <c r="X203" s="20"/>
      <c r="Y203" s="20"/>
      <c r="Z203" s="20"/>
      <c r="AA203" s="20"/>
      <c r="AB203" s="20"/>
      <c r="AC203" s="20"/>
    </row>
    <row r="204">
      <c r="A204" s="20"/>
      <c r="B204" s="20"/>
      <c r="C204" s="20"/>
      <c r="D204" s="20"/>
      <c r="E204" s="20"/>
      <c r="F204" s="20"/>
      <c r="G204" s="20"/>
      <c r="H204" s="121"/>
      <c r="I204" s="121"/>
      <c r="J204" s="121"/>
      <c r="K204" s="121"/>
      <c r="L204" s="121"/>
      <c r="M204" s="122"/>
      <c r="N204" s="122"/>
      <c r="O204" s="122"/>
      <c r="P204" s="123"/>
      <c r="Q204" s="123"/>
      <c r="R204" s="123"/>
      <c r="S204" s="20"/>
      <c r="T204" s="20"/>
      <c r="U204" s="20"/>
      <c r="V204" s="20"/>
      <c r="W204" s="20"/>
      <c r="X204" s="20"/>
      <c r="Y204" s="20"/>
      <c r="Z204" s="20"/>
      <c r="AA204" s="20"/>
      <c r="AB204" s="20"/>
      <c r="AC204" s="20"/>
    </row>
    <row r="205">
      <c r="A205" s="20"/>
      <c r="B205" s="20"/>
      <c r="C205" s="20"/>
      <c r="D205" s="20"/>
      <c r="E205" s="20"/>
      <c r="F205" s="20"/>
      <c r="G205" s="20"/>
      <c r="H205" s="121"/>
      <c r="I205" s="121"/>
      <c r="J205" s="121"/>
      <c r="K205" s="121"/>
      <c r="L205" s="121"/>
      <c r="M205" s="122"/>
      <c r="N205" s="122"/>
      <c r="O205" s="122"/>
      <c r="P205" s="123"/>
      <c r="Q205" s="123"/>
      <c r="R205" s="123"/>
      <c r="S205" s="20"/>
      <c r="T205" s="20"/>
      <c r="U205" s="20"/>
      <c r="V205" s="20"/>
      <c r="W205" s="20"/>
      <c r="X205" s="20"/>
      <c r="Y205" s="20"/>
      <c r="Z205" s="20"/>
      <c r="AA205" s="20"/>
      <c r="AB205" s="20"/>
      <c r="AC205" s="20"/>
    </row>
    <row r="206">
      <c r="A206" s="20"/>
      <c r="B206" s="20"/>
      <c r="C206" s="20"/>
      <c r="D206" s="20"/>
      <c r="E206" s="20"/>
      <c r="F206" s="20"/>
      <c r="G206" s="20"/>
      <c r="H206" s="121"/>
      <c r="I206" s="121"/>
      <c r="J206" s="121"/>
      <c r="K206" s="121"/>
      <c r="L206" s="121"/>
      <c r="M206" s="122"/>
      <c r="N206" s="122"/>
      <c r="O206" s="122"/>
      <c r="P206" s="123"/>
      <c r="Q206" s="123"/>
      <c r="R206" s="123"/>
      <c r="S206" s="20"/>
      <c r="T206" s="20"/>
      <c r="U206" s="20"/>
      <c r="V206" s="20"/>
      <c r="W206" s="20"/>
      <c r="X206" s="20"/>
      <c r="Y206" s="20"/>
      <c r="Z206" s="20"/>
      <c r="AA206" s="20"/>
      <c r="AB206" s="20"/>
      <c r="AC206" s="20"/>
    </row>
    <row r="207">
      <c r="A207" s="20"/>
      <c r="B207" s="20"/>
      <c r="C207" s="20"/>
      <c r="D207" s="20"/>
      <c r="E207" s="20"/>
      <c r="F207" s="20"/>
      <c r="G207" s="20"/>
      <c r="H207" s="121"/>
      <c r="I207" s="121"/>
      <c r="J207" s="121"/>
      <c r="K207" s="121"/>
      <c r="L207" s="121"/>
      <c r="M207" s="122"/>
      <c r="N207" s="122"/>
      <c r="O207" s="122"/>
      <c r="P207" s="123"/>
      <c r="Q207" s="123"/>
      <c r="R207" s="123"/>
      <c r="S207" s="20"/>
      <c r="T207" s="20"/>
      <c r="U207" s="20"/>
      <c r="V207" s="20"/>
      <c r="W207" s="20"/>
      <c r="X207" s="20"/>
      <c r="Y207" s="20"/>
      <c r="Z207" s="20"/>
      <c r="AA207" s="20"/>
      <c r="AB207" s="20"/>
      <c r="AC207" s="20"/>
    </row>
    <row r="208">
      <c r="A208" s="20"/>
      <c r="B208" s="20"/>
      <c r="C208" s="20"/>
      <c r="D208" s="20"/>
      <c r="E208" s="20"/>
      <c r="F208" s="20"/>
      <c r="G208" s="20"/>
      <c r="H208" s="121"/>
      <c r="I208" s="121"/>
      <c r="J208" s="121"/>
      <c r="K208" s="121"/>
      <c r="L208" s="121"/>
      <c r="M208" s="122"/>
      <c r="N208" s="122"/>
      <c r="O208" s="122"/>
      <c r="P208" s="123"/>
      <c r="Q208" s="123"/>
      <c r="R208" s="123"/>
      <c r="S208" s="20"/>
      <c r="T208" s="20"/>
      <c r="U208" s="20"/>
      <c r="V208" s="20"/>
      <c r="W208" s="20"/>
      <c r="X208" s="20"/>
      <c r="Y208" s="20"/>
      <c r="Z208" s="20"/>
      <c r="AA208" s="20"/>
      <c r="AB208" s="20"/>
      <c r="AC208" s="20"/>
    </row>
    <row r="209">
      <c r="A209" s="20"/>
      <c r="B209" s="20"/>
      <c r="C209" s="20"/>
      <c r="D209" s="20"/>
      <c r="E209" s="20"/>
      <c r="F209" s="20"/>
      <c r="G209" s="20"/>
      <c r="H209" s="121"/>
      <c r="I209" s="121"/>
      <c r="J209" s="121"/>
      <c r="K209" s="121"/>
      <c r="L209" s="121"/>
      <c r="M209" s="122"/>
      <c r="N209" s="122"/>
      <c r="O209" s="122"/>
      <c r="P209" s="123"/>
      <c r="Q209" s="123"/>
      <c r="R209" s="123"/>
      <c r="S209" s="20"/>
      <c r="T209" s="20"/>
      <c r="U209" s="20"/>
      <c r="V209" s="20"/>
      <c r="W209" s="20"/>
      <c r="X209" s="20"/>
      <c r="Y209" s="20"/>
      <c r="Z209" s="20"/>
      <c r="AA209" s="20"/>
      <c r="AB209" s="20"/>
      <c r="AC209" s="20"/>
    </row>
    <row r="210">
      <c r="A210" s="20"/>
      <c r="B210" s="20"/>
      <c r="C210" s="20"/>
      <c r="D210" s="20"/>
      <c r="E210" s="20"/>
      <c r="F210" s="20"/>
      <c r="G210" s="20"/>
      <c r="H210" s="121"/>
      <c r="I210" s="121"/>
      <c r="J210" s="121"/>
      <c r="K210" s="121"/>
      <c r="L210" s="121"/>
      <c r="M210" s="122"/>
      <c r="N210" s="122"/>
      <c r="O210" s="122"/>
      <c r="P210" s="123"/>
      <c r="Q210" s="123"/>
      <c r="R210" s="123"/>
      <c r="S210" s="20"/>
      <c r="T210" s="20"/>
      <c r="U210" s="20"/>
      <c r="V210" s="20"/>
      <c r="W210" s="20"/>
      <c r="X210" s="20"/>
      <c r="Y210" s="20"/>
      <c r="Z210" s="20"/>
      <c r="AA210" s="20"/>
      <c r="AB210" s="20"/>
      <c r="AC210" s="20"/>
    </row>
    <row r="211">
      <c r="A211" s="20"/>
      <c r="B211" s="20"/>
      <c r="C211" s="20"/>
      <c r="D211" s="20"/>
      <c r="E211" s="20"/>
      <c r="F211" s="20"/>
      <c r="G211" s="20"/>
      <c r="H211" s="121"/>
      <c r="I211" s="121"/>
      <c r="J211" s="121"/>
      <c r="K211" s="121"/>
      <c r="L211" s="121"/>
      <c r="M211" s="122"/>
      <c r="N211" s="122"/>
      <c r="O211" s="122"/>
      <c r="P211" s="123"/>
      <c r="Q211" s="123"/>
      <c r="R211" s="123"/>
      <c r="S211" s="20"/>
      <c r="T211" s="20"/>
      <c r="U211" s="20"/>
      <c r="V211" s="20"/>
      <c r="W211" s="20"/>
      <c r="X211" s="20"/>
      <c r="Y211" s="20"/>
      <c r="Z211" s="20"/>
      <c r="AA211" s="20"/>
      <c r="AB211" s="20"/>
      <c r="AC211" s="20"/>
    </row>
    <row r="212">
      <c r="A212" s="20"/>
      <c r="B212" s="20"/>
      <c r="C212" s="20"/>
      <c r="D212" s="20"/>
      <c r="E212" s="20"/>
      <c r="F212" s="20"/>
      <c r="G212" s="20"/>
      <c r="H212" s="121"/>
      <c r="I212" s="121"/>
      <c r="J212" s="121"/>
      <c r="K212" s="121"/>
      <c r="L212" s="121"/>
      <c r="M212" s="122"/>
      <c r="N212" s="122"/>
      <c r="O212" s="122"/>
      <c r="P212" s="123"/>
      <c r="Q212" s="123"/>
      <c r="R212" s="123"/>
      <c r="S212" s="20"/>
      <c r="T212" s="20"/>
      <c r="U212" s="20"/>
      <c r="V212" s="20"/>
      <c r="W212" s="20"/>
      <c r="X212" s="20"/>
      <c r="Y212" s="20"/>
      <c r="Z212" s="20"/>
      <c r="AA212" s="20"/>
      <c r="AB212" s="20"/>
      <c r="AC212" s="20"/>
    </row>
    <row r="213">
      <c r="A213" s="20"/>
      <c r="B213" s="20"/>
      <c r="C213" s="20"/>
      <c r="D213" s="20"/>
      <c r="E213" s="20"/>
      <c r="F213" s="20"/>
      <c r="G213" s="20"/>
      <c r="H213" s="121"/>
      <c r="I213" s="121"/>
      <c r="J213" s="121"/>
      <c r="K213" s="121"/>
      <c r="L213" s="121"/>
      <c r="M213" s="122"/>
      <c r="N213" s="122"/>
      <c r="O213" s="122"/>
      <c r="P213" s="123"/>
      <c r="Q213" s="123"/>
      <c r="R213" s="123"/>
      <c r="S213" s="20"/>
      <c r="T213" s="20"/>
      <c r="U213" s="20"/>
      <c r="V213" s="20"/>
      <c r="W213" s="20"/>
      <c r="X213" s="20"/>
      <c r="Y213" s="20"/>
      <c r="Z213" s="20"/>
      <c r="AA213" s="20"/>
      <c r="AB213" s="20"/>
      <c r="AC213" s="20"/>
    </row>
    <row r="214">
      <c r="A214" s="20"/>
      <c r="B214" s="20"/>
      <c r="C214" s="20"/>
      <c r="D214" s="20"/>
      <c r="E214" s="20"/>
      <c r="F214" s="20"/>
      <c r="G214" s="20"/>
      <c r="H214" s="121"/>
      <c r="I214" s="121"/>
      <c r="J214" s="121"/>
      <c r="K214" s="121"/>
      <c r="L214" s="121"/>
      <c r="M214" s="122"/>
      <c r="N214" s="122"/>
      <c r="O214" s="122"/>
      <c r="P214" s="123"/>
      <c r="Q214" s="123"/>
      <c r="R214" s="123"/>
      <c r="S214" s="20"/>
      <c r="T214" s="20"/>
      <c r="U214" s="20"/>
      <c r="V214" s="20"/>
      <c r="W214" s="20"/>
      <c r="X214" s="20"/>
      <c r="Y214" s="20"/>
      <c r="Z214" s="20"/>
      <c r="AA214" s="20"/>
      <c r="AB214" s="20"/>
      <c r="AC214" s="20"/>
    </row>
    <row r="215">
      <c r="A215" s="20"/>
      <c r="B215" s="20"/>
      <c r="C215" s="20"/>
      <c r="D215" s="20"/>
      <c r="E215" s="20"/>
      <c r="F215" s="20"/>
      <c r="G215" s="20"/>
      <c r="H215" s="121"/>
      <c r="I215" s="121"/>
      <c r="J215" s="121"/>
      <c r="K215" s="121"/>
      <c r="L215" s="121"/>
      <c r="M215" s="122"/>
      <c r="N215" s="122"/>
      <c r="O215" s="122"/>
      <c r="P215" s="123"/>
      <c r="Q215" s="123"/>
      <c r="R215" s="123"/>
      <c r="S215" s="20"/>
      <c r="T215" s="20"/>
      <c r="U215" s="20"/>
      <c r="V215" s="20"/>
      <c r="W215" s="20"/>
      <c r="X215" s="20"/>
      <c r="Y215" s="20"/>
      <c r="Z215" s="20"/>
      <c r="AA215" s="20"/>
      <c r="AB215" s="20"/>
      <c r="AC215" s="20"/>
    </row>
    <row r="216">
      <c r="A216" s="20"/>
      <c r="B216" s="20"/>
      <c r="C216" s="20"/>
      <c r="D216" s="20"/>
      <c r="E216" s="20"/>
      <c r="F216" s="20"/>
      <c r="G216" s="20"/>
      <c r="H216" s="121"/>
      <c r="I216" s="121"/>
      <c r="J216" s="121"/>
      <c r="K216" s="121"/>
      <c r="L216" s="121"/>
      <c r="M216" s="122"/>
      <c r="N216" s="122"/>
      <c r="O216" s="122"/>
      <c r="P216" s="123"/>
      <c r="Q216" s="123"/>
      <c r="R216" s="123"/>
      <c r="S216" s="20"/>
      <c r="T216" s="20"/>
      <c r="U216" s="20"/>
      <c r="V216" s="20"/>
      <c r="W216" s="20"/>
      <c r="X216" s="20"/>
      <c r="Y216" s="20"/>
      <c r="Z216" s="20"/>
      <c r="AA216" s="20"/>
      <c r="AB216" s="20"/>
      <c r="AC216" s="20"/>
    </row>
    <row r="217">
      <c r="A217" s="20"/>
      <c r="B217" s="20"/>
      <c r="C217" s="20"/>
      <c r="D217" s="20"/>
      <c r="E217" s="20"/>
      <c r="F217" s="20"/>
      <c r="G217" s="20"/>
      <c r="H217" s="121"/>
      <c r="I217" s="121"/>
      <c r="J217" s="121"/>
      <c r="K217" s="121"/>
      <c r="L217" s="121"/>
      <c r="M217" s="122"/>
      <c r="N217" s="122"/>
      <c r="O217" s="122"/>
      <c r="P217" s="123"/>
      <c r="Q217" s="123"/>
      <c r="R217" s="123"/>
      <c r="S217" s="20"/>
      <c r="T217" s="20"/>
      <c r="U217" s="20"/>
      <c r="V217" s="20"/>
      <c r="W217" s="20"/>
      <c r="X217" s="20"/>
      <c r="Y217" s="20"/>
      <c r="Z217" s="20"/>
      <c r="AA217" s="20"/>
      <c r="AB217" s="20"/>
      <c r="AC217" s="20"/>
    </row>
    <row r="218">
      <c r="A218" s="20"/>
      <c r="B218" s="20"/>
      <c r="C218" s="20"/>
      <c r="D218" s="20"/>
      <c r="E218" s="20"/>
      <c r="F218" s="20"/>
      <c r="G218" s="20"/>
      <c r="H218" s="121"/>
      <c r="I218" s="121"/>
      <c r="J218" s="121"/>
      <c r="K218" s="121"/>
      <c r="L218" s="121"/>
      <c r="M218" s="122"/>
      <c r="N218" s="122"/>
      <c r="O218" s="122"/>
      <c r="P218" s="123"/>
      <c r="Q218" s="123"/>
      <c r="R218" s="123"/>
      <c r="S218" s="20"/>
      <c r="T218" s="20"/>
      <c r="U218" s="20"/>
      <c r="V218" s="20"/>
      <c r="W218" s="20"/>
      <c r="X218" s="20"/>
      <c r="Y218" s="20"/>
      <c r="Z218" s="20"/>
      <c r="AA218" s="20"/>
      <c r="AB218" s="20"/>
      <c r="AC218" s="20"/>
    </row>
    <row r="219">
      <c r="A219" s="20"/>
      <c r="B219" s="20"/>
      <c r="C219" s="20"/>
      <c r="D219" s="20"/>
      <c r="E219" s="20"/>
      <c r="F219" s="20"/>
      <c r="G219" s="20"/>
      <c r="H219" s="121"/>
      <c r="I219" s="121"/>
      <c r="J219" s="121"/>
      <c r="K219" s="121"/>
      <c r="L219" s="121"/>
      <c r="M219" s="122"/>
      <c r="N219" s="122"/>
      <c r="O219" s="122"/>
      <c r="P219" s="123"/>
      <c r="Q219" s="123"/>
      <c r="R219" s="123"/>
      <c r="S219" s="20"/>
      <c r="T219" s="20"/>
      <c r="U219" s="20"/>
      <c r="V219" s="20"/>
      <c r="W219" s="20"/>
      <c r="X219" s="20"/>
      <c r="Y219" s="20"/>
      <c r="Z219" s="20"/>
      <c r="AA219" s="20"/>
      <c r="AB219" s="20"/>
      <c r="AC219" s="20"/>
    </row>
    <row r="220">
      <c r="A220" s="20"/>
      <c r="B220" s="20"/>
      <c r="C220" s="20"/>
      <c r="D220" s="20"/>
      <c r="E220" s="20"/>
      <c r="F220" s="20"/>
      <c r="G220" s="20"/>
      <c r="H220" s="121"/>
      <c r="I220" s="121"/>
      <c r="J220" s="121"/>
      <c r="K220" s="121"/>
      <c r="L220" s="121"/>
      <c r="M220" s="122"/>
      <c r="N220" s="122"/>
      <c r="O220" s="122"/>
      <c r="P220" s="123"/>
      <c r="Q220" s="123"/>
      <c r="R220" s="123"/>
      <c r="S220" s="20"/>
      <c r="T220" s="20"/>
      <c r="U220" s="20"/>
      <c r="V220" s="20"/>
      <c r="W220" s="20"/>
      <c r="X220" s="20"/>
      <c r="Y220" s="20"/>
      <c r="Z220" s="20"/>
      <c r="AA220" s="20"/>
      <c r="AB220" s="20"/>
      <c r="AC220" s="20"/>
    </row>
    <row r="221">
      <c r="A221" s="20"/>
      <c r="B221" s="20"/>
      <c r="C221" s="20"/>
      <c r="D221" s="20"/>
      <c r="E221" s="20"/>
      <c r="F221" s="20"/>
      <c r="G221" s="20"/>
      <c r="H221" s="121"/>
      <c r="I221" s="121"/>
      <c r="J221" s="121"/>
      <c r="K221" s="121"/>
      <c r="L221" s="121"/>
      <c r="M221" s="122"/>
      <c r="N221" s="122"/>
      <c r="O221" s="122"/>
      <c r="P221" s="123"/>
      <c r="Q221" s="123"/>
      <c r="R221" s="123"/>
      <c r="S221" s="20"/>
      <c r="T221" s="20"/>
      <c r="U221" s="20"/>
      <c r="V221" s="20"/>
      <c r="W221" s="20"/>
      <c r="X221" s="20"/>
      <c r="Y221" s="20"/>
      <c r="Z221" s="20"/>
      <c r="AA221" s="20"/>
      <c r="AB221" s="20"/>
      <c r="AC221" s="20"/>
    </row>
    <row r="222">
      <c r="A222" s="20"/>
      <c r="B222" s="20"/>
      <c r="C222" s="20"/>
      <c r="D222" s="20"/>
      <c r="E222" s="20"/>
      <c r="F222" s="20"/>
      <c r="G222" s="20"/>
      <c r="H222" s="121"/>
      <c r="I222" s="121"/>
      <c r="J222" s="121"/>
      <c r="K222" s="121"/>
      <c r="L222" s="121"/>
      <c r="M222" s="122"/>
      <c r="N222" s="122"/>
      <c r="O222" s="122"/>
      <c r="P222" s="123"/>
      <c r="Q222" s="123"/>
      <c r="R222" s="123"/>
      <c r="S222" s="20"/>
      <c r="T222" s="20"/>
      <c r="U222" s="20"/>
      <c r="V222" s="20"/>
      <c r="W222" s="20"/>
      <c r="X222" s="20"/>
      <c r="Y222" s="20"/>
      <c r="Z222" s="20"/>
      <c r="AA222" s="20"/>
      <c r="AB222" s="20"/>
      <c r="AC222" s="20"/>
    </row>
    <row r="223">
      <c r="A223" s="20"/>
      <c r="B223" s="20"/>
      <c r="C223" s="20"/>
      <c r="D223" s="20"/>
      <c r="E223" s="20"/>
      <c r="F223" s="20"/>
      <c r="G223" s="20"/>
      <c r="H223" s="121"/>
      <c r="I223" s="121"/>
      <c r="J223" s="121"/>
      <c r="K223" s="121"/>
      <c r="L223" s="121"/>
      <c r="M223" s="122"/>
      <c r="N223" s="122"/>
      <c r="O223" s="122"/>
      <c r="P223" s="123"/>
      <c r="Q223" s="123"/>
      <c r="R223" s="123"/>
      <c r="S223" s="20"/>
      <c r="T223" s="20"/>
      <c r="U223" s="20"/>
      <c r="V223" s="20"/>
      <c r="W223" s="20"/>
      <c r="X223" s="20"/>
      <c r="Y223" s="20"/>
      <c r="Z223" s="20"/>
      <c r="AA223" s="20"/>
      <c r="AB223" s="20"/>
      <c r="AC223" s="20"/>
    </row>
    <row r="224">
      <c r="A224" s="20"/>
      <c r="B224" s="20"/>
      <c r="C224" s="20"/>
      <c r="D224" s="20"/>
      <c r="E224" s="20"/>
      <c r="F224" s="20"/>
      <c r="G224" s="20"/>
      <c r="H224" s="121"/>
      <c r="I224" s="121"/>
      <c r="J224" s="121"/>
      <c r="K224" s="121"/>
      <c r="L224" s="121"/>
      <c r="M224" s="122"/>
      <c r="N224" s="122"/>
      <c r="O224" s="122"/>
      <c r="P224" s="123"/>
      <c r="Q224" s="123"/>
      <c r="R224" s="123"/>
      <c r="S224" s="20"/>
      <c r="T224" s="20"/>
      <c r="U224" s="20"/>
      <c r="V224" s="20"/>
      <c r="W224" s="20"/>
      <c r="X224" s="20"/>
      <c r="Y224" s="20"/>
      <c r="Z224" s="20"/>
      <c r="AA224" s="20"/>
      <c r="AB224" s="20"/>
      <c r="AC224" s="20"/>
    </row>
    <row r="225">
      <c r="A225" s="20"/>
      <c r="B225" s="20"/>
      <c r="C225" s="20"/>
      <c r="D225" s="20"/>
      <c r="E225" s="20"/>
      <c r="F225" s="20"/>
      <c r="G225" s="20"/>
      <c r="H225" s="121"/>
      <c r="I225" s="121"/>
      <c r="J225" s="121"/>
      <c r="K225" s="121"/>
      <c r="L225" s="121"/>
      <c r="M225" s="122"/>
      <c r="N225" s="122"/>
      <c r="O225" s="122"/>
      <c r="P225" s="123"/>
      <c r="Q225" s="123"/>
      <c r="R225" s="123"/>
      <c r="S225" s="20"/>
      <c r="T225" s="20"/>
      <c r="U225" s="20"/>
      <c r="V225" s="20"/>
      <c r="W225" s="20"/>
      <c r="X225" s="20"/>
      <c r="Y225" s="20"/>
      <c r="Z225" s="20"/>
      <c r="AA225" s="20"/>
      <c r="AB225" s="20"/>
      <c r="AC225" s="20"/>
    </row>
    <row r="226">
      <c r="A226" s="20"/>
      <c r="B226" s="20"/>
      <c r="C226" s="20"/>
      <c r="D226" s="20"/>
      <c r="E226" s="20"/>
      <c r="F226" s="20"/>
      <c r="G226" s="20"/>
      <c r="H226" s="121"/>
      <c r="I226" s="121"/>
      <c r="J226" s="121"/>
      <c r="K226" s="121"/>
      <c r="L226" s="121"/>
      <c r="M226" s="122"/>
      <c r="N226" s="122"/>
      <c r="O226" s="122"/>
      <c r="P226" s="123"/>
      <c r="Q226" s="123"/>
      <c r="R226" s="123"/>
      <c r="S226" s="20"/>
      <c r="T226" s="20"/>
      <c r="U226" s="20"/>
      <c r="V226" s="20"/>
      <c r="W226" s="20"/>
      <c r="X226" s="20"/>
      <c r="Y226" s="20"/>
      <c r="Z226" s="20"/>
      <c r="AA226" s="20"/>
      <c r="AB226" s="20"/>
      <c r="AC226" s="20"/>
    </row>
    <row r="227">
      <c r="A227" s="20"/>
      <c r="B227" s="20"/>
      <c r="C227" s="20"/>
      <c r="D227" s="20"/>
      <c r="E227" s="20"/>
      <c r="F227" s="20"/>
      <c r="G227" s="20"/>
      <c r="H227" s="121"/>
      <c r="I227" s="121"/>
      <c r="J227" s="121"/>
      <c r="K227" s="121"/>
      <c r="L227" s="121"/>
      <c r="M227" s="122"/>
      <c r="N227" s="122"/>
      <c r="O227" s="122"/>
      <c r="P227" s="123"/>
      <c r="Q227" s="123"/>
      <c r="R227" s="123"/>
      <c r="S227" s="20"/>
      <c r="T227" s="20"/>
      <c r="U227" s="20"/>
      <c r="V227" s="20"/>
      <c r="W227" s="20"/>
      <c r="X227" s="20"/>
      <c r="Y227" s="20"/>
      <c r="Z227" s="20"/>
      <c r="AA227" s="20"/>
      <c r="AB227" s="20"/>
      <c r="AC227" s="20"/>
    </row>
    <row r="228">
      <c r="A228" s="20"/>
      <c r="B228" s="20"/>
      <c r="C228" s="20"/>
      <c r="D228" s="20"/>
      <c r="E228" s="20"/>
      <c r="F228" s="20"/>
      <c r="G228" s="20"/>
      <c r="H228" s="121"/>
      <c r="I228" s="121"/>
      <c r="J228" s="121"/>
      <c r="K228" s="121"/>
      <c r="L228" s="121"/>
      <c r="M228" s="122"/>
      <c r="N228" s="122"/>
      <c r="O228" s="122"/>
      <c r="P228" s="123"/>
      <c r="Q228" s="123"/>
      <c r="R228" s="123"/>
      <c r="S228" s="20"/>
      <c r="T228" s="20"/>
      <c r="U228" s="20"/>
      <c r="V228" s="20"/>
      <c r="W228" s="20"/>
      <c r="X228" s="20"/>
      <c r="Y228" s="20"/>
      <c r="Z228" s="20"/>
      <c r="AA228" s="20"/>
      <c r="AB228" s="20"/>
      <c r="AC228" s="20"/>
    </row>
    <row r="229">
      <c r="A229" s="20"/>
      <c r="B229" s="20"/>
      <c r="C229" s="20"/>
      <c r="D229" s="20"/>
      <c r="E229" s="20"/>
      <c r="F229" s="20"/>
      <c r="G229" s="20"/>
      <c r="H229" s="121"/>
      <c r="I229" s="121"/>
      <c r="J229" s="121"/>
      <c r="K229" s="121"/>
      <c r="L229" s="121"/>
      <c r="M229" s="122"/>
      <c r="N229" s="122"/>
      <c r="O229" s="122"/>
      <c r="P229" s="123"/>
      <c r="Q229" s="123"/>
      <c r="R229" s="123"/>
      <c r="S229" s="20"/>
      <c r="T229" s="20"/>
      <c r="U229" s="20"/>
      <c r="V229" s="20"/>
      <c r="W229" s="20"/>
      <c r="X229" s="20"/>
      <c r="Y229" s="20"/>
      <c r="Z229" s="20"/>
      <c r="AA229" s="20"/>
      <c r="AB229" s="20"/>
      <c r="AC229" s="20"/>
    </row>
    <row r="230">
      <c r="A230" s="20"/>
      <c r="B230" s="20"/>
      <c r="C230" s="20"/>
      <c r="D230" s="20"/>
      <c r="E230" s="20"/>
      <c r="F230" s="20"/>
      <c r="G230" s="20"/>
      <c r="H230" s="121"/>
      <c r="I230" s="121"/>
      <c r="J230" s="121"/>
      <c r="K230" s="121"/>
      <c r="L230" s="121"/>
      <c r="M230" s="122"/>
      <c r="N230" s="122"/>
      <c r="O230" s="122"/>
      <c r="P230" s="123"/>
      <c r="Q230" s="123"/>
      <c r="R230" s="123"/>
      <c r="S230" s="20"/>
      <c r="T230" s="20"/>
      <c r="U230" s="20"/>
      <c r="V230" s="20"/>
      <c r="W230" s="20"/>
      <c r="X230" s="20"/>
      <c r="Y230" s="20"/>
      <c r="Z230" s="20"/>
      <c r="AA230" s="20"/>
      <c r="AB230" s="20"/>
      <c r="AC230" s="20"/>
    </row>
    <row r="231">
      <c r="A231" s="20"/>
      <c r="B231" s="20"/>
      <c r="C231" s="20"/>
      <c r="D231" s="20"/>
      <c r="E231" s="20"/>
      <c r="F231" s="20"/>
      <c r="G231" s="20"/>
      <c r="H231" s="121"/>
      <c r="I231" s="121"/>
      <c r="J231" s="121"/>
      <c r="K231" s="121"/>
      <c r="L231" s="121"/>
      <c r="M231" s="122"/>
      <c r="N231" s="122"/>
      <c r="O231" s="122"/>
      <c r="P231" s="123"/>
      <c r="Q231" s="123"/>
      <c r="R231" s="123"/>
      <c r="S231" s="20"/>
      <c r="T231" s="20"/>
      <c r="U231" s="20"/>
      <c r="V231" s="20"/>
      <c r="W231" s="20"/>
      <c r="X231" s="20"/>
      <c r="Y231" s="20"/>
      <c r="Z231" s="20"/>
      <c r="AA231" s="20"/>
      <c r="AB231" s="20"/>
      <c r="AC231" s="20"/>
    </row>
    <row r="232">
      <c r="A232" s="20"/>
      <c r="B232" s="20"/>
      <c r="C232" s="20"/>
      <c r="D232" s="20"/>
      <c r="E232" s="20"/>
      <c r="F232" s="20"/>
      <c r="G232" s="20"/>
      <c r="H232" s="121"/>
      <c r="I232" s="121"/>
      <c r="J232" s="121"/>
      <c r="K232" s="121"/>
      <c r="L232" s="121"/>
      <c r="M232" s="122"/>
      <c r="N232" s="122"/>
      <c r="O232" s="122"/>
      <c r="P232" s="123"/>
      <c r="Q232" s="123"/>
      <c r="R232" s="123"/>
      <c r="S232" s="20"/>
      <c r="T232" s="20"/>
      <c r="U232" s="20"/>
      <c r="V232" s="20"/>
      <c r="W232" s="20"/>
      <c r="X232" s="20"/>
      <c r="Y232" s="20"/>
      <c r="Z232" s="20"/>
      <c r="AA232" s="20"/>
      <c r="AB232" s="20"/>
      <c r="AC232" s="20"/>
    </row>
    <row r="233">
      <c r="A233" s="20"/>
      <c r="B233" s="20"/>
      <c r="C233" s="20"/>
      <c r="D233" s="20"/>
      <c r="E233" s="20"/>
      <c r="F233" s="20"/>
      <c r="G233" s="20"/>
      <c r="H233" s="121"/>
      <c r="I233" s="121"/>
      <c r="J233" s="121"/>
      <c r="K233" s="121"/>
      <c r="L233" s="121"/>
      <c r="M233" s="122"/>
      <c r="N233" s="122"/>
      <c r="O233" s="122"/>
      <c r="P233" s="123"/>
      <c r="Q233" s="123"/>
      <c r="R233" s="123"/>
      <c r="S233" s="20"/>
      <c r="T233" s="20"/>
      <c r="U233" s="20"/>
      <c r="V233" s="20"/>
      <c r="W233" s="20"/>
      <c r="X233" s="20"/>
      <c r="Y233" s="20"/>
      <c r="Z233" s="20"/>
      <c r="AA233" s="20"/>
      <c r="AB233" s="20"/>
      <c r="AC233" s="20"/>
    </row>
    <row r="234">
      <c r="A234" s="20"/>
      <c r="B234" s="20"/>
      <c r="C234" s="20"/>
      <c r="D234" s="20"/>
      <c r="E234" s="20"/>
      <c r="F234" s="20"/>
      <c r="G234" s="20"/>
      <c r="H234" s="121"/>
      <c r="I234" s="121"/>
      <c r="J234" s="121"/>
      <c r="K234" s="121"/>
      <c r="L234" s="121"/>
      <c r="M234" s="122"/>
      <c r="N234" s="122"/>
      <c r="O234" s="122"/>
      <c r="P234" s="123"/>
      <c r="Q234" s="123"/>
      <c r="R234" s="123"/>
      <c r="S234" s="20"/>
      <c r="T234" s="20"/>
      <c r="U234" s="20"/>
      <c r="V234" s="20"/>
      <c r="W234" s="20"/>
      <c r="X234" s="20"/>
      <c r="Y234" s="20"/>
      <c r="Z234" s="20"/>
      <c r="AA234" s="20"/>
      <c r="AB234" s="20"/>
      <c r="AC234" s="20"/>
    </row>
    <row r="235">
      <c r="A235" s="20"/>
      <c r="B235" s="20"/>
      <c r="C235" s="20"/>
      <c r="D235" s="20"/>
      <c r="E235" s="20"/>
      <c r="F235" s="20"/>
      <c r="G235" s="20"/>
      <c r="H235" s="121"/>
      <c r="I235" s="121"/>
      <c r="J235" s="121"/>
      <c r="K235" s="121"/>
      <c r="L235" s="121"/>
      <c r="M235" s="122"/>
      <c r="N235" s="122"/>
      <c r="O235" s="122"/>
      <c r="P235" s="123"/>
      <c r="Q235" s="123"/>
      <c r="R235" s="123"/>
      <c r="S235" s="20"/>
      <c r="T235" s="20"/>
      <c r="U235" s="20"/>
      <c r="V235" s="20"/>
      <c r="W235" s="20"/>
      <c r="X235" s="20"/>
      <c r="Y235" s="20"/>
      <c r="Z235" s="20"/>
      <c r="AA235" s="20"/>
      <c r="AB235" s="20"/>
      <c r="AC235" s="20"/>
    </row>
    <row r="236">
      <c r="A236" s="20"/>
      <c r="B236" s="20"/>
      <c r="C236" s="20"/>
      <c r="D236" s="20"/>
      <c r="E236" s="20"/>
      <c r="F236" s="20"/>
      <c r="G236" s="20"/>
      <c r="H236" s="121"/>
      <c r="I236" s="121"/>
      <c r="J236" s="121"/>
      <c r="K236" s="121"/>
      <c r="L236" s="121"/>
      <c r="M236" s="122"/>
      <c r="N236" s="122"/>
      <c r="O236" s="122"/>
      <c r="P236" s="123"/>
      <c r="Q236" s="123"/>
      <c r="R236" s="123"/>
      <c r="S236" s="20"/>
      <c r="T236" s="20"/>
      <c r="U236" s="20"/>
      <c r="V236" s="20"/>
      <c r="W236" s="20"/>
      <c r="X236" s="20"/>
      <c r="Y236" s="20"/>
      <c r="Z236" s="20"/>
      <c r="AA236" s="20"/>
      <c r="AB236" s="20"/>
      <c r="AC236" s="20"/>
    </row>
    <row r="237">
      <c r="A237" s="20"/>
      <c r="B237" s="20"/>
      <c r="C237" s="20"/>
      <c r="D237" s="20"/>
      <c r="E237" s="20"/>
      <c r="F237" s="20"/>
      <c r="G237" s="20"/>
      <c r="H237" s="121"/>
      <c r="I237" s="121"/>
      <c r="J237" s="121"/>
      <c r="K237" s="121"/>
      <c r="L237" s="121"/>
      <c r="M237" s="122"/>
      <c r="N237" s="122"/>
      <c r="O237" s="122"/>
      <c r="P237" s="123"/>
      <c r="Q237" s="123"/>
      <c r="R237" s="123"/>
      <c r="S237" s="20"/>
      <c r="T237" s="20"/>
      <c r="U237" s="20"/>
      <c r="V237" s="20"/>
      <c r="W237" s="20"/>
      <c r="X237" s="20"/>
      <c r="Y237" s="20"/>
      <c r="Z237" s="20"/>
      <c r="AA237" s="20"/>
      <c r="AB237" s="20"/>
      <c r="AC237" s="20"/>
    </row>
    <row r="238">
      <c r="A238" s="20"/>
      <c r="B238" s="20"/>
      <c r="C238" s="20"/>
      <c r="D238" s="20"/>
      <c r="E238" s="20"/>
      <c r="F238" s="20"/>
      <c r="G238" s="20"/>
      <c r="H238" s="121"/>
      <c r="I238" s="121"/>
      <c r="J238" s="121"/>
      <c r="K238" s="121"/>
      <c r="L238" s="121"/>
      <c r="M238" s="122"/>
      <c r="N238" s="122"/>
      <c r="O238" s="122"/>
      <c r="P238" s="123"/>
      <c r="Q238" s="123"/>
      <c r="R238" s="123"/>
      <c r="S238" s="20"/>
      <c r="T238" s="20"/>
      <c r="U238" s="20"/>
      <c r="V238" s="20"/>
      <c r="W238" s="20"/>
      <c r="X238" s="20"/>
      <c r="Y238" s="20"/>
      <c r="Z238" s="20"/>
      <c r="AA238" s="20"/>
      <c r="AB238" s="20"/>
      <c r="AC238" s="20"/>
    </row>
    <row r="239">
      <c r="A239" s="20"/>
      <c r="B239" s="20"/>
      <c r="C239" s="20"/>
      <c r="D239" s="20"/>
      <c r="E239" s="20"/>
      <c r="F239" s="20"/>
      <c r="G239" s="20"/>
      <c r="H239" s="121"/>
      <c r="I239" s="121"/>
      <c r="J239" s="121"/>
      <c r="K239" s="121"/>
      <c r="L239" s="121"/>
      <c r="M239" s="122"/>
      <c r="N239" s="122"/>
      <c r="O239" s="122"/>
      <c r="P239" s="123"/>
      <c r="Q239" s="123"/>
      <c r="R239" s="123"/>
      <c r="S239" s="20"/>
      <c r="T239" s="20"/>
      <c r="U239" s="20"/>
      <c r="V239" s="20"/>
      <c r="W239" s="20"/>
      <c r="X239" s="20"/>
      <c r="Y239" s="20"/>
      <c r="Z239" s="20"/>
      <c r="AA239" s="20"/>
      <c r="AB239" s="20"/>
      <c r="AC239" s="20"/>
    </row>
    <row r="240">
      <c r="A240" s="20"/>
      <c r="B240" s="20"/>
      <c r="C240" s="20"/>
      <c r="D240" s="20"/>
      <c r="E240" s="20"/>
      <c r="F240" s="20"/>
      <c r="G240" s="20"/>
      <c r="H240" s="121"/>
      <c r="I240" s="121"/>
      <c r="J240" s="121"/>
      <c r="K240" s="121"/>
      <c r="L240" s="121"/>
      <c r="M240" s="122"/>
      <c r="N240" s="122"/>
      <c r="O240" s="122"/>
      <c r="P240" s="123"/>
      <c r="Q240" s="123"/>
      <c r="R240" s="123"/>
      <c r="S240" s="20"/>
      <c r="T240" s="20"/>
      <c r="U240" s="20"/>
      <c r="V240" s="20"/>
      <c r="W240" s="20"/>
      <c r="X240" s="20"/>
      <c r="Y240" s="20"/>
      <c r="Z240" s="20"/>
      <c r="AA240" s="20"/>
      <c r="AB240" s="20"/>
      <c r="AC240" s="20"/>
    </row>
    <row r="241">
      <c r="A241" s="20"/>
      <c r="B241" s="20"/>
      <c r="C241" s="20"/>
      <c r="D241" s="20"/>
      <c r="E241" s="20"/>
      <c r="F241" s="20"/>
      <c r="G241" s="20"/>
      <c r="H241" s="121"/>
      <c r="I241" s="121"/>
      <c r="J241" s="121"/>
      <c r="K241" s="121"/>
      <c r="L241" s="121"/>
      <c r="M241" s="122"/>
      <c r="N241" s="122"/>
      <c r="O241" s="122"/>
      <c r="P241" s="123"/>
      <c r="Q241" s="123"/>
      <c r="R241" s="123"/>
      <c r="S241" s="20"/>
      <c r="T241" s="20"/>
      <c r="U241" s="20"/>
      <c r="V241" s="20"/>
      <c r="W241" s="20"/>
      <c r="X241" s="20"/>
      <c r="Y241" s="20"/>
      <c r="Z241" s="20"/>
      <c r="AA241" s="20"/>
      <c r="AB241" s="20"/>
      <c r="AC241" s="20"/>
    </row>
    <row r="242">
      <c r="A242" s="20"/>
      <c r="B242" s="20"/>
      <c r="C242" s="20"/>
      <c r="D242" s="20"/>
      <c r="E242" s="20"/>
      <c r="F242" s="20"/>
      <c r="G242" s="20"/>
      <c r="H242" s="121"/>
      <c r="I242" s="121"/>
      <c r="J242" s="121"/>
      <c r="K242" s="121"/>
      <c r="L242" s="121"/>
      <c r="M242" s="122"/>
      <c r="N242" s="122"/>
      <c r="O242" s="122"/>
      <c r="P242" s="123"/>
      <c r="Q242" s="123"/>
      <c r="R242" s="123"/>
      <c r="S242" s="20"/>
      <c r="T242" s="20"/>
      <c r="U242" s="20"/>
      <c r="V242" s="20"/>
      <c r="W242" s="20"/>
      <c r="X242" s="20"/>
      <c r="Y242" s="20"/>
      <c r="Z242" s="20"/>
      <c r="AA242" s="20"/>
      <c r="AB242" s="20"/>
      <c r="AC242" s="20"/>
    </row>
    <row r="243">
      <c r="A243" s="20"/>
      <c r="B243" s="20"/>
      <c r="C243" s="20"/>
      <c r="D243" s="20"/>
      <c r="E243" s="20"/>
      <c r="F243" s="20"/>
      <c r="G243" s="20"/>
      <c r="H243" s="121"/>
      <c r="I243" s="121"/>
      <c r="J243" s="121"/>
      <c r="K243" s="121"/>
      <c r="L243" s="121"/>
      <c r="M243" s="122"/>
      <c r="N243" s="122"/>
      <c r="O243" s="122"/>
      <c r="P243" s="123"/>
      <c r="Q243" s="123"/>
      <c r="R243" s="123"/>
      <c r="S243" s="20"/>
      <c r="T243" s="20"/>
      <c r="U243" s="20"/>
      <c r="V243" s="20"/>
      <c r="W243" s="20"/>
      <c r="X243" s="20"/>
      <c r="Y243" s="20"/>
      <c r="Z243" s="20"/>
      <c r="AA243" s="20"/>
      <c r="AB243" s="20"/>
      <c r="AC243" s="20"/>
    </row>
    <row r="244">
      <c r="A244" s="20"/>
      <c r="B244" s="20"/>
      <c r="C244" s="20"/>
      <c r="D244" s="20"/>
      <c r="E244" s="20"/>
      <c r="F244" s="20"/>
      <c r="G244" s="20"/>
      <c r="H244" s="121"/>
      <c r="I244" s="121"/>
      <c r="J244" s="121"/>
      <c r="K244" s="121"/>
      <c r="L244" s="121"/>
      <c r="M244" s="122"/>
      <c r="N244" s="122"/>
      <c r="O244" s="122"/>
      <c r="P244" s="123"/>
      <c r="Q244" s="123"/>
      <c r="R244" s="123"/>
      <c r="S244" s="20"/>
      <c r="T244" s="20"/>
      <c r="U244" s="20"/>
      <c r="V244" s="20"/>
      <c r="W244" s="20"/>
      <c r="X244" s="20"/>
      <c r="Y244" s="20"/>
      <c r="Z244" s="20"/>
      <c r="AA244" s="20"/>
      <c r="AB244" s="20"/>
      <c r="AC244" s="20"/>
    </row>
    <row r="245">
      <c r="A245" s="20"/>
      <c r="B245" s="20"/>
      <c r="C245" s="20"/>
      <c r="D245" s="20"/>
      <c r="E245" s="20"/>
      <c r="F245" s="20"/>
      <c r="G245" s="20"/>
      <c r="H245" s="121"/>
      <c r="I245" s="121"/>
      <c r="J245" s="121"/>
      <c r="K245" s="121"/>
      <c r="L245" s="121"/>
      <c r="M245" s="122"/>
      <c r="N245" s="122"/>
      <c r="O245" s="122"/>
      <c r="P245" s="123"/>
      <c r="Q245" s="123"/>
      <c r="R245" s="123"/>
      <c r="S245" s="20"/>
      <c r="T245" s="20"/>
      <c r="U245" s="20"/>
      <c r="V245" s="20"/>
      <c r="W245" s="20"/>
      <c r="X245" s="20"/>
      <c r="Y245" s="20"/>
      <c r="Z245" s="20"/>
      <c r="AA245" s="20"/>
      <c r="AB245" s="20"/>
      <c r="AC245" s="20"/>
    </row>
    <row r="246">
      <c r="A246" s="20"/>
      <c r="B246" s="20"/>
      <c r="C246" s="20"/>
      <c r="D246" s="20"/>
      <c r="E246" s="20"/>
      <c r="F246" s="20"/>
      <c r="G246" s="20"/>
      <c r="H246" s="121"/>
      <c r="I246" s="121"/>
      <c r="J246" s="121"/>
      <c r="K246" s="121"/>
      <c r="L246" s="121"/>
      <c r="M246" s="122"/>
      <c r="N246" s="122"/>
      <c r="O246" s="122"/>
      <c r="P246" s="123"/>
      <c r="Q246" s="123"/>
      <c r="R246" s="123"/>
      <c r="S246" s="20"/>
      <c r="T246" s="20"/>
      <c r="U246" s="20"/>
      <c r="V246" s="20"/>
      <c r="W246" s="20"/>
      <c r="X246" s="20"/>
      <c r="Y246" s="20"/>
      <c r="Z246" s="20"/>
      <c r="AA246" s="20"/>
      <c r="AB246" s="20"/>
      <c r="AC246" s="20"/>
    </row>
    <row r="247">
      <c r="A247" s="20"/>
      <c r="B247" s="20"/>
      <c r="C247" s="20"/>
      <c r="D247" s="20"/>
      <c r="E247" s="20"/>
      <c r="F247" s="20"/>
      <c r="G247" s="20"/>
      <c r="H247" s="121"/>
      <c r="I247" s="121"/>
      <c r="J247" s="121"/>
      <c r="K247" s="121"/>
      <c r="L247" s="121"/>
      <c r="M247" s="122"/>
      <c r="N247" s="122"/>
      <c r="O247" s="122"/>
      <c r="P247" s="123"/>
      <c r="Q247" s="123"/>
      <c r="R247" s="123"/>
      <c r="S247" s="20"/>
      <c r="T247" s="20"/>
      <c r="U247" s="20"/>
      <c r="V247" s="20"/>
      <c r="W247" s="20"/>
      <c r="X247" s="20"/>
      <c r="Y247" s="20"/>
      <c r="Z247" s="20"/>
      <c r="AA247" s="20"/>
      <c r="AB247" s="20"/>
      <c r="AC247" s="20"/>
    </row>
    <row r="248">
      <c r="A248" s="20"/>
      <c r="B248" s="20"/>
      <c r="C248" s="20"/>
      <c r="D248" s="20"/>
      <c r="E248" s="20"/>
      <c r="F248" s="20"/>
      <c r="G248" s="20"/>
      <c r="H248" s="121"/>
      <c r="I248" s="121"/>
      <c r="J248" s="121"/>
      <c r="K248" s="121"/>
      <c r="L248" s="121"/>
      <c r="M248" s="122"/>
      <c r="N248" s="122"/>
      <c r="O248" s="122"/>
      <c r="P248" s="123"/>
      <c r="Q248" s="123"/>
      <c r="R248" s="123"/>
      <c r="S248" s="20"/>
      <c r="T248" s="20"/>
      <c r="U248" s="20"/>
      <c r="V248" s="20"/>
      <c r="W248" s="20"/>
      <c r="X248" s="20"/>
      <c r="Y248" s="20"/>
      <c r="Z248" s="20"/>
      <c r="AA248" s="20"/>
      <c r="AB248" s="20"/>
      <c r="AC248" s="20"/>
    </row>
    <row r="249">
      <c r="A249" s="20"/>
      <c r="B249" s="20"/>
      <c r="C249" s="20"/>
      <c r="D249" s="20"/>
      <c r="E249" s="20"/>
      <c r="F249" s="20"/>
      <c r="G249" s="20"/>
      <c r="H249" s="121"/>
      <c r="I249" s="121"/>
      <c r="J249" s="121"/>
      <c r="K249" s="121"/>
      <c r="L249" s="121"/>
      <c r="M249" s="122"/>
      <c r="N249" s="122"/>
      <c r="O249" s="122"/>
      <c r="P249" s="123"/>
      <c r="Q249" s="123"/>
      <c r="R249" s="123"/>
      <c r="S249" s="20"/>
      <c r="T249" s="20"/>
      <c r="U249" s="20"/>
      <c r="V249" s="20"/>
      <c r="W249" s="20"/>
      <c r="X249" s="20"/>
      <c r="Y249" s="20"/>
      <c r="Z249" s="20"/>
      <c r="AA249" s="20"/>
      <c r="AB249" s="20"/>
      <c r="AC249" s="20"/>
    </row>
    <row r="250">
      <c r="A250" s="20"/>
      <c r="B250" s="20"/>
      <c r="C250" s="20"/>
      <c r="D250" s="20"/>
      <c r="E250" s="20"/>
      <c r="F250" s="20"/>
      <c r="G250" s="20"/>
      <c r="H250" s="121"/>
      <c r="I250" s="121"/>
      <c r="J250" s="121"/>
      <c r="K250" s="121"/>
      <c r="L250" s="121"/>
      <c r="M250" s="122"/>
      <c r="N250" s="122"/>
      <c r="O250" s="122"/>
      <c r="P250" s="123"/>
      <c r="Q250" s="123"/>
      <c r="R250" s="123"/>
      <c r="S250" s="20"/>
      <c r="T250" s="20"/>
      <c r="U250" s="20"/>
      <c r="V250" s="20"/>
      <c r="W250" s="20"/>
      <c r="X250" s="20"/>
      <c r="Y250" s="20"/>
      <c r="Z250" s="20"/>
      <c r="AA250" s="20"/>
      <c r="AB250" s="20"/>
      <c r="AC250" s="20"/>
    </row>
    <row r="251">
      <c r="A251" s="20"/>
      <c r="B251" s="20"/>
      <c r="C251" s="20"/>
      <c r="D251" s="20"/>
      <c r="E251" s="20"/>
      <c r="F251" s="20"/>
      <c r="G251" s="20"/>
      <c r="H251" s="121"/>
      <c r="I251" s="121"/>
      <c r="J251" s="121"/>
      <c r="K251" s="121"/>
      <c r="L251" s="121"/>
      <c r="M251" s="122"/>
      <c r="N251" s="122"/>
      <c r="O251" s="122"/>
      <c r="P251" s="123"/>
      <c r="Q251" s="123"/>
      <c r="R251" s="123"/>
      <c r="S251" s="20"/>
      <c r="T251" s="20"/>
      <c r="U251" s="20"/>
      <c r="V251" s="20"/>
      <c r="W251" s="20"/>
      <c r="X251" s="20"/>
      <c r="Y251" s="20"/>
      <c r="Z251" s="20"/>
      <c r="AA251" s="20"/>
      <c r="AB251" s="20"/>
      <c r="AC251" s="20"/>
    </row>
    <row r="252">
      <c r="A252" s="20"/>
      <c r="B252" s="20"/>
      <c r="C252" s="20"/>
      <c r="D252" s="20"/>
      <c r="E252" s="20"/>
      <c r="F252" s="20"/>
      <c r="G252" s="20"/>
      <c r="H252" s="121"/>
      <c r="I252" s="121"/>
      <c r="J252" s="121"/>
      <c r="K252" s="121"/>
      <c r="L252" s="121"/>
      <c r="M252" s="122"/>
      <c r="N252" s="122"/>
      <c r="O252" s="122"/>
      <c r="P252" s="123"/>
      <c r="Q252" s="123"/>
      <c r="R252" s="123"/>
      <c r="S252" s="20"/>
      <c r="T252" s="20"/>
      <c r="U252" s="20"/>
      <c r="V252" s="20"/>
      <c r="W252" s="20"/>
      <c r="X252" s="20"/>
      <c r="Y252" s="20"/>
      <c r="Z252" s="20"/>
      <c r="AA252" s="20"/>
      <c r="AB252" s="20"/>
      <c r="AC252" s="20"/>
    </row>
    <row r="253">
      <c r="A253" s="20"/>
      <c r="B253" s="20"/>
      <c r="C253" s="20"/>
      <c r="D253" s="20"/>
      <c r="E253" s="20"/>
      <c r="F253" s="20"/>
      <c r="G253" s="20"/>
      <c r="H253" s="121"/>
      <c r="I253" s="121"/>
      <c r="J253" s="121"/>
      <c r="K253" s="121"/>
      <c r="L253" s="121"/>
      <c r="M253" s="122"/>
      <c r="N253" s="122"/>
      <c r="O253" s="122"/>
      <c r="P253" s="123"/>
      <c r="Q253" s="123"/>
      <c r="R253" s="123"/>
      <c r="S253" s="20"/>
      <c r="T253" s="20"/>
      <c r="U253" s="20"/>
      <c r="V253" s="20"/>
      <c r="W253" s="20"/>
      <c r="X253" s="20"/>
      <c r="Y253" s="20"/>
      <c r="Z253" s="20"/>
      <c r="AA253" s="20"/>
      <c r="AB253" s="20"/>
      <c r="AC253" s="20"/>
    </row>
    <row r="254">
      <c r="A254" s="20"/>
      <c r="B254" s="20"/>
      <c r="C254" s="20"/>
      <c r="D254" s="20"/>
      <c r="E254" s="20"/>
      <c r="F254" s="20"/>
      <c r="G254" s="20"/>
      <c r="H254" s="121"/>
      <c r="I254" s="121"/>
      <c r="J254" s="121"/>
      <c r="K254" s="121"/>
      <c r="L254" s="121"/>
      <c r="M254" s="122"/>
      <c r="N254" s="122"/>
      <c r="O254" s="122"/>
      <c r="P254" s="123"/>
      <c r="Q254" s="123"/>
      <c r="R254" s="123"/>
      <c r="S254" s="20"/>
      <c r="T254" s="20"/>
      <c r="U254" s="20"/>
      <c r="V254" s="20"/>
      <c r="W254" s="20"/>
      <c r="X254" s="20"/>
      <c r="Y254" s="20"/>
      <c r="Z254" s="20"/>
      <c r="AA254" s="20"/>
      <c r="AB254" s="20"/>
      <c r="AC254" s="20"/>
    </row>
    <row r="255">
      <c r="A255" s="20"/>
      <c r="B255" s="20"/>
      <c r="C255" s="20"/>
      <c r="D255" s="20"/>
      <c r="E255" s="20"/>
      <c r="F255" s="20"/>
      <c r="G255" s="20"/>
      <c r="H255" s="121"/>
      <c r="I255" s="121"/>
      <c r="J255" s="121"/>
      <c r="K255" s="121"/>
      <c r="L255" s="121"/>
      <c r="M255" s="122"/>
      <c r="N255" s="122"/>
      <c r="O255" s="122"/>
      <c r="P255" s="123"/>
      <c r="Q255" s="123"/>
      <c r="R255" s="123"/>
      <c r="S255" s="20"/>
      <c r="T255" s="20"/>
      <c r="U255" s="20"/>
      <c r="V255" s="20"/>
      <c r="W255" s="20"/>
      <c r="X255" s="20"/>
      <c r="Y255" s="20"/>
      <c r="Z255" s="20"/>
      <c r="AA255" s="20"/>
      <c r="AB255" s="20"/>
      <c r="AC255" s="20"/>
    </row>
    <row r="256">
      <c r="A256" s="20"/>
      <c r="B256" s="20"/>
      <c r="C256" s="20"/>
      <c r="D256" s="20"/>
      <c r="E256" s="20"/>
      <c r="F256" s="20"/>
      <c r="G256" s="20"/>
      <c r="H256" s="121"/>
      <c r="I256" s="121"/>
      <c r="J256" s="121"/>
      <c r="K256" s="121"/>
      <c r="L256" s="121"/>
      <c r="M256" s="122"/>
      <c r="N256" s="122"/>
      <c r="O256" s="122"/>
      <c r="P256" s="123"/>
      <c r="Q256" s="123"/>
      <c r="R256" s="123"/>
      <c r="S256" s="20"/>
      <c r="T256" s="20"/>
      <c r="U256" s="20"/>
      <c r="V256" s="20"/>
      <c r="W256" s="20"/>
      <c r="X256" s="20"/>
      <c r="Y256" s="20"/>
      <c r="Z256" s="20"/>
      <c r="AA256" s="20"/>
      <c r="AB256" s="20"/>
      <c r="AC256" s="20"/>
    </row>
    <row r="257">
      <c r="A257" s="20"/>
      <c r="B257" s="20"/>
      <c r="C257" s="20"/>
      <c r="D257" s="20"/>
      <c r="E257" s="20"/>
      <c r="F257" s="20"/>
      <c r="G257" s="20"/>
      <c r="H257" s="121"/>
      <c r="I257" s="121"/>
      <c r="J257" s="121"/>
      <c r="K257" s="121"/>
      <c r="L257" s="121"/>
      <c r="M257" s="122"/>
      <c r="N257" s="122"/>
      <c r="O257" s="122"/>
      <c r="P257" s="123"/>
      <c r="Q257" s="123"/>
      <c r="R257" s="123"/>
      <c r="S257" s="20"/>
      <c r="T257" s="20"/>
      <c r="U257" s="20"/>
      <c r="V257" s="20"/>
      <c r="W257" s="20"/>
      <c r="X257" s="20"/>
      <c r="Y257" s="20"/>
      <c r="Z257" s="20"/>
      <c r="AA257" s="20"/>
      <c r="AB257" s="20"/>
      <c r="AC257" s="20"/>
    </row>
    <row r="258">
      <c r="A258" s="20"/>
      <c r="B258" s="20"/>
      <c r="C258" s="20"/>
      <c r="D258" s="20"/>
      <c r="E258" s="20"/>
      <c r="F258" s="20"/>
      <c r="G258" s="20"/>
      <c r="H258" s="121"/>
      <c r="I258" s="121"/>
      <c r="J258" s="121"/>
      <c r="K258" s="121"/>
      <c r="L258" s="121"/>
      <c r="M258" s="122"/>
      <c r="N258" s="122"/>
      <c r="O258" s="122"/>
      <c r="P258" s="123"/>
      <c r="Q258" s="123"/>
      <c r="R258" s="123"/>
      <c r="S258" s="20"/>
      <c r="T258" s="20"/>
      <c r="U258" s="20"/>
      <c r="V258" s="20"/>
      <c r="W258" s="20"/>
      <c r="X258" s="20"/>
      <c r="Y258" s="20"/>
      <c r="Z258" s="20"/>
      <c r="AA258" s="20"/>
      <c r="AB258" s="20"/>
      <c r="AC258" s="20"/>
    </row>
    <row r="259">
      <c r="A259" s="20"/>
      <c r="B259" s="20"/>
      <c r="C259" s="20"/>
      <c r="D259" s="20"/>
      <c r="E259" s="20"/>
      <c r="F259" s="20"/>
      <c r="G259" s="20"/>
      <c r="H259" s="121"/>
      <c r="I259" s="121"/>
      <c r="J259" s="121"/>
      <c r="K259" s="121"/>
      <c r="L259" s="121"/>
      <c r="M259" s="122"/>
      <c r="N259" s="122"/>
      <c r="O259" s="122"/>
      <c r="P259" s="123"/>
      <c r="Q259" s="123"/>
      <c r="R259" s="123"/>
      <c r="S259" s="20"/>
      <c r="T259" s="20"/>
      <c r="U259" s="20"/>
      <c r="V259" s="20"/>
      <c r="W259" s="20"/>
      <c r="X259" s="20"/>
      <c r="Y259" s="20"/>
      <c r="Z259" s="20"/>
      <c r="AA259" s="20"/>
      <c r="AB259" s="20"/>
      <c r="AC259" s="20"/>
    </row>
    <row r="260">
      <c r="A260" s="20"/>
      <c r="B260" s="20"/>
      <c r="C260" s="20"/>
      <c r="D260" s="20"/>
      <c r="E260" s="20"/>
      <c r="F260" s="20"/>
      <c r="G260" s="20"/>
      <c r="H260" s="121"/>
      <c r="I260" s="121"/>
      <c r="J260" s="121"/>
      <c r="K260" s="121"/>
      <c r="L260" s="121"/>
      <c r="M260" s="122"/>
      <c r="N260" s="122"/>
      <c r="O260" s="122"/>
      <c r="P260" s="123"/>
      <c r="Q260" s="123"/>
      <c r="R260" s="123"/>
      <c r="S260" s="20"/>
      <c r="T260" s="20"/>
      <c r="U260" s="20"/>
      <c r="V260" s="20"/>
      <c r="W260" s="20"/>
      <c r="X260" s="20"/>
      <c r="Y260" s="20"/>
      <c r="Z260" s="20"/>
      <c r="AA260" s="20"/>
      <c r="AB260" s="20"/>
      <c r="AC260" s="20"/>
    </row>
    <row r="261">
      <c r="A261" s="20"/>
      <c r="B261" s="20"/>
      <c r="C261" s="20"/>
      <c r="D261" s="20"/>
      <c r="E261" s="20"/>
      <c r="F261" s="20"/>
      <c r="G261" s="20"/>
      <c r="H261" s="121"/>
      <c r="I261" s="121"/>
      <c r="J261" s="121"/>
      <c r="K261" s="121"/>
      <c r="L261" s="121"/>
      <c r="M261" s="122"/>
      <c r="N261" s="122"/>
      <c r="O261" s="122"/>
      <c r="P261" s="123"/>
      <c r="Q261" s="123"/>
      <c r="R261" s="123"/>
      <c r="S261" s="20"/>
      <c r="T261" s="20"/>
      <c r="U261" s="20"/>
      <c r="V261" s="20"/>
      <c r="W261" s="20"/>
      <c r="X261" s="20"/>
      <c r="Y261" s="20"/>
      <c r="Z261" s="20"/>
      <c r="AA261" s="20"/>
      <c r="AB261" s="20"/>
      <c r="AC261" s="20"/>
    </row>
    <row r="262">
      <c r="A262" s="20"/>
      <c r="B262" s="20"/>
      <c r="C262" s="20"/>
      <c r="D262" s="20"/>
      <c r="E262" s="20"/>
      <c r="F262" s="20"/>
      <c r="G262" s="20"/>
      <c r="H262" s="121"/>
      <c r="I262" s="121"/>
      <c r="J262" s="121"/>
      <c r="K262" s="121"/>
      <c r="L262" s="121"/>
      <c r="M262" s="122"/>
      <c r="N262" s="122"/>
      <c r="O262" s="122"/>
      <c r="P262" s="123"/>
      <c r="Q262" s="123"/>
      <c r="R262" s="123"/>
      <c r="S262" s="20"/>
      <c r="T262" s="20"/>
      <c r="U262" s="20"/>
      <c r="V262" s="20"/>
      <c r="W262" s="20"/>
      <c r="X262" s="20"/>
      <c r="Y262" s="20"/>
      <c r="Z262" s="20"/>
      <c r="AA262" s="20"/>
      <c r="AB262" s="20"/>
      <c r="AC262" s="20"/>
    </row>
    <row r="263">
      <c r="A263" s="20"/>
      <c r="B263" s="20"/>
      <c r="C263" s="20"/>
      <c r="D263" s="20"/>
      <c r="E263" s="20"/>
      <c r="F263" s="20"/>
      <c r="G263" s="20"/>
      <c r="H263" s="121"/>
      <c r="I263" s="121"/>
      <c r="J263" s="121"/>
      <c r="K263" s="121"/>
      <c r="L263" s="121"/>
      <c r="M263" s="122"/>
      <c r="N263" s="122"/>
      <c r="O263" s="122"/>
      <c r="P263" s="123"/>
      <c r="Q263" s="123"/>
      <c r="R263" s="123"/>
      <c r="S263" s="20"/>
      <c r="T263" s="20"/>
      <c r="U263" s="20"/>
      <c r="V263" s="20"/>
      <c r="W263" s="20"/>
      <c r="X263" s="20"/>
      <c r="Y263" s="20"/>
      <c r="Z263" s="20"/>
      <c r="AA263" s="20"/>
      <c r="AB263" s="20"/>
      <c r="AC263" s="20"/>
    </row>
    <row r="264">
      <c r="A264" s="20"/>
      <c r="B264" s="20"/>
      <c r="C264" s="20"/>
      <c r="D264" s="20"/>
      <c r="E264" s="20"/>
      <c r="F264" s="20"/>
      <c r="G264" s="20"/>
      <c r="H264" s="121"/>
      <c r="I264" s="121"/>
      <c r="J264" s="121"/>
      <c r="K264" s="121"/>
      <c r="L264" s="121"/>
      <c r="M264" s="122"/>
      <c r="N264" s="122"/>
      <c r="O264" s="122"/>
      <c r="P264" s="123"/>
      <c r="Q264" s="123"/>
      <c r="R264" s="123"/>
      <c r="S264" s="20"/>
      <c r="T264" s="20"/>
      <c r="U264" s="20"/>
      <c r="V264" s="20"/>
      <c r="W264" s="20"/>
      <c r="X264" s="20"/>
      <c r="Y264" s="20"/>
      <c r="Z264" s="20"/>
      <c r="AA264" s="20"/>
      <c r="AB264" s="20"/>
      <c r="AC264" s="20"/>
    </row>
    <row r="265">
      <c r="A265" s="20"/>
      <c r="B265" s="20"/>
      <c r="C265" s="20"/>
      <c r="D265" s="20"/>
      <c r="E265" s="20"/>
      <c r="F265" s="20"/>
      <c r="G265" s="20"/>
      <c r="H265" s="121"/>
      <c r="I265" s="121"/>
      <c r="J265" s="121"/>
      <c r="K265" s="121"/>
      <c r="L265" s="121"/>
      <c r="M265" s="122"/>
      <c r="N265" s="122"/>
      <c r="O265" s="122"/>
      <c r="P265" s="123"/>
      <c r="Q265" s="123"/>
      <c r="R265" s="123"/>
      <c r="S265" s="20"/>
      <c r="T265" s="20"/>
      <c r="U265" s="20"/>
      <c r="V265" s="20"/>
      <c r="W265" s="20"/>
      <c r="X265" s="20"/>
      <c r="Y265" s="20"/>
      <c r="Z265" s="20"/>
      <c r="AA265" s="20"/>
      <c r="AB265" s="20"/>
      <c r="AC265" s="20"/>
    </row>
    <row r="266">
      <c r="A266" s="20"/>
      <c r="B266" s="20"/>
      <c r="C266" s="20"/>
      <c r="D266" s="20"/>
      <c r="E266" s="20"/>
      <c r="F266" s="20"/>
      <c r="G266" s="20"/>
      <c r="H266" s="121"/>
      <c r="I266" s="121"/>
      <c r="J266" s="121"/>
      <c r="K266" s="121"/>
      <c r="L266" s="121"/>
      <c r="M266" s="122"/>
      <c r="N266" s="122"/>
      <c r="O266" s="122"/>
      <c r="P266" s="123"/>
      <c r="Q266" s="123"/>
      <c r="R266" s="123"/>
      <c r="S266" s="20"/>
      <c r="T266" s="20"/>
      <c r="U266" s="20"/>
      <c r="V266" s="20"/>
      <c r="W266" s="20"/>
      <c r="X266" s="20"/>
      <c r="Y266" s="20"/>
      <c r="Z266" s="20"/>
      <c r="AA266" s="20"/>
      <c r="AB266" s="20"/>
      <c r="AC266" s="20"/>
    </row>
    <row r="267">
      <c r="A267" s="20"/>
      <c r="B267" s="20"/>
      <c r="C267" s="20"/>
      <c r="D267" s="20"/>
      <c r="E267" s="20"/>
      <c r="F267" s="20"/>
      <c r="G267" s="20"/>
      <c r="H267" s="121"/>
      <c r="I267" s="121"/>
      <c r="J267" s="121"/>
      <c r="K267" s="121"/>
      <c r="L267" s="121"/>
      <c r="M267" s="122"/>
      <c r="N267" s="122"/>
      <c r="O267" s="122"/>
      <c r="P267" s="123"/>
      <c r="Q267" s="123"/>
      <c r="R267" s="123"/>
      <c r="S267" s="20"/>
      <c r="T267" s="20"/>
      <c r="U267" s="20"/>
      <c r="V267" s="20"/>
      <c r="W267" s="20"/>
      <c r="X267" s="20"/>
      <c r="Y267" s="20"/>
      <c r="Z267" s="20"/>
      <c r="AA267" s="20"/>
      <c r="AB267" s="20"/>
      <c r="AC267" s="20"/>
    </row>
    <row r="268">
      <c r="A268" s="20"/>
      <c r="B268" s="20"/>
      <c r="C268" s="20"/>
      <c r="D268" s="20"/>
      <c r="E268" s="20"/>
      <c r="F268" s="20"/>
      <c r="G268" s="20"/>
      <c r="H268" s="121"/>
      <c r="I268" s="121"/>
      <c r="J268" s="121"/>
      <c r="K268" s="121"/>
      <c r="L268" s="121"/>
      <c r="M268" s="122"/>
      <c r="N268" s="122"/>
      <c r="O268" s="122"/>
      <c r="P268" s="123"/>
      <c r="Q268" s="123"/>
      <c r="R268" s="123"/>
      <c r="S268" s="20"/>
      <c r="T268" s="20"/>
      <c r="U268" s="20"/>
      <c r="V268" s="20"/>
      <c r="W268" s="20"/>
      <c r="X268" s="20"/>
      <c r="Y268" s="20"/>
      <c r="Z268" s="20"/>
      <c r="AA268" s="20"/>
      <c r="AB268" s="20"/>
      <c r="AC268" s="20"/>
    </row>
    <row r="269">
      <c r="A269" s="20"/>
      <c r="B269" s="20"/>
      <c r="C269" s="20"/>
      <c r="D269" s="20"/>
      <c r="E269" s="20"/>
      <c r="F269" s="20"/>
      <c r="G269" s="20"/>
      <c r="H269" s="121"/>
      <c r="I269" s="121"/>
      <c r="J269" s="121"/>
      <c r="K269" s="121"/>
      <c r="L269" s="121"/>
      <c r="M269" s="122"/>
      <c r="N269" s="122"/>
      <c r="O269" s="122"/>
      <c r="P269" s="123"/>
      <c r="Q269" s="123"/>
      <c r="R269" s="123"/>
      <c r="S269" s="20"/>
      <c r="T269" s="20"/>
      <c r="U269" s="20"/>
      <c r="V269" s="20"/>
      <c r="W269" s="20"/>
      <c r="X269" s="20"/>
      <c r="Y269" s="20"/>
      <c r="Z269" s="20"/>
      <c r="AA269" s="20"/>
      <c r="AB269" s="20"/>
      <c r="AC269" s="20"/>
    </row>
    <row r="270">
      <c r="A270" s="20"/>
      <c r="B270" s="20"/>
      <c r="C270" s="20"/>
      <c r="D270" s="20"/>
      <c r="E270" s="20"/>
      <c r="F270" s="20"/>
      <c r="G270" s="20"/>
      <c r="H270" s="121"/>
      <c r="I270" s="121"/>
      <c r="J270" s="121"/>
      <c r="K270" s="121"/>
      <c r="L270" s="121"/>
      <c r="M270" s="122"/>
      <c r="N270" s="122"/>
      <c r="O270" s="122"/>
      <c r="P270" s="123"/>
      <c r="Q270" s="123"/>
      <c r="R270" s="123"/>
      <c r="S270" s="20"/>
      <c r="T270" s="20"/>
      <c r="U270" s="20"/>
      <c r="V270" s="20"/>
      <c r="W270" s="20"/>
      <c r="X270" s="20"/>
      <c r="Y270" s="20"/>
      <c r="Z270" s="20"/>
      <c r="AA270" s="20"/>
      <c r="AB270" s="20"/>
      <c r="AC270" s="20"/>
    </row>
    <row r="271">
      <c r="A271" s="20"/>
      <c r="B271" s="20"/>
      <c r="C271" s="20"/>
      <c r="D271" s="20"/>
      <c r="E271" s="20"/>
      <c r="F271" s="20"/>
      <c r="G271" s="20"/>
      <c r="H271" s="121"/>
      <c r="I271" s="121"/>
      <c r="J271" s="121"/>
      <c r="K271" s="121"/>
      <c r="L271" s="121"/>
      <c r="M271" s="122"/>
      <c r="N271" s="122"/>
      <c r="O271" s="122"/>
      <c r="P271" s="123"/>
      <c r="Q271" s="123"/>
      <c r="R271" s="123"/>
      <c r="S271" s="20"/>
      <c r="T271" s="20"/>
      <c r="U271" s="20"/>
      <c r="V271" s="20"/>
      <c r="W271" s="20"/>
      <c r="X271" s="20"/>
      <c r="Y271" s="20"/>
      <c r="Z271" s="20"/>
      <c r="AA271" s="20"/>
      <c r="AB271" s="20"/>
      <c r="AC271" s="20"/>
    </row>
    <row r="272">
      <c r="A272" s="20"/>
      <c r="B272" s="20"/>
      <c r="C272" s="20"/>
      <c r="D272" s="20"/>
      <c r="E272" s="20"/>
      <c r="F272" s="20"/>
      <c r="G272" s="20"/>
      <c r="H272" s="121"/>
      <c r="I272" s="121"/>
      <c r="J272" s="121"/>
      <c r="K272" s="121"/>
      <c r="L272" s="121"/>
      <c r="M272" s="122"/>
      <c r="N272" s="122"/>
      <c r="O272" s="122"/>
      <c r="P272" s="123"/>
      <c r="Q272" s="123"/>
      <c r="R272" s="123"/>
      <c r="S272" s="20"/>
      <c r="T272" s="20"/>
      <c r="U272" s="20"/>
      <c r="V272" s="20"/>
      <c r="W272" s="20"/>
      <c r="X272" s="20"/>
      <c r="Y272" s="20"/>
      <c r="Z272" s="20"/>
      <c r="AA272" s="20"/>
      <c r="AB272" s="20"/>
      <c r="AC272" s="20"/>
    </row>
    <row r="273">
      <c r="A273" s="20"/>
      <c r="B273" s="20"/>
      <c r="C273" s="20"/>
      <c r="D273" s="20"/>
      <c r="E273" s="20"/>
      <c r="F273" s="20"/>
      <c r="G273" s="20"/>
      <c r="H273" s="121"/>
      <c r="I273" s="121"/>
      <c r="J273" s="121"/>
      <c r="K273" s="121"/>
      <c r="L273" s="121"/>
      <c r="M273" s="122"/>
      <c r="N273" s="122"/>
      <c r="O273" s="122"/>
      <c r="P273" s="123"/>
      <c r="Q273" s="123"/>
      <c r="R273" s="123"/>
      <c r="S273" s="20"/>
      <c r="T273" s="20"/>
      <c r="U273" s="20"/>
      <c r="V273" s="20"/>
      <c r="W273" s="20"/>
      <c r="X273" s="20"/>
      <c r="Y273" s="20"/>
      <c r="Z273" s="20"/>
      <c r="AA273" s="20"/>
      <c r="AB273" s="20"/>
      <c r="AC273" s="20"/>
    </row>
    <row r="274">
      <c r="A274" s="20"/>
      <c r="B274" s="20"/>
      <c r="C274" s="20"/>
      <c r="D274" s="20"/>
      <c r="E274" s="20"/>
      <c r="F274" s="20"/>
      <c r="G274" s="20"/>
      <c r="H274" s="121"/>
      <c r="I274" s="121"/>
      <c r="J274" s="121"/>
      <c r="K274" s="121"/>
      <c r="L274" s="121"/>
      <c r="M274" s="122"/>
      <c r="N274" s="122"/>
      <c r="O274" s="122"/>
      <c r="P274" s="123"/>
      <c r="Q274" s="123"/>
      <c r="R274" s="123"/>
      <c r="S274" s="20"/>
      <c r="T274" s="20"/>
      <c r="U274" s="20"/>
      <c r="V274" s="20"/>
      <c r="W274" s="20"/>
      <c r="X274" s="20"/>
      <c r="Y274" s="20"/>
      <c r="Z274" s="20"/>
      <c r="AA274" s="20"/>
      <c r="AB274" s="20"/>
      <c r="AC274" s="20"/>
    </row>
    <row r="275">
      <c r="A275" s="20"/>
      <c r="B275" s="20"/>
      <c r="C275" s="20"/>
      <c r="D275" s="20"/>
      <c r="E275" s="20"/>
      <c r="F275" s="20"/>
      <c r="G275" s="20"/>
      <c r="H275" s="121"/>
      <c r="I275" s="121"/>
      <c r="J275" s="121"/>
      <c r="K275" s="121"/>
      <c r="L275" s="121"/>
      <c r="M275" s="122"/>
      <c r="N275" s="122"/>
      <c r="O275" s="122"/>
      <c r="P275" s="123"/>
      <c r="Q275" s="123"/>
      <c r="R275" s="123"/>
      <c r="S275" s="20"/>
      <c r="T275" s="20"/>
      <c r="U275" s="20"/>
      <c r="V275" s="20"/>
      <c r="W275" s="20"/>
      <c r="X275" s="20"/>
      <c r="Y275" s="20"/>
      <c r="Z275" s="20"/>
      <c r="AA275" s="20"/>
      <c r="AB275" s="20"/>
      <c r="AC275" s="20"/>
    </row>
    <row r="276">
      <c r="A276" s="20"/>
      <c r="B276" s="20"/>
      <c r="C276" s="20"/>
      <c r="D276" s="20"/>
      <c r="E276" s="20"/>
      <c r="F276" s="20"/>
      <c r="G276" s="20"/>
      <c r="H276" s="121"/>
      <c r="I276" s="121"/>
      <c r="J276" s="121"/>
      <c r="K276" s="121"/>
      <c r="L276" s="121"/>
      <c r="M276" s="122"/>
      <c r="N276" s="122"/>
      <c r="O276" s="122"/>
      <c r="P276" s="123"/>
      <c r="Q276" s="123"/>
      <c r="R276" s="123"/>
      <c r="S276" s="20"/>
      <c r="T276" s="20"/>
      <c r="U276" s="20"/>
      <c r="V276" s="20"/>
      <c r="W276" s="20"/>
      <c r="X276" s="20"/>
      <c r="Y276" s="20"/>
      <c r="Z276" s="20"/>
      <c r="AA276" s="20"/>
      <c r="AB276" s="20"/>
      <c r="AC276" s="20"/>
    </row>
    <row r="277">
      <c r="A277" s="20"/>
      <c r="B277" s="20"/>
      <c r="C277" s="20"/>
      <c r="D277" s="20"/>
      <c r="E277" s="20"/>
      <c r="F277" s="20"/>
      <c r="G277" s="20"/>
      <c r="H277" s="121"/>
      <c r="I277" s="121"/>
      <c r="J277" s="121"/>
      <c r="K277" s="121"/>
      <c r="L277" s="121"/>
      <c r="M277" s="122"/>
      <c r="N277" s="122"/>
      <c r="O277" s="122"/>
      <c r="P277" s="123"/>
      <c r="Q277" s="123"/>
      <c r="R277" s="123"/>
      <c r="S277" s="20"/>
      <c r="T277" s="20"/>
      <c r="U277" s="20"/>
      <c r="V277" s="20"/>
      <c r="W277" s="20"/>
      <c r="X277" s="20"/>
      <c r="Y277" s="20"/>
      <c r="Z277" s="20"/>
      <c r="AA277" s="20"/>
      <c r="AB277" s="20"/>
      <c r="AC277" s="20"/>
    </row>
    <row r="278">
      <c r="A278" s="20"/>
      <c r="B278" s="20"/>
      <c r="C278" s="20"/>
      <c r="D278" s="20"/>
      <c r="E278" s="20"/>
      <c r="F278" s="20"/>
      <c r="G278" s="20"/>
      <c r="H278" s="121"/>
      <c r="I278" s="121"/>
      <c r="J278" s="121"/>
      <c r="K278" s="121"/>
      <c r="L278" s="121"/>
      <c r="M278" s="122"/>
      <c r="N278" s="122"/>
      <c r="O278" s="122"/>
      <c r="P278" s="123"/>
      <c r="Q278" s="123"/>
      <c r="R278" s="123"/>
      <c r="S278" s="20"/>
      <c r="T278" s="20"/>
      <c r="U278" s="20"/>
      <c r="V278" s="20"/>
      <c r="W278" s="20"/>
      <c r="X278" s="20"/>
      <c r="Y278" s="20"/>
      <c r="Z278" s="20"/>
      <c r="AA278" s="20"/>
      <c r="AB278" s="20"/>
      <c r="AC278" s="20"/>
    </row>
    <row r="279">
      <c r="A279" s="20"/>
      <c r="B279" s="20"/>
      <c r="C279" s="20"/>
      <c r="D279" s="20"/>
      <c r="E279" s="20"/>
      <c r="F279" s="20"/>
      <c r="G279" s="20"/>
      <c r="H279" s="121"/>
      <c r="I279" s="121"/>
      <c r="J279" s="121"/>
      <c r="K279" s="121"/>
      <c r="L279" s="121"/>
      <c r="M279" s="122"/>
      <c r="N279" s="122"/>
      <c r="O279" s="122"/>
      <c r="P279" s="123"/>
      <c r="Q279" s="123"/>
      <c r="R279" s="123"/>
      <c r="S279" s="20"/>
      <c r="T279" s="20"/>
      <c r="U279" s="20"/>
      <c r="V279" s="20"/>
      <c r="W279" s="20"/>
      <c r="X279" s="20"/>
      <c r="Y279" s="20"/>
      <c r="Z279" s="20"/>
      <c r="AA279" s="20"/>
      <c r="AB279" s="20"/>
      <c r="AC279" s="20"/>
    </row>
    <row r="280">
      <c r="A280" s="20"/>
      <c r="B280" s="20"/>
      <c r="C280" s="20"/>
      <c r="D280" s="20"/>
      <c r="E280" s="20"/>
      <c r="F280" s="20"/>
      <c r="G280" s="20"/>
      <c r="H280" s="121"/>
      <c r="I280" s="121"/>
      <c r="J280" s="121"/>
      <c r="K280" s="121"/>
      <c r="L280" s="121"/>
      <c r="M280" s="122"/>
      <c r="N280" s="122"/>
      <c r="O280" s="122"/>
      <c r="P280" s="123"/>
      <c r="Q280" s="123"/>
      <c r="R280" s="123"/>
      <c r="S280" s="20"/>
      <c r="T280" s="20"/>
      <c r="U280" s="20"/>
      <c r="V280" s="20"/>
      <c r="W280" s="20"/>
      <c r="X280" s="20"/>
      <c r="Y280" s="20"/>
      <c r="Z280" s="20"/>
      <c r="AA280" s="20"/>
      <c r="AB280" s="20"/>
      <c r="AC280" s="20"/>
    </row>
    <row r="281">
      <c r="A281" s="20"/>
      <c r="B281" s="20"/>
      <c r="C281" s="20"/>
      <c r="D281" s="20"/>
      <c r="E281" s="20"/>
      <c r="F281" s="20"/>
      <c r="G281" s="20"/>
      <c r="H281" s="121"/>
      <c r="I281" s="121"/>
      <c r="J281" s="121"/>
      <c r="K281" s="121"/>
      <c r="L281" s="121"/>
      <c r="M281" s="122"/>
      <c r="N281" s="122"/>
      <c r="O281" s="122"/>
      <c r="P281" s="123"/>
      <c r="Q281" s="123"/>
      <c r="R281" s="123"/>
      <c r="S281" s="20"/>
      <c r="T281" s="20"/>
      <c r="U281" s="20"/>
      <c r="V281" s="20"/>
      <c r="W281" s="20"/>
      <c r="X281" s="20"/>
      <c r="Y281" s="20"/>
      <c r="Z281" s="20"/>
      <c r="AA281" s="20"/>
      <c r="AB281" s="20"/>
      <c r="AC281" s="20"/>
    </row>
    <row r="282">
      <c r="A282" s="20"/>
      <c r="B282" s="20"/>
      <c r="C282" s="20"/>
      <c r="D282" s="20"/>
      <c r="E282" s="20"/>
      <c r="F282" s="20"/>
      <c r="G282" s="20"/>
      <c r="H282" s="121"/>
      <c r="I282" s="121"/>
      <c r="J282" s="121"/>
      <c r="K282" s="121"/>
      <c r="L282" s="121"/>
      <c r="M282" s="122"/>
      <c r="N282" s="122"/>
      <c r="O282" s="122"/>
      <c r="P282" s="123"/>
      <c r="Q282" s="123"/>
      <c r="R282" s="123"/>
      <c r="S282" s="20"/>
      <c r="T282" s="20"/>
      <c r="U282" s="20"/>
      <c r="V282" s="20"/>
      <c r="W282" s="20"/>
      <c r="X282" s="20"/>
      <c r="Y282" s="20"/>
      <c r="Z282" s="20"/>
      <c r="AA282" s="20"/>
      <c r="AB282" s="20"/>
      <c r="AC282" s="20"/>
    </row>
    <row r="283">
      <c r="A283" s="20"/>
      <c r="B283" s="20"/>
      <c r="C283" s="20"/>
      <c r="D283" s="20"/>
      <c r="E283" s="20"/>
      <c r="F283" s="20"/>
      <c r="G283" s="20"/>
      <c r="H283" s="121"/>
      <c r="I283" s="121"/>
      <c r="J283" s="121"/>
      <c r="K283" s="121"/>
      <c r="L283" s="121"/>
      <c r="M283" s="122"/>
      <c r="N283" s="122"/>
      <c r="O283" s="122"/>
      <c r="P283" s="123"/>
      <c r="Q283" s="123"/>
      <c r="R283" s="123"/>
      <c r="S283" s="20"/>
      <c r="T283" s="20"/>
      <c r="U283" s="20"/>
      <c r="V283" s="20"/>
      <c r="W283" s="20"/>
      <c r="X283" s="20"/>
      <c r="Y283" s="20"/>
      <c r="Z283" s="20"/>
      <c r="AA283" s="20"/>
      <c r="AB283" s="20"/>
      <c r="AC283" s="20"/>
    </row>
    <row r="284">
      <c r="A284" s="20"/>
      <c r="B284" s="20"/>
      <c r="C284" s="20"/>
      <c r="D284" s="20"/>
      <c r="E284" s="20"/>
      <c r="F284" s="20"/>
      <c r="G284" s="20"/>
      <c r="H284" s="121"/>
      <c r="I284" s="121"/>
      <c r="J284" s="121"/>
      <c r="K284" s="121"/>
      <c r="L284" s="121"/>
      <c r="M284" s="122"/>
      <c r="N284" s="122"/>
      <c r="O284" s="122"/>
      <c r="P284" s="123"/>
      <c r="Q284" s="123"/>
      <c r="R284" s="123"/>
      <c r="S284" s="20"/>
      <c r="T284" s="20"/>
      <c r="U284" s="20"/>
      <c r="V284" s="20"/>
      <c r="W284" s="20"/>
      <c r="X284" s="20"/>
      <c r="Y284" s="20"/>
      <c r="Z284" s="20"/>
      <c r="AA284" s="20"/>
      <c r="AB284" s="20"/>
      <c r="AC284" s="20"/>
    </row>
    <row r="285">
      <c r="A285" s="20"/>
      <c r="B285" s="20"/>
      <c r="C285" s="20"/>
      <c r="D285" s="20"/>
      <c r="E285" s="20"/>
      <c r="F285" s="20"/>
      <c r="G285" s="20"/>
      <c r="H285" s="121"/>
      <c r="I285" s="121"/>
      <c r="J285" s="121"/>
      <c r="K285" s="121"/>
      <c r="L285" s="121"/>
      <c r="M285" s="122"/>
      <c r="N285" s="122"/>
      <c r="O285" s="122"/>
      <c r="P285" s="123"/>
      <c r="Q285" s="123"/>
      <c r="R285" s="123"/>
      <c r="S285" s="20"/>
      <c r="T285" s="20"/>
      <c r="U285" s="20"/>
      <c r="V285" s="20"/>
      <c r="W285" s="20"/>
      <c r="X285" s="20"/>
      <c r="Y285" s="20"/>
      <c r="Z285" s="20"/>
      <c r="AA285" s="20"/>
      <c r="AB285" s="20"/>
      <c r="AC285" s="20"/>
    </row>
    <row r="286">
      <c r="A286" s="20"/>
      <c r="B286" s="20"/>
      <c r="C286" s="20"/>
      <c r="D286" s="20"/>
      <c r="E286" s="20"/>
      <c r="F286" s="20"/>
      <c r="G286" s="20"/>
      <c r="H286" s="121"/>
      <c r="I286" s="121"/>
      <c r="J286" s="121"/>
      <c r="K286" s="121"/>
      <c r="L286" s="121"/>
      <c r="M286" s="122"/>
      <c r="N286" s="122"/>
      <c r="O286" s="122"/>
      <c r="P286" s="123"/>
      <c r="Q286" s="123"/>
      <c r="R286" s="123"/>
      <c r="S286" s="20"/>
      <c r="T286" s="20"/>
      <c r="U286" s="20"/>
      <c r="V286" s="20"/>
      <c r="W286" s="20"/>
      <c r="X286" s="20"/>
      <c r="Y286" s="20"/>
      <c r="Z286" s="20"/>
      <c r="AA286" s="20"/>
      <c r="AB286" s="20"/>
      <c r="AC286" s="20"/>
    </row>
    <row r="287">
      <c r="A287" s="20"/>
      <c r="B287" s="20"/>
      <c r="C287" s="20"/>
      <c r="D287" s="20"/>
      <c r="E287" s="20"/>
      <c r="F287" s="20"/>
      <c r="G287" s="20"/>
      <c r="H287" s="121"/>
      <c r="I287" s="121"/>
      <c r="J287" s="121"/>
      <c r="K287" s="121"/>
      <c r="L287" s="121"/>
      <c r="M287" s="122"/>
      <c r="N287" s="122"/>
      <c r="O287" s="122"/>
      <c r="P287" s="123"/>
      <c r="Q287" s="123"/>
      <c r="R287" s="123"/>
      <c r="S287" s="20"/>
      <c r="T287" s="20"/>
      <c r="U287" s="20"/>
      <c r="V287" s="20"/>
      <c r="W287" s="20"/>
      <c r="X287" s="20"/>
      <c r="Y287" s="20"/>
      <c r="Z287" s="20"/>
      <c r="AA287" s="20"/>
      <c r="AB287" s="20"/>
      <c r="AC287" s="20"/>
    </row>
    <row r="288">
      <c r="A288" s="20"/>
      <c r="B288" s="20"/>
      <c r="C288" s="20"/>
      <c r="D288" s="20"/>
      <c r="E288" s="20"/>
      <c r="F288" s="20"/>
      <c r="G288" s="20"/>
      <c r="H288" s="121"/>
      <c r="I288" s="121"/>
      <c r="J288" s="121"/>
      <c r="K288" s="121"/>
      <c r="L288" s="121"/>
      <c r="M288" s="122"/>
      <c r="N288" s="122"/>
      <c r="O288" s="122"/>
      <c r="P288" s="123"/>
      <c r="Q288" s="123"/>
      <c r="R288" s="123"/>
      <c r="S288" s="20"/>
      <c r="T288" s="20"/>
      <c r="U288" s="20"/>
      <c r="V288" s="20"/>
      <c r="W288" s="20"/>
      <c r="X288" s="20"/>
      <c r="Y288" s="20"/>
      <c r="Z288" s="20"/>
      <c r="AA288" s="20"/>
      <c r="AB288" s="20"/>
      <c r="AC288" s="20"/>
    </row>
    <row r="289">
      <c r="A289" s="20"/>
      <c r="B289" s="20"/>
      <c r="C289" s="20"/>
      <c r="D289" s="20"/>
      <c r="E289" s="20"/>
      <c r="F289" s="20"/>
      <c r="G289" s="20"/>
      <c r="H289" s="121"/>
      <c r="I289" s="121"/>
      <c r="J289" s="121"/>
      <c r="K289" s="121"/>
      <c r="L289" s="121"/>
      <c r="M289" s="122"/>
      <c r="N289" s="122"/>
      <c r="O289" s="122"/>
      <c r="P289" s="123"/>
      <c r="Q289" s="123"/>
      <c r="R289" s="123"/>
      <c r="S289" s="20"/>
      <c r="T289" s="20"/>
      <c r="U289" s="20"/>
      <c r="V289" s="20"/>
      <c r="W289" s="20"/>
      <c r="X289" s="20"/>
      <c r="Y289" s="20"/>
      <c r="Z289" s="20"/>
      <c r="AA289" s="20"/>
      <c r="AB289" s="20"/>
      <c r="AC289" s="20"/>
    </row>
    <row r="290">
      <c r="A290" s="20"/>
      <c r="B290" s="20"/>
      <c r="C290" s="20"/>
      <c r="D290" s="20"/>
      <c r="E290" s="20"/>
      <c r="F290" s="20"/>
      <c r="G290" s="20"/>
      <c r="H290" s="121"/>
      <c r="I290" s="121"/>
      <c r="J290" s="121"/>
      <c r="K290" s="121"/>
      <c r="L290" s="121"/>
      <c r="M290" s="122"/>
      <c r="N290" s="122"/>
      <c r="O290" s="122"/>
      <c r="P290" s="123"/>
      <c r="Q290" s="123"/>
      <c r="R290" s="123"/>
      <c r="S290" s="20"/>
      <c r="T290" s="20"/>
      <c r="U290" s="20"/>
      <c r="V290" s="20"/>
      <c r="W290" s="20"/>
      <c r="X290" s="20"/>
      <c r="Y290" s="20"/>
      <c r="Z290" s="20"/>
      <c r="AA290" s="20"/>
      <c r="AB290" s="20"/>
      <c r="AC290" s="20"/>
    </row>
    <row r="291">
      <c r="A291" s="20"/>
      <c r="B291" s="20"/>
      <c r="C291" s="20"/>
      <c r="D291" s="20"/>
      <c r="E291" s="20"/>
      <c r="F291" s="20"/>
      <c r="G291" s="20"/>
      <c r="H291" s="121"/>
      <c r="I291" s="121"/>
      <c r="J291" s="121"/>
      <c r="K291" s="121"/>
      <c r="L291" s="121"/>
      <c r="M291" s="122"/>
      <c r="N291" s="122"/>
      <c r="O291" s="122"/>
      <c r="P291" s="123"/>
      <c r="Q291" s="123"/>
      <c r="R291" s="123"/>
      <c r="S291" s="20"/>
      <c r="T291" s="20"/>
      <c r="U291" s="20"/>
      <c r="V291" s="20"/>
      <c r="W291" s="20"/>
      <c r="X291" s="20"/>
      <c r="Y291" s="20"/>
      <c r="Z291" s="20"/>
      <c r="AA291" s="20"/>
      <c r="AB291" s="20"/>
      <c r="AC291" s="20"/>
    </row>
    <row r="292">
      <c r="A292" s="20"/>
      <c r="B292" s="20"/>
      <c r="C292" s="20"/>
      <c r="D292" s="20"/>
      <c r="E292" s="20"/>
      <c r="F292" s="20"/>
      <c r="G292" s="20"/>
      <c r="H292" s="121"/>
      <c r="I292" s="121"/>
      <c r="J292" s="121"/>
      <c r="K292" s="121"/>
      <c r="L292" s="121"/>
      <c r="M292" s="122"/>
      <c r="N292" s="122"/>
      <c r="O292" s="122"/>
      <c r="P292" s="123"/>
      <c r="Q292" s="123"/>
      <c r="R292" s="123"/>
      <c r="S292" s="20"/>
      <c r="T292" s="20"/>
      <c r="U292" s="20"/>
      <c r="V292" s="20"/>
      <c r="W292" s="20"/>
      <c r="X292" s="20"/>
      <c r="Y292" s="20"/>
      <c r="Z292" s="20"/>
      <c r="AA292" s="20"/>
      <c r="AB292" s="20"/>
      <c r="AC292" s="20"/>
    </row>
    <row r="293">
      <c r="A293" s="20"/>
      <c r="B293" s="20"/>
      <c r="C293" s="20"/>
      <c r="D293" s="20"/>
      <c r="E293" s="20"/>
      <c r="F293" s="20"/>
      <c r="G293" s="20"/>
      <c r="H293" s="121"/>
      <c r="I293" s="121"/>
      <c r="J293" s="121"/>
      <c r="K293" s="121"/>
      <c r="L293" s="121"/>
      <c r="M293" s="122"/>
      <c r="N293" s="122"/>
      <c r="O293" s="122"/>
      <c r="P293" s="123"/>
      <c r="Q293" s="123"/>
      <c r="R293" s="123"/>
      <c r="S293" s="20"/>
      <c r="T293" s="20"/>
      <c r="U293" s="20"/>
      <c r="V293" s="20"/>
      <c r="W293" s="20"/>
      <c r="X293" s="20"/>
      <c r="Y293" s="20"/>
      <c r="Z293" s="20"/>
      <c r="AA293" s="20"/>
      <c r="AB293" s="20"/>
      <c r="AC293" s="20"/>
    </row>
    <row r="294">
      <c r="A294" s="20"/>
      <c r="B294" s="20"/>
      <c r="C294" s="20"/>
      <c r="D294" s="20"/>
      <c r="E294" s="20"/>
      <c r="F294" s="20"/>
      <c r="G294" s="20"/>
      <c r="H294" s="121"/>
      <c r="I294" s="121"/>
      <c r="J294" s="121"/>
      <c r="K294" s="121"/>
      <c r="L294" s="121"/>
      <c r="M294" s="122"/>
      <c r="N294" s="122"/>
      <c r="O294" s="122"/>
      <c r="P294" s="123"/>
      <c r="Q294" s="123"/>
      <c r="R294" s="123"/>
      <c r="S294" s="20"/>
      <c r="T294" s="20"/>
      <c r="U294" s="20"/>
      <c r="V294" s="20"/>
      <c r="W294" s="20"/>
      <c r="X294" s="20"/>
      <c r="Y294" s="20"/>
      <c r="Z294" s="20"/>
      <c r="AA294" s="20"/>
      <c r="AB294" s="20"/>
      <c r="AC294" s="20"/>
    </row>
    <row r="295">
      <c r="A295" s="20"/>
      <c r="B295" s="20"/>
      <c r="C295" s="20"/>
      <c r="D295" s="20"/>
      <c r="E295" s="20"/>
      <c r="F295" s="20"/>
      <c r="G295" s="20"/>
      <c r="H295" s="121"/>
      <c r="I295" s="121"/>
      <c r="J295" s="121"/>
      <c r="K295" s="121"/>
      <c r="L295" s="121"/>
      <c r="M295" s="122"/>
      <c r="N295" s="122"/>
      <c r="O295" s="122"/>
      <c r="P295" s="123"/>
      <c r="Q295" s="123"/>
      <c r="R295" s="123"/>
      <c r="S295" s="20"/>
      <c r="T295" s="20"/>
      <c r="U295" s="20"/>
      <c r="V295" s="20"/>
      <c r="W295" s="20"/>
      <c r="X295" s="20"/>
      <c r="Y295" s="20"/>
      <c r="Z295" s="20"/>
      <c r="AA295" s="20"/>
      <c r="AB295" s="20"/>
      <c r="AC295" s="20"/>
    </row>
    <row r="296">
      <c r="A296" s="20"/>
      <c r="B296" s="20"/>
      <c r="C296" s="20"/>
      <c r="D296" s="20"/>
      <c r="E296" s="20"/>
      <c r="F296" s="20"/>
      <c r="G296" s="20"/>
      <c r="H296" s="121"/>
      <c r="I296" s="121"/>
      <c r="J296" s="121"/>
      <c r="K296" s="121"/>
      <c r="L296" s="121"/>
      <c r="M296" s="122"/>
      <c r="N296" s="122"/>
      <c r="O296" s="122"/>
      <c r="P296" s="123"/>
      <c r="Q296" s="123"/>
      <c r="R296" s="123"/>
      <c r="S296" s="20"/>
      <c r="T296" s="20"/>
      <c r="U296" s="20"/>
      <c r="V296" s="20"/>
      <c r="W296" s="20"/>
      <c r="X296" s="20"/>
      <c r="Y296" s="20"/>
      <c r="Z296" s="20"/>
      <c r="AA296" s="20"/>
      <c r="AB296" s="20"/>
      <c r="AC296" s="20"/>
    </row>
    <row r="297">
      <c r="A297" s="20"/>
      <c r="B297" s="20"/>
      <c r="C297" s="20"/>
      <c r="D297" s="20"/>
      <c r="E297" s="20"/>
      <c r="F297" s="20"/>
      <c r="G297" s="20"/>
      <c r="H297" s="121"/>
      <c r="I297" s="121"/>
      <c r="J297" s="121"/>
      <c r="K297" s="121"/>
      <c r="L297" s="121"/>
      <c r="M297" s="122"/>
      <c r="N297" s="122"/>
      <c r="O297" s="122"/>
      <c r="P297" s="123"/>
      <c r="Q297" s="123"/>
      <c r="R297" s="123"/>
      <c r="S297" s="20"/>
      <c r="T297" s="20"/>
      <c r="U297" s="20"/>
      <c r="V297" s="20"/>
      <c r="W297" s="20"/>
      <c r="X297" s="20"/>
      <c r="Y297" s="20"/>
      <c r="Z297" s="20"/>
      <c r="AA297" s="20"/>
      <c r="AB297" s="20"/>
      <c r="AC297" s="20"/>
    </row>
    <row r="298">
      <c r="A298" s="20"/>
      <c r="B298" s="20"/>
      <c r="C298" s="20"/>
      <c r="D298" s="20"/>
      <c r="E298" s="20"/>
      <c r="F298" s="20"/>
      <c r="G298" s="20"/>
      <c r="H298" s="121"/>
      <c r="I298" s="121"/>
      <c r="J298" s="121"/>
      <c r="K298" s="121"/>
      <c r="L298" s="121"/>
      <c r="M298" s="122"/>
      <c r="N298" s="122"/>
      <c r="O298" s="122"/>
      <c r="P298" s="123"/>
      <c r="Q298" s="123"/>
      <c r="R298" s="123"/>
      <c r="S298" s="20"/>
      <c r="T298" s="20"/>
      <c r="U298" s="20"/>
      <c r="V298" s="20"/>
      <c r="W298" s="20"/>
      <c r="X298" s="20"/>
      <c r="Y298" s="20"/>
      <c r="Z298" s="20"/>
      <c r="AA298" s="20"/>
      <c r="AB298" s="20"/>
      <c r="AC298" s="20"/>
    </row>
    <row r="299">
      <c r="A299" s="20"/>
      <c r="B299" s="20"/>
      <c r="C299" s="20"/>
      <c r="D299" s="20"/>
      <c r="E299" s="20"/>
      <c r="F299" s="20"/>
      <c r="G299" s="20"/>
      <c r="H299" s="121"/>
      <c r="I299" s="121"/>
      <c r="J299" s="121"/>
      <c r="K299" s="121"/>
      <c r="L299" s="121"/>
      <c r="M299" s="122"/>
      <c r="N299" s="122"/>
      <c r="O299" s="122"/>
      <c r="P299" s="123"/>
      <c r="Q299" s="123"/>
      <c r="R299" s="123"/>
      <c r="S299" s="20"/>
      <c r="T299" s="20"/>
      <c r="U299" s="20"/>
      <c r="V299" s="20"/>
      <c r="W299" s="20"/>
      <c r="X299" s="20"/>
      <c r="Y299" s="20"/>
      <c r="Z299" s="20"/>
      <c r="AA299" s="20"/>
      <c r="AB299" s="20"/>
      <c r="AC299" s="20"/>
    </row>
    <row r="300">
      <c r="A300" s="20"/>
      <c r="B300" s="20"/>
      <c r="C300" s="20"/>
      <c r="D300" s="20"/>
      <c r="E300" s="20"/>
      <c r="F300" s="20"/>
      <c r="G300" s="20"/>
      <c r="H300" s="121"/>
      <c r="I300" s="121"/>
      <c r="J300" s="121"/>
      <c r="K300" s="121"/>
      <c r="L300" s="121"/>
      <c r="M300" s="122"/>
      <c r="N300" s="122"/>
      <c r="O300" s="122"/>
      <c r="P300" s="123"/>
      <c r="Q300" s="123"/>
      <c r="R300" s="123"/>
      <c r="S300" s="20"/>
      <c r="T300" s="20"/>
      <c r="U300" s="20"/>
      <c r="V300" s="20"/>
      <c r="W300" s="20"/>
      <c r="X300" s="20"/>
      <c r="Y300" s="20"/>
      <c r="Z300" s="20"/>
      <c r="AA300" s="20"/>
      <c r="AB300" s="20"/>
      <c r="AC300" s="20"/>
    </row>
    <row r="301">
      <c r="A301" s="20"/>
      <c r="B301" s="20"/>
      <c r="C301" s="20"/>
      <c r="D301" s="20"/>
      <c r="E301" s="20"/>
      <c r="F301" s="20"/>
      <c r="G301" s="20"/>
      <c r="H301" s="121"/>
      <c r="I301" s="121"/>
      <c r="J301" s="121"/>
      <c r="K301" s="121"/>
      <c r="L301" s="121"/>
      <c r="M301" s="122"/>
      <c r="N301" s="122"/>
      <c r="O301" s="122"/>
      <c r="P301" s="123"/>
      <c r="Q301" s="123"/>
      <c r="R301" s="123"/>
      <c r="S301" s="20"/>
      <c r="T301" s="20"/>
      <c r="U301" s="20"/>
      <c r="V301" s="20"/>
      <c r="W301" s="20"/>
      <c r="X301" s="20"/>
      <c r="Y301" s="20"/>
      <c r="Z301" s="20"/>
      <c r="AA301" s="20"/>
      <c r="AB301" s="20"/>
      <c r="AC301" s="20"/>
    </row>
    <row r="302">
      <c r="A302" s="20"/>
      <c r="B302" s="20"/>
      <c r="C302" s="20"/>
      <c r="D302" s="20"/>
      <c r="E302" s="20"/>
      <c r="F302" s="20"/>
      <c r="G302" s="20"/>
      <c r="H302" s="121"/>
      <c r="I302" s="121"/>
      <c r="J302" s="121"/>
      <c r="K302" s="121"/>
      <c r="L302" s="121"/>
      <c r="M302" s="122"/>
      <c r="N302" s="122"/>
      <c r="O302" s="122"/>
      <c r="P302" s="123"/>
      <c r="Q302" s="123"/>
      <c r="R302" s="123"/>
      <c r="S302" s="20"/>
      <c r="T302" s="20"/>
      <c r="U302" s="20"/>
      <c r="V302" s="20"/>
      <c r="W302" s="20"/>
      <c r="X302" s="20"/>
      <c r="Y302" s="20"/>
      <c r="Z302" s="20"/>
      <c r="AA302" s="20"/>
      <c r="AB302" s="20"/>
      <c r="AC302" s="20"/>
    </row>
    <row r="303">
      <c r="A303" s="20"/>
      <c r="B303" s="20"/>
      <c r="C303" s="20"/>
      <c r="D303" s="20"/>
      <c r="E303" s="20"/>
      <c r="F303" s="20"/>
      <c r="G303" s="20"/>
      <c r="H303" s="121"/>
      <c r="I303" s="121"/>
      <c r="J303" s="121"/>
      <c r="K303" s="121"/>
      <c r="L303" s="121"/>
      <c r="M303" s="122"/>
      <c r="N303" s="122"/>
      <c r="O303" s="122"/>
      <c r="P303" s="123"/>
      <c r="Q303" s="123"/>
      <c r="R303" s="123"/>
      <c r="S303" s="20"/>
      <c r="T303" s="20"/>
      <c r="U303" s="20"/>
      <c r="V303" s="20"/>
      <c r="W303" s="20"/>
      <c r="X303" s="20"/>
      <c r="Y303" s="20"/>
      <c r="Z303" s="20"/>
      <c r="AA303" s="20"/>
      <c r="AB303" s="20"/>
      <c r="AC303" s="20"/>
    </row>
    <row r="304">
      <c r="A304" s="20"/>
      <c r="B304" s="20"/>
      <c r="C304" s="20"/>
      <c r="D304" s="20"/>
      <c r="E304" s="20"/>
      <c r="F304" s="20"/>
      <c r="G304" s="20"/>
      <c r="H304" s="121"/>
      <c r="I304" s="121"/>
      <c r="J304" s="121"/>
      <c r="K304" s="121"/>
      <c r="L304" s="121"/>
      <c r="M304" s="122"/>
      <c r="N304" s="122"/>
      <c r="O304" s="122"/>
      <c r="P304" s="123"/>
      <c r="Q304" s="123"/>
      <c r="R304" s="123"/>
      <c r="S304" s="20"/>
      <c r="T304" s="20"/>
      <c r="U304" s="20"/>
      <c r="V304" s="20"/>
      <c r="W304" s="20"/>
      <c r="X304" s="20"/>
      <c r="Y304" s="20"/>
      <c r="Z304" s="20"/>
      <c r="AA304" s="20"/>
      <c r="AB304" s="20"/>
      <c r="AC304" s="20"/>
    </row>
    <row r="305">
      <c r="A305" s="20"/>
      <c r="B305" s="20"/>
      <c r="C305" s="20"/>
      <c r="D305" s="20"/>
      <c r="E305" s="20"/>
      <c r="F305" s="20"/>
      <c r="G305" s="20"/>
      <c r="H305" s="121"/>
      <c r="I305" s="121"/>
      <c r="J305" s="121"/>
      <c r="K305" s="121"/>
      <c r="L305" s="121"/>
      <c r="M305" s="122"/>
      <c r="N305" s="122"/>
      <c r="O305" s="122"/>
      <c r="P305" s="123"/>
      <c r="Q305" s="123"/>
      <c r="R305" s="123"/>
      <c r="S305" s="20"/>
      <c r="T305" s="20"/>
      <c r="U305" s="20"/>
      <c r="V305" s="20"/>
      <c r="W305" s="20"/>
      <c r="X305" s="20"/>
      <c r="Y305" s="20"/>
      <c r="Z305" s="20"/>
      <c r="AA305" s="20"/>
      <c r="AB305" s="20"/>
      <c r="AC305" s="20"/>
    </row>
    <row r="306">
      <c r="A306" s="20"/>
      <c r="B306" s="20"/>
      <c r="C306" s="20"/>
      <c r="D306" s="20"/>
      <c r="E306" s="20"/>
      <c r="F306" s="20"/>
      <c r="G306" s="20"/>
      <c r="H306" s="121"/>
      <c r="I306" s="121"/>
      <c r="J306" s="121"/>
      <c r="K306" s="121"/>
      <c r="L306" s="121"/>
      <c r="M306" s="122"/>
      <c r="N306" s="122"/>
      <c r="O306" s="122"/>
      <c r="P306" s="123"/>
      <c r="Q306" s="123"/>
      <c r="R306" s="123"/>
      <c r="S306" s="20"/>
      <c r="T306" s="20"/>
      <c r="U306" s="20"/>
      <c r="V306" s="20"/>
      <c r="W306" s="20"/>
      <c r="X306" s="20"/>
      <c r="Y306" s="20"/>
      <c r="Z306" s="20"/>
      <c r="AA306" s="20"/>
      <c r="AB306" s="20"/>
      <c r="AC306" s="20"/>
    </row>
    <row r="307">
      <c r="A307" s="20"/>
      <c r="B307" s="20"/>
      <c r="C307" s="20"/>
      <c r="D307" s="20"/>
      <c r="E307" s="20"/>
      <c r="F307" s="20"/>
      <c r="G307" s="20"/>
      <c r="H307" s="121"/>
      <c r="I307" s="121"/>
      <c r="J307" s="121"/>
      <c r="K307" s="121"/>
      <c r="L307" s="121"/>
      <c r="M307" s="122"/>
      <c r="N307" s="122"/>
      <c r="O307" s="122"/>
      <c r="P307" s="123"/>
      <c r="Q307" s="123"/>
      <c r="R307" s="123"/>
      <c r="S307" s="20"/>
      <c r="T307" s="20"/>
      <c r="U307" s="20"/>
      <c r="V307" s="20"/>
      <c r="W307" s="20"/>
      <c r="X307" s="20"/>
      <c r="Y307" s="20"/>
      <c r="Z307" s="20"/>
      <c r="AA307" s="20"/>
      <c r="AB307" s="20"/>
      <c r="AC307" s="20"/>
    </row>
    <row r="308">
      <c r="A308" s="20"/>
      <c r="B308" s="20"/>
      <c r="C308" s="20"/>
      <c r="D308" s="20"/>
      <c r="E308" s="20"/>
      <c r="F308" s="20"/>
      <c r="G308" s="20"/>
      <c r="H308" s="121"/>
      <c r="I308" s="121"/>
      <c r="J308" s="121"/>
      <c r="K308" s="121"/>
      <c r="L308" s="121"/>
      <c r="M308" s="122"/>
      <c r="N308" s="122"/>
      <c r="O308" s="122"/>
      <c r="P308" s="123"/>
      <c r="Q308" s="123"/>
      <c r="R308" s="123"/>
      <c r="S308" s="20"/>
      <c r="T308" s="20"/>
      <c r="U308" s="20"/>
      <c r="V308" s="20"/>
      <c r="W308" s="20"/>
      <c r="X308" s="20"/>
      <c r="Y308" s="20"/>
      <c r="Z308" s="20"/>
      <c r="AA308" s="20"/>
      <c r="AB308" s="20"/>
      <c r="AC308" s="20"/>
    </row>
    <row r="309">
      <c r="A309" s="20"/>
      <c r="B309" s="20"/>
      <c r="C309" s="20"/>
      <c r="D309" s="20"/>
      <c r="E309" s="20"/>
      <c r="F309" s="20"/>
      <c r="G309" s="20"/>
      <c r="H309" s="121"/>
      <c r="I309" s="121"/>
      <c r="J309" s="121"/>
      <c r="K309" s="121"/>
      <c r="L309" s="121"/>
      <c r="M309" s="122"/>
      <c r="N309" s="122"/>
      <c r="O309" s="122"/>
      <c r="P309" s="123"/>
      <c r="Q309" s="123"/>
      <c r="R309" s="123"/>
      <c r="S309" s="20"/>
      <c r="T309" s="20"/>
      <c r="U309" s="20"/>
      <c r="V309" s="20"/>
      <c r="W309" s="20"/>
      <c r="X309" s="20"/>
      <c r="Y309" s="20"/>
      <c r="Z309" s="20"/>
      <c r="AA309" s="20"/>
      <c r="AB309" s="20"/>
      <c r="AC309" s="20"/>
    </row>
    <row r="310">
      <c r="A310" s="20"/>
      <c r="B310" s="20"/>
      <c r="C310" s="20"/>
      <c r="D310" s="20"/>
      <c r="E310" s="20"/>
      <c r="F310" s="20"/>
      <c r="G310" s="20"/>
      <c r="H310" s="121"/>
      <c r="I310" s="121"/>
      <c r="J310" s="121"/>
      <c r="K310" s="121"/>
      <c r="L310" s="121"/>
      <c r="M310" s="122"/>
      <c r="N310" s="122"/>
      <c r="O310" s="122"/>
      <c r="P310" s="123"/>
      <c r="Q310" s="123"/>
      <c r="R310" s="123"/>
      <c r="S310" s="20"/>
      <c r="T310" s="20"/>
      <c r="U310" s="20"/>
      <c r="V310" s="20"/>
      <c r="W310" s="20"/>
      <c r="X310" s="20"/>
      <c r="Y310" s="20"/>
      <c r="Z310" s="20"/>
      <c r="AA310" s="20"/>
      <c r="AB310" s="20"/>
      <c r="AC310" s="20"/>
    </row>
    <row r="311">
      <c r="A311" s="20"/>
      <c r="B311" s="20"/>
      <c r="C311" s="20"/>
      <c r="D311" s="20"/>
      <c r="E311" s="20"/>
      <c r="F311" s="20"/>
      <c r="G311" s="20"/>
      <c r="H311" s="121"/>
      <c r="I311" s="121"/>
      <c r="J311" s="121"/>
      <c r="K311" s="121"/>
      <c r="L311" s="121"/>
      <c r="M311" s="122"/>
      <c r="N311" s="122"/>
      <c r="O311" s="122"/>
      <c r="P311" s="123"/>
      <c r="Q311" s="123"/>
      <c r="R311" s="123"/>
      <c r="S311" s="20"/>
      <c r="T311" s="20"/>
      <c r="U311" s="20"/>
      <c r="V311" s="20"/>
      <c r="W311" s="20"/>
      <c r="X311" s="20"/>
      <c r="Y311" s="20"/>
      <c r="Z311" s="20"/>
      <c r="AA311" s="20"/>
      <c r="AB311" s="20"/>
      <c r="AC311" s="20"/>
    </row>
    <row r="312">
      <c r="A312" s="20"/>
      <c r="B312" s="20"/>
      <c r="C312" s="20"/>
      <c r="D312" s="20"/>
      <c r="E312" s="20"/>
      <c r="F312" s="20"/>
      <c r="G312" s="20"/>
      <c r="H312" s="121"/>
      <c r="I312" s="121"/>
      <c r="J312" s="121"/>
      <c r="K312" s="121"/>
      <c r="L312" s="121"/>
      <c r="M312" s="122"/>
      <c r="N312" s="122"/>
      <c r="O312" s="122"/>
      <c r="P312" s="123"/>
      <c r="Q312" s="123"/>
      <c r="R312" s="123"/>
      <c r="S312" s="20"/>
      <c r="T312" s="20"/>
      <c r="U312" s="20"/>
      <c r="V312" s="20"/>
      <c r="W312" s="20"/>
      <c r="X312" s="20"/>
      <c r="Y312" s="20"/>
      <c r="Z312" s="20"/>
      <c r="AA312" s="20"/>
      <c r="AB312" s="20"/>
      <c r="AC312" s="20"/>
    </row>
    <row r="313">
      <c r="A313" s="20"/>
      <c r="B313" s="20"/>
      <c r="C313" s="20"/>
      <c r="D313" s="20"/>
      <c r="E313" s="20"/>
      <c r="F313" s="20"/>
      <c r="G313" s="20"/>
      <c r="H313" s="121"/>
      <c r="I313" s="121"/>
      <c r="J313" s="121"/>
      <c r="K313" s="121"/>
      <c r="L313" s="121"/>
      <c r="M313" s="122"/>
      <c r="N313" s="122"/>
      <c r="O313" s="122"/>
      <c r="P313" s="123"/>
      <c r="Q313" s="123"/>
      <c r="R313" s="123"/>
      <c r="S313" s="20"/>
      <c r="T313" s="20"/>
      <c r="U313" s="20"/>
      <c r="V313" s="20"/>
      <c r="W313" s="20"/>
      <c r="X313" s="20"/>
      <c r="Y313" s="20"/>
      <c r="Z313" s="20"/>
      <c r="AA313" s="20"/>
      <c r="AB313" s="20"/>
      <c r="AC313" s="20"/>
    </row>
    <row r="314">
      <c r="A314" s="20"/>
      <c r="B314" s="20"/>
      <c r="C314" s="20"/>
      <c r="D314" s="20"/>
      <c r="E314" s="20"/>
      <c r="F314" s="20"/>
      <c r="G314" s="20"/>
      <c r="H314" s="121"/>
      <c r="I314" s="121"/>
      <c r="J314" s="121"/>
      <c r="K314" s="121"/>
      <c r="L314" s="121"/>
      <c r="M314" s="122"/>
      <c r="N314" s="122"/>
      <c r="O314" s="122"/>
      <c r="P314" s="123"/>
      <c r="Q314" s="123"/>
      <c r="R314" s="123"/>
      <c r="S314" s="20"/>
      <c r="T314" s="20"/>
      <c r="U314" s="20"/>
      <c r="V314" s="20"/>
      <c r="W314" s="20"/>
      <c r="X314" s="20"/>
      <c r="Y314" s="20"/>
      <c r="Z314" s="20"/>
      <c r="AA314" s="20"/>
      <c r="AB314" s="20"/>
      <c r="AC314" s="20"/>
    </row>
    <row r="315">
      <c r="A315" s="20"/>
      <c r="B315" s="20"/>
      <c r="C315" s="20"/>
      <c r="D315" s="20"/>
      <c r="E315" s="20"/>
      <c r="F315" s="20"/>
      <c r="G315" s="20"/>
      <c r="H315" s="121"/>
      <c r="I315" s="121"/>
      <c r="J315" s="121"/>
      <c r="K315" s="121"/>
      <c r="L315" s="121"/>
      <c r="M315" s="122"/>
      <c r="N315" s="122"/>
      <c r="O315" s="122"/>
      <c r="P315" s="123"/>
      <c r="Q315" s="123"/>
      <c r="R315" s="123"/>
      <c r="S315" s="20"/>
      <c r="T315" s="20"/>
      <c r="U315" s="20"/>
      <c r="V315" s="20"/>
      <c r="W315" s="20"/>
      <c r="X315" s="20"/>
      <c r="Y315" s="20"/>
      <c r="Z315" s="20"/>
      <c r="AA315" s="20"/>
      <c r="AB315" s="20"/>
      <c r="AC315" s="20"/>
    </row>
    <row r="316">
      <c r="A316" s="20"/>
      <c r="B316" s="20"/>
      <c r="C316" s="20"/>
      <c r="D316" s="20"/>
      <c r="E316" s="20"/>
      <c r="F316" s="20"/>
      <c r="G316" s="20"/>
      <c r="H316" s="121"/>
      <c r="I316" s="121"/>
      <c r="J316" s="121"/>
      <c r="K316" s="121"/>
      <c r="L316" s="121"/>
      <c r="M316" s="122"/>
      <c r="N316" s="122"/>
      <c r="O316" s="122"/>
      <c r="P316" s="123"/>
      <c r="Q316" s="123"/>
      <c r="R316" s="123"/>
      <c r="S316" s="20"/>
      <c r="T316" s="20"/>
      <c r="U316" s="20"/>
      <c r="V316" s="20"/>
      <c r="W316" s="20"/>
      <c r="X316" s="20"/>
      <c r="Y316" s="20"/>
      <c r="Z316" s="20"/>
      <c r="AA316" s="20"/>
      <c r="AB316" s="20"/>
      <c r="AC316" s="20"/>
    </row>
    <row r="317">
      <c r="A317" s="20"/>
      <c r="B317" s="20"/>
      <c r="C317" s="20"/>
      <c r="D317" s="20"/>
      <c r="E317" s="20"/>
      <c r="F317" s="20"/>
      <c r="G317" s="20"/>
      <c r="H317" s="121"/>
      <c r="I317" s="121"/>
      <c r="J317" s="121"/>
      <c r="K317" s="121"/>
      <c r="L317" s="121"/>
      <c r="M317" s="122"/>
      <c r="N317" s="122"/>
      <c r="O317" s="122"/>
      <c r="P317" s="123"/>
      <c r="Q317" s="123"/>
      <c r="R317" s="123"/>
      <c r="S317" s="20"/>
      <c r="T317" s="20"/>
      <c r="U317" s="20"/>
      <c r="V317" s="20"/>
      <c r="W317" s="20"/>
      <c r="X317" s="20"/>
      <c r="Y317" s="20"/>
      <c r="Z317" s="20"/>
      <c r="AA317" s="20"/>
      <c r="AB317" s="20"/>
      <c r="AC317" s="20"/>
    </row>
    <row r="318">
      <c r="A318" s="20"/>
      <c r="B318" s="20"/>
      <c r="C318" s="20"/>
      <c r="D318" s="20"/>
      <c r="E318" s="20"/>
      <c r="F318" s="20"/>
      <c r="G318" s="20"/>
      <c r="H318" s="121"/>
      <c r="I318" s="121"/>
      <c r="J318" s="121"/>
      <c r="K318" s="121"/>
      <c r="L318" s="121"/>
      <c r="M318" s="122"/>
      <c r="N318" s="122"/>
      <c r="O318" s="122"/>
      <c r="P318" s="123"/>
      <c r="Q318" s="123"/>
      <c r="R318" s="123"/>
      <c r="S318" s="20"/>
      <c r="T318" s="20"/>
      <c r="U318" s="20"/>
      <c r="V318" s="20"/>
      <c r="W318" s="20"/>
      <c r="X318" s="20"/>
      <c r="Y318" s="20"/>
      <c r="Z318" s="20"/>
      <c r="AA318" s="20"/>
      <c r="AB318" s="20"/>
      <c r="AC318" s="20"/>
    </row>
    <row r="319">
      <c r="A319" s="20"/>
      <c r="B319" s="20"/>
      <c r="C319" s="20"/>
      <c r="D319" s="20"/>
      <c r="E319" s="20"/>
      <c r="F319" s="20"/>
      <c r="G319" s="20"/>
      <c r="H319" s="121"/>
      <c r="I319" s="121"/>
      <c r="J319" s="121"/>
      <c r="K319" s="121"/>
      <c r="L319" s="121"/>
      <c r="M319" s="122"/>
      <c r="N319" s="122"/>
      <c r="O319" s="122"/>
      <c r="P319" s="123"/>
      <c r="Q319" s="123"/>
      <c r="R319" s="123"/>
      <c r="S319" s="20"/>
      <c r="T319" s="20"/>
      <c r="U319" s="20"/>
      <c r="V319" s="20"/>
      <c r="W319" s="20"/>
      <c r="X319" s="20"/>
      <c r="Y319" s="20"/>
      <c r="Z319" s="20"/>
      <c r="AA319" s="20"/>
      <c r="AB319" s="20"/>
      <c r="AC319" s="20"/>
    </row>
    <row r="320">
      <c r="A320" s="20"/>
      <c r="B320" s="20"/>
      <c r="C320" s="20"/>
      <c r="D320" s="20"/>
      <c r="E320" s="20"/>
      <c r="F320" s="20"/>
      <c r="G320" s="20"/>
      <c r="H320" s="121"/>
      <c r="I320" s="121"/>
      <c r="J320" s="121"/>
      <c r="K320" s="121"/>
      <c r="L320" s="121"/>
      <c r="M320" s="122"/>
      <c r="N320" s="122"/>
      <c r="O320" s="122"/>
      <c r="P320" s="123"/>
      <c r="Q320" s="123"/>
      <c r="R320" s="123"/>
      <c r="S320" s="20"/>
      <c r="T320" s="20"/>
      <c r="U320" s="20"/>
      <c r="V320" s="20"/>
      <c r="W320" s="20"/>
      <c r="X320" s="20"/>
      <c r="Y320" s="20"/>
      <c r="Z320" s="20"/>
      <c r="AA320" s="20"/>
      <c r="AB320" s="20"/>
      <c r="AC320" s="20"/>
    </row>
    <row r="321">
      <c r="A321" s="20"/>
      <c r="B321" s="20"/>
      <c r="C321" s="20"/>
      <c r="D321" s="20"/>
      <c r="E321" s="20"/>
      <c r="F321" s="20"/>
      <c r="G321" s="20"/>
      <c r="H321" s="121"/>
      <c r="I321" s="121"/>
      <c r="J321" s="121"/>
      <c r="K321" s="121"/>
      <c r="L321" s="121"/>
      <c r="M321" s="122"/>
      <c r="N321" s="122"/>
      <c r="O321" s="122"/>
      <c r="P321" s="123"/>
      <c r="Q321" s="123"/>
      <c r="R321" s="123"/>
      <c r="S321" s="20"/>
      <c r="T321" s="20"/>
      <c r="U321" s="20"/>
      <c r="V321" s="20"/>
      <c r="W321" s="20"/>
      <c r="X321" s="20"/>
      <c r="Y321" s="20"/>
      <c r="Z321" s="20"/>
      <c r="AA321" s="20"/>
      <c r="AB321" s="20"/>
      <c r="AC321" s="20"/>
    </row>
    <row r="322">
      <c r="A322" s="20"/>
      <c r="B322" s="20"/>
      <c r="C322" s="20"/>
      <c r="D322" s="20"/>
      <c r="E322" s="20"/>
      <c r="F322" s="20"/>
      <c r="G322" s="20"/>
      <c r="H322" s="121"/>
      <c r="I322" s="121"/>
      <c r="J322" s="121"/>
      <c r="K322" s="121"/>
      <c r="L322" s="121"/>
      <c r="M322" s="122"/>
      <c r="N322" s="122"/>
      <c r="O322" s="122"/>
      <c r="P322" s="123"/>
      <c r="Q322" s="123"/>
      <c r="R322" s="123"/>
      <c r="S322" s="20"/>
      <c r="T322" s="20"/>
      <c r="U322" s="20"/>
      <c r="V322" s="20"/>
      <c r="W322" s="20"/>
      <c r="X322" s="20"/>
      <c r="Y322" s="20"/>
      <c r="Z322" s="20"/>
      <c r="AA322" s="20"/>
      <c r="AB322" s="20"/>
      <c r="AC322" s="20"/>
    </row>
    <row r="323">
      <c r="A323" s="20"/>
      <c r="B323" s="20"/>
      <c r="C323" s="20"/>
      <c r="D323" s="20"/>
      <c r="E323" s="20"/>
      <c r="F323" s="20"/>
      <c r="G323" s="20"/>
      <c r="H323" s="121"/>
      <c r="I323" s="121"/>
      <c r="J323" s="121"/>
      <c r="K323" s="121"/>
      <c r="L323" s="121"/>
      <c r="M323" s="122"/>
      <c r="N323" s="122"/>
      <c r="O323" s="122"/>
      <c r="P323" s="123"/>
      <c r="Q323" s="123"/>
      <c r="R323" s="123"/>
      <c r="S323" s="20"/>
      <c r="T323" s="20"/>
      <c r="U323" s="20"/>
      <c r="V323" s="20"/>
      <c r="W323" s="20"/>
      <c r="X323" s="20"/>
      <c r="Y323" s="20"/>
      <c r="Z323" s="20"/>
      <c r="AA323" s="20"/>
      <c r="AB323" s="20"/>
      <c r="AC323" s="20"/>
    </row>
    <row r="324">
      <c r="A324" s="20"/>
      <c r="B324" s="20"/>
      <c r="C324" s="20"/>
      <c r="D324" s="20"/>
      <c r="E324" s="20"/>
      <c r="F324" s="20"/>
      <c r="G324" s="20"/>
      <c r="H324" s="121"/>
      <c r="I324" s="121"/>
      <c r="J324" s="121"/>
      <c r="K324" s="121"/>
      <c r="L324" s="121"/>
      <c r="M324" s="122"/>
      <c r="N324" s="122"/>
      <c r="O324" s="122"/>
      <c r="P324" s="123"/>
      <c r="Q324" s="123"/>
      <c r="R324" s="123"/>
      <c r="S324" s="20"/>
      <c r="T324" s="20"/>
      <c r="U324" s="20"/>
      <c r="V324" s="20"/>
      <c r="W324" s="20"/>
      <c r="X324" s="20"/>
      <c r="Y324" s="20"/>
      <c r="Z324" s="20"/>
      <c r="AA324" s="20"/>
      <c r="AB324" s="20"/>
      <c r="AC324" s="20"/>
    </row>
    <row r="325">
      <c r="A325" s="20"/>
      <c r="B325" s="20"/>
      <c r="C325" s="20"/>
      <c r="D325" s="20"/>
      <c r="E325" s="20"/>
      <c r="F325" s="20"/>
      <c r="G325" s="20"/>
      <c r="H325" s="121"/>
      <c r="I325" s="121"/>
      <c r="J325" s="121"/>
      <c r="K325" s="121"/>
      <c r="L325" s="121"/>
      <c r="M325" s="122"/>
      <c r="N325" s="122"/>
      <c r="O325" s="122"/>
      <c r="P325" s="123"/>
      <c r="Q325" s="123"/>
      <c r="R325" s="123"/>
      <c r="S325" s="20"/>
      <c r="T325" s="20"/>
      <c r="U325" s="20"/>
      <c r="V325" s="20"/>
      <c r="W325" s="20"/>
      <c r="X325" s="20"/>
      <c r="Y325" s="20"/>
      <c r="Z325" s="20"/>
      <c r="AA325" s="20"/>
      <c r="AB325" s="20"/>
      <c r="AC325" s="20"/>
    </row>
    <row r="326">
      <c r="A326" s="20"/>
      <c r="B326" s="20"/>
      <c r="C326" s="20"/>
      <c r="D326" s="20"/>
      <c r="E326" s="20"/>
      <c r="F326" s="20"/>
      <c r="G326" s="20"/>
      <c r="H326" s="121"/>
      <c r="I326" s="121"/>
      <c r="J326" s="121"/>
      <c r="K326" s="121"/>
      <c r="L326" s="121"/>
      <c r="M326" s="122"/>
      <c r="N326" s="122"/>
      <c r="O326" s="122"/>
      <c r="P326" s="123"/>
      <c r="Q326" s="123"/>
      <c r="R326" s="123"/>
      <c r="S326" s="20"/>
      <c r="T326" s="20"/>
      <c r="U326" s="20"/>
      <c r="V326" s="20"/>
      <c r="W326" s="20"/>
      <c r="X326" s="20"/>
      <c r="Y326" s="20"/>
      <c r="Z326" s="20"/>
      <c r="AA326" s="20"/>
      <c r="AB326" s="20"/>
      <c r="AC326" s="20"/>
    </row>
    <row r="327">
      <c r="A327" s="20"/>
      <c r="B327" s="20"/>
      <c r="C327" s="20"/>
      <c r="D327" s="20"/>
      <c r="E327" s="20"/>
      <c r="F327" s="20"/>
      <c r="G327" s="20"/>
      <c r="H327" s="121"/>
      <c r="I327" s="121"/>
      <c r="J327" s="121"/>
      <c r="K327" s="121"/>
      <c r="L327" s="121"/>
      <c r="M327" s="122"/>
      <c r="N327" s="122"/>
      <c r="O327" s="122"/>
      <c r="P327" s="123"/>
      <c r="Q327" s="123"/>
      <c r="R327" s="123"/>
      <c r="S327" s="20"/>
      <c r="T327" s="20"/>
      <c r="U327" s="20"/>
      <c r="V327" s="20"/>
      <c r="W327" s="20"/>
      <c r="X327" s="20"/>
      <c r="Y327" s="20"/>
      <c r="Z327" s="20"/>
      <c r="AA327" s="20"/>
      <c r="AB327" s="20"/>
      <c r="AC327" s="20"/>
    </row>
    <row r="328">
      <c r="A328" s="20"/>
      <c r="B328" s="20"/>
      <c r="C328" s="20"/>
      <c r="D328" s="20"/>
      <c r="E328" s="20"/>
      <c r="F328" s="20"/>
      <c r="G328" s="20"/>
      <c r="H328" s="121"/>
      <c r="I328" s="121"/>
      <c r="J328" s="121"/>
      <c r="K328" s="121"/>
      <c r="L328" s="121"/>
      <c r="M328" s="122"/>
      <c r="N328" s="122"/>
      <c r="O328" s="122"/>
      <c r="P328" s="123"/>
      <c r="Q328" s="123"/>
      <c r="R328" s="123"/>
      <c r="S328" s="20"/>
      <c r="T328" s="20"/>
      <c r="U328" s="20"/>
      <c r="V328" s="20"/>
      <c r="W328" s="20"/>
      <c r="X328" s="20"/>
      <c r="Y328" s="20"/>
      <c r="Z328" s="20"/>
      <c r="AA328" s="20"/>
      <c r="AB328" s="20"/>
      <c r="AC328" s="20"/>
    </row>
    <row r="329">
      <c r="A329" s="20"/>
      <c r="B329" s="20"/>
      <c r="C329" s="20"/>
      <c r="D329" s="20"/>
      <c r="E329" s="20"/>
      <c r="F329" s="20"/>
      <c r="G329" s="20"/>
      <c r="H329" s="121"/>
      <c r="I329" s="121"/>
      <c r="J329" s="121"/>
      <c r="K329" s="121"/>
      <c r="L329" s="121"/>
      <c r="M329" s="122"/>
      <c r="N329" s="122"/>
      <c r="O329" s="122"/>
      <c r="P329" s="123"/>
      <c r="Q329" s="123"/>
      <c r="R329" s="123"/>
      <c r="S329" s="20"/>
      <c r="T329" s="20"/>
      <c r="U329" s="20"/>
      <c r="V329" s="20"/>
      <c r="W329" s="20"/>
      <c r="X329" s="20"/>
      <c r="Y329" s="20"/>
      <c r="Z329" s="20"/>
      <c r="AA329" s="20"/>
      <c r="AB329" s="20"/>
      <c r="AC329" s="20"/>
    </row>
    <row r="330">
      <c r="A330" s="20"/>
      <c r="B330" s="20"/>
      <c r="C330" s="20"/>
      <c r="D330" s="20"/>
      <c r="E330" s="20"/>
      <c r="F330" s="20"/>
      <c r="G330" s="20"/>
      <c r="H330" s="121"/>
      <c r="I330" s="121"/>
      <c r="J330" s="121"/>
      <c r="K330" s="121"/>
      <c r="L330" s="121"/>
      <c r="M330" s="122"/>
      <c r="N330" s="122"/>
      <c r="O330" s="122"/>
      <c r="P330" s="123"/>
      <c r="Q330" s="123"/>
      <c r="R330" s="123"/>
      <c r="S330" s="20"/>
      <c r="T330" s="20"/>
      <c r="U330" s="20"/>
      <c r="V330" s="20"/>
      <c r="W330" s="20"/>
      <c r="X330" s="20"/>
      <c r="Y330" s="20"/>
      <c r="Z330" s="20"/>
      <c r="AA330" s="20"/>
      <c r="AB330" s="20"/>
      <c r="AC330" s="20"/>
    </row>
    <row r="331">
      <c r="A331" s="20"/>
      <c r="B331" s="20"/>
      <c r="C331" s="20"/>
      <c r="D331" s="20"/>
      <c r="E331" s="20"/>
      <c r="F331" s="20"/>
      <c r="G331" s="20"/>
      <c r="H331" s="121"/>
      <c r="I331" s="121"/>
      <c r="J331" s="121"/>
      <c r="K331" s="121"/>
      <c r="L331" s="121"/>
      <c r="M331" s="122"/>
      <c r="N331" s="122"/>
      <c r="O331" s="122"/>
      <c r="P331" s="123"/>
      <c r="Q331" s="123"/>
      <c r="R331" s="123"/>
      <c r="S331" s="20"/>
      <c r="T331" s="20"/>
      <c r="U331" s="20"/>
      <c r="V331" s="20"/>
      <c r="W331" s="20"/>
      <c r="X331" s="20"/>
      <c r="Y331" s="20"/>
      <c r="Z331" s="20"/>
      <c r="AA331" s="20"/>
      <c r="AB331" s="20"/>
      <c r="AC331" s="20"/>
    </row>
    <row r="332">
      <c r="A332" s="20"/>
      <c r="B332" s="20"/>
      <c r="C332" s="20"/>
      <c r="D332" s="20"/>
      <c r="E332" s="20"/>
      <c r="F332" s="20"/>
      <c r="G332" s="20"/>
      <c r="H332" s="121"/>
      <c r="I332" s="121"/>
      <c r="J332" s="121"/>
      <c r="K332" s="121"/>
      <c r="L332" s="121"/>
      <c r="M332" s="122"/>
      <c r="N332" s="122"/>
      <c r="O332" s="122"/>
      <c r="P332" s="123"/>
      <c r="Q332" s="123"/>
      <c r="R332" s="123"/>
      <c r="S332" s="20"/>
      <c r="T332" s="20"/>
      <c r="U332" s="20"/>
      <c r="V332" s="20"/>
      <c r="W332" s="20"/>
      <c r="X332" s="20"/>
      <c r="Y332" s="20"/>
      <c r="Z332" s="20"/>
      <c r="AA332" s="20"/>
      <c r="AB332" s="20"/>
      <c r="AC332" s="20"/>
    </row>
    <row r="333">
      <c r="A333" s="20"/>
      <c r="B333" s="20"/>
      <c r="C333" s="20"/>
      <c r="D333" s="20"/>
      <c r="E333" s="20"/>
      <c r="F333" s="20"/>
      <c r="G333" s="20"/>
      <c r="H333" s="121"/>
      <c r="I333" s="121"/>
      <c r="J333" s="121"/>
      <c r="K333" s="121"/>
      <c r="L333" s="121"/>
      <c r="M333" s="122"/>
      <c r="N333" s="122"/>
      <c r="O333" s="122"/>
      <c r="P333" s="123"/>
      <c r="Q333" s="123"/>
      <c r="R333" s="123"/>
      <c r="S333" s="20"/>
      <c r="T333" s="20"/>
      <c r="U333" s="20"/>
      <c r="V333" s="20"/>
      <c r="W333" s="20"/>
      <c r="X333" s="20"/>
      <c r="Y333" s="20"/>
      <c r="Z333" s="20"/>
      <c r="AA333" s="20"/>
      <c r="AB333" s="20"/>
      <c r="AC333" s="20"/>
    </row>
    <row r="334">
      <c r="A334" s="20"/>
      <c r="B334" s="20"/>
      <c r="C334" s="20"/>
      <c r="D334" s="20"/>
      <c r="E334" s="20"/>
      <c r="F334" s="20"/>
      <c r="G334" s="20"/>
      <c r="H334" s="121"/>
      <c r="I334" s="121"/>
      <c r="J334" s="121"/>
      <c r="K334" s="121"/>
      <c r="L334" s="121"/>
      <c r="M334" s="122"/>
      <c r="N334" s="122"/>
      <c r="O334" s="122"/>
      <c r="P334" s="123"/>
      <c r="Q334" s="123"/>
      <c r="R334" s="123"/>
      <c r="S334" s="20"/>
      <c r="T334" s="20"/>
      <c r="U334" s="20"/>
      <c r="V334" s="20"/>
      <c r="W334" s="20"/>
      <c r="X334" s="20"/>
      <c r="Y334" s="20"/>
      <c r="Z334" s="20"/>
      <c r="AA334" s="20"/>
      <c r="AB334" s="20"/>
      <c r="AC334" s="20"/>
    </row>
    <row r="335">
      <c r="A335" s="20"/>
      <c r="B335" s="20"/>
      <c r="C335" s="20"/>
      <c r="D335" s="20"/>
      <c r="E335" s="20"/>
      <c r="F335" s="20"/>
      <c r="G335" s="20"/>
      <c r="H335" s="121"/>
      <c r="I335" s="121"/>
      <c r="J335" s="121"/>
      <c r="K335" s="121"/>
      <c r="L335" s="121"/>
      <c r="M335" s="122"/>
      <c r="N335" s="122"/>
      <c r="O335" s="122"/>
      <c r="P335" s="123"/>
      <c r="Q335" s="123"/>
      <c r="R335" s="123"/>
      <c r="S335" s="20"/>
      <c r="T335" s="20"/>
      <c r="U335" s="20"/>
      <c r="V335" s="20"/>
      <c r="W335" s="20"/>
      <c r="X335" s="20"/>
      <c r="Y335" s="20"/>
      <c r="Z335" s="20"/>
      <c r="AA335" s="20"/>
      <c r="AB335" s="20"/>
      <c r="AC335" s="20"/>
    </row>
    <row r="336">
      <c r="A336" s="20"/>
      <c r="B336" s="20"/>
      <c r="C336" s="20"/>
      <c r="D336" s="20"/>
      <c r="E336" s="20"/>
      <c r="F336" s="20"/>
      <c r="G336" s="20"/>
      <c r="H336" s="121"/>
      <c r="I336" s="121"/>
      <c r="J336" s="121"/>
      <c r="K336" s="121"/>
      <c r="L336" s="121"/>
      <c r="M336" s="122"/>
      <c r="N336" s="122"/>
      <c r="O336" s="122"/>
      <c r="P336" s="123"/>
      <c r="Q336" s="123"/>
      <c r="R336" s="123"/>
      <c r="S336" s="20"/>
      <c r="T336" s="20"/>
      <c r="U336" s="20"/>
      <c r="V336" s="20"/>
      <c r="W336" s="20"/>
      <c r="X336" s="20"/>
      <c r="Y336" s="20"/>
      <c r="Z336" s="20"/>
      <c r="AA336" s="20"/>
      <c r="AB336" s="20"/>
      <c r="AC336" s="20"/>
    </row>
    <row r="337">
      <c r="A337" s="20"/>
      <c r="B337" s="20"/>
      <c r="C337" s="20"/>
      <c r="D337" s="20"/>
      <c r="E337" s="20"/>
      <c r="F337" s="20"/>
      <c r="G337" s="20"/>
      <c r="H337" s="121"/>
      <c r="I337" s="121"/>
      <c r="J337" s="121"/>
      <c r="K337" s="121"/>
      <c r="L337" s="121"/>
      <c r="M337" s="122"/>
      <c r="N337" s="122"/>
      <c r="O337" s="122"/>
      <c r="P337" s="123"/>
      <c r="Q337" s="123"/>
      <c r="R337" s="123"/>
      <c r="S337" s="20"/>
      <c r="T337" s="20"/>
      <c r="U337" s="20"/>
      <c r="V337" s="20"/>
      <c r="W337" s="20"/>
      <c r="X337" s="20"/>
      <c r="Y337" s="20"/>
      <c r="Z337" s="20"/>
      <c r="AA337" s="20"/>
      <c r="AB337" s="20"/>
      <c r="AC337" s="20"/>
    </row>
    <row r="338">
      <c r="A338" s="20"/>
      <c r="B338" s="20"/>
      <c r="C338" s="20"/>
      <c r="D338" s="20"/>
      <c r="E338" s="20"/>
      <c r="F338" s="20"/>
      <c r="G338" s="20"/>
      <c r="H338" s="121"/>
      <c r="I338" s="121"/>
      <c r="J338" s="121"/>
      <c r="K338" s="121"/>
      <c r="L338" s="121"/>
      <c r="M338" s="122"/>
      <c r="N338" s="122"/>
      <c r="O338" s="122"/>
      <c r="P338" s="123"/>
      <c r="Q338" s="123"/>
      <c r="R338" s="123"/>
      <c r="S338" s="20"/>
      <c r="T338" s="20"/>
      <c r="U338" s="20"/>
      <c r="V338" s="20"/>
      <c r="W338" s="20"/>
      <c r="X338" s="20"/>
      <c r="Y338" s="20"/>
      <c r="Z338" s="20"/>
      <c r="AA338" s="20"/>
      <c r="AB338" s="20"/>
      <c r="AC338" s="20"/>
    </row>
    <row r="339">
      <c r="A339" s="20"/>
      <c r="B339" s="20"/>
      <c r="C339" s="20"/>
      <c r="D339" s="20"/>
      <c r="E339" s="20"/>
      <c r="F339" s="20"/>
      <c r="G339" s="20"/>
      <c r="H339" s="121"/>
      <c r="I339" s="121"/>
      <c r="J339" s="121"/>
      <c r="K339" s="121"/>
      <c r="L339" s="121"/>
      <c r="M339" s="122"/>
      <c r="N339" s="122"/>
      <c r="O339" s="122"/>
      <c r="P339" s="123"/>
      <c r="Q339" s="123"/>
      <c r="R339" s="123"/>
      <c r="S339" s="20"/>
      <c r="T339" s="20"/>
      <c r="U339" s="20"/>
      <c r="V339" s="20"/>
      <c r="W339" s="20"/>
      <c r="X339" s="20"/>
      <c r="Y339" s="20"/>
      <c r="Z339" s="20"/>
      <c r="AA339" s="20"/>
      <c r="AB339" s="20"/>
      <c r="AC339" s="20"/>
    </row>
    <row r="340">
      <c r="A340" s="20"/>
      <c r="B340" s="20"/>
      <c r="C340" s="20"/>
      <c r="D340" s="20"/>
      <c r="E340" s="20"/>
      <c r="F340" s="20"/>
      <c r="G340" s="20"/>
      <c r="H340" s="121"/>
      <c r="I340" s="121"/>
      <c r="J340" s="121"/>
      <c r="K340" s="121"/>
      <c r="L340" s="121"/>
      <c r="M340" s="122"/>
      <c r="N340" s="122"/>
      <c r="O340" s="122"/>
      <c r="P340" s="123"/>
      <c r="Q340" s="123"/>
      <c r="R340" s="123"/>
      <c r="S340" s="20"/>
      <c r="T340" s="20"/>
      <c r="U340" s="20"/>
      <c r="V340" s="20"/>
      <c r="W340" s="20"/>
      <c r="X340" s="20"/>
      <c r="Y340" s="20"/>
      <c r="Z340" s="20"/>
      <c r="AA340" s="20"/>
      <c r="AB340" s="20"/>
      <c r="AC340" s="20"/>
    </row>
    <row r="341">
      <c r="A341" s="20"/>
      <c r="B341" s="20"/>
      <c r="C341" s="20"/>
      <c r="D341" s="20"/>
      <c r="E341" s="20"/>
      <c r="F341" s="20"/>
      <c r="G341" s="20"/>
      <c r="H341" s="121"/>
      <c r="I341" s="121"/>
      <c r="J341" s="121"/>
      <c r="K341" s="121"/>
      <c r="L341" s="121"/>
      <c r="M341" s="122"/>
      <c r="N341" s="122"/>
      <c r="O341" s="122"/>
      <c r="P341" s="123"/>
      <c r="Q341" s="123"/>
      <c r="R341" s="123"/>
      <c r="S341" s="20"/>
      <c r="T341" s="20"/>
      <c r="U341" s="20"/>
      <c r="V341" s="20"/>
      <c r="W341" s="20"/>
      <c r="X341" s="20"/>
      <c r="Y341" s="20"/>
      <c r="Z341" s="20"/>
      <c r="AA341" s="20"/>
      <c r="AB341" s="20"/>
      <c r="AC341" s="20"/>
    </row>
    <row r="342">
      <c r="A342" s="20"/>
      <c r="B342" s="20"/>
      <c r="C342" s="20"/>
      <c r="D342" s="20"/>
      <c r="E342" s="20"/>
      <c r="F342" s="20"/>
      <c r="G342" s="20"/>
      <c r="H342" s="121"/>
      <c r="I342" s="121"/>
      <c r="J342" s="121"/>
      <c r="K342" s="121"/>
      <c r="L342" s="121"/>
      <c r="M342" s="122"/>
      <c r="N342" s="122"/>
      <c r="O342" s="122"/>
      <c r="P342" s="123"/>
      <c r="Q342" s="123"/>
      <c r="R342" s="123"/>
      <c r="S342" s="20"/>
      <c r="T342" s="20"/>
      <c r="U342" s="20"/>
      <c r="V342" s="20"/>
      <c r="W342" s="20"/>
      <c r="X342" s="20"/>
      <c r="Y342" s="20"/>
      <c r="Z342" s="20"/>
      <c r="AA342" s="20"/>
      <c r="AB342" s="20"/>
      <c r="AC342" s="20"/>
    </row>
    <row r="343">
      <c r="A343" s="20"/>
      <c r="B343" s="20"/>
      <c r="C343" s="20"/>
      <c r="D343" s="20"/>
      <c r="E343" s="20"/>
      <c r="F343" s="20"/>
      <c r="G343" s="20"/>
      <c r="H343" s="121"/>
      <c r="I343" s="121"/>
      <c r="J343" s="121"/>
      <c r="K343" s="121"/>
      <c r="L343" s="121"/>
      <c r="M343" s="122"/>
      <c r="N343" s="122"/>
      <c r="O343" s="122"/>
      <c r="P343" s="123"/>
      <c r="Q343" s="123"/>
      <c r="R343" s="123"/>
      <c r="S343" s="20"/>
      <c r="T343" s="20"/>
      <c r="U343" s="20"/>
      <c r="V343" s="20"/>
      <c r="W343" s="20"/>
      <c r="X343" s="20"/>
      <c r="Y343" s="20"/>
      <c r="Z343" s="20"/>
      <c r="AA343" s="20"/>
      <c r="AB343" s="20"/>
      <c r="AC343" s="20"/>
    </row>
    <row r="344">
      <c r="A344" s="20"/>
      <c r="B344" s="20"/>
      <c r="C344" s="20"/>
      <c r="D344" s="20"/>
      <c r="E344" s="20"/>
      <c r="F344" s="20"/>
      <c r="G344" s="20"/>
      <c r="H344" s="121"/>
      <c r="I344" s="121"/>
      <c r="J344" s="121"/>
      <c r="K344" s="121"/>
      <c r="L344" s="121"/>
      <c r="M344" s="122"/>
      <c r="N344" s="122"/>
      <c r="O344" s="122"/>
      <c r="P344" s="123"/>
      <c r="Q344" s="123"/>
      <c r="R344" s="123"/>
      <c r="S344" s="20"/>
      <c r="T344" s="20"/>
      <c r="U344" s="20"/>
      <c r="V344" s="20"/>
      <c r="W344" s="20"/>
      <c r="X344" s="20"/>
      <c r="Y344" s="20"/>
      <c r="Z344" s="20"/>
      <c r="AA344" s="20"/>
      <c r="AB344" s="20"/>
      <c r="AC344" s="20"/>
    </row>
    <row r="345">
      <c r="A345" s="20"/>
      <c r="B345" s="20"/>
      <c r="C345" s="20"/>
      <c r="D345" s="20"/>
      <c r="E345" s="20"/>
      <c r="F345" s="20"/>
      <c r="G345" s="20"/>
      <c r="H345" s="121"/>
      <c r="I345" s="121"/>
      <c r="J345" s="121"/>
      <c r="K345" s="121"/>
      <c r="L345" s="121"/>
      <c r="M345" s="122"/>
      <c r="N345" s="122"/>
      <c r="O345" s="122"/>
      <c r="P345" s="123"/>
      <c r="Q345" s="123"/>
      <c r="R345" s="123"/>
      <c r="S345" s="20"/>
      <c r="T345" s="20"/>
      <c r="U345" s="20"/>
      <c r="V345" s="20"/>
      <c r="W345" s="20"/>
      <c r="X345" s="20"/>
      <c r="Y345" s="20"/>
      <c r="Z345" s="20"/>
      <c r="AA345" s="20"/>
      <c r="AB345" s="20"/>
      <c r="AC345" s="20"/>
    </row>
    <row r="346">
      <c r="A346" s="20"/>
      <c r="B346" s="20"/>
      <c r="C346" s="20"/>
      <c r="D346" s="20"/>
      <c r="E346" s="20"/>
      <c r="F346" s="20"/>
      <c r="G346" s="20"/>
      <c r="H346" s="121"/>
      <c r="I346" s="121"/>
      <c r="J346" s="121"/>
      <c r="K346" s="121"/>
      <c r="L346" s="121"/>
      <c r="M346" s="122"/>
      <c r="N346" s="122"/>
      <c r="O346" s="122"/>
      <c r="P346" s="123"/>
      <c r="Q346" s="123"/>
      <c r="R346" s="123"/>
      <c r="S346" s="20"/>
      <c r="T346" s="20"/>
      <c r="U346" s="20"/>
      <c r="V346" s="20"/>
      <c r="W346" s="20"/>
      <c r="X346" s="20"/>
      <c r="Y346" s="20"/>
      <c r="Z346" s="20"/>
      <c r="AA346" s="20"/>
      <c r="AB346" s="20"/>
      <c r="AC346" s="20"/>
    </row>
    <row r="347">
      <c r="A347" s="20"/>
      <c r="B347" s="20"/>
      <c r="C347" s="20"/>
      <c r="D347" s="20"/>
      <c r="E347" s="20"/>
      <c r="F347" s="20"/>
      <c r="G347" s="20"/>
      <c r="H347" s="121"/>
      <c r="I347" s="121"/>
      <c r="J347" s="121"/>
      <c r="K347" s="121"/>
      <c r="L347" s="121"/>
      <c r="M347" s="122"/>
      <c r="N347" s="122"/>
      <c r="O347" s="122"/>
      <c r="P347" s="123"/>
      <c r="Q347" s="123"/>
      <c r="R347" s="123"/>
      <c r="S347" s="20"/>
      <c r="T347" s="20"/>
      <c r="U347" s="20"/>
      <c r="V347" s="20"/>
      <c r="W347" s="20"/>
      <c r="X347" s="20"/>
      <c r="Y347" s="20"/>
      <c r="Z347" s="20"/>
      <c r="AA347" s="20"/>
      <c r="AB347" s="20"/>
      <c r="AC347" s="20"/>
    </row>
    <row r="348">
      <c r="A348" s="20"/>
      <c r="B348" s="20"/>
      <c r="C348" s="20"/>
      <c r="D348" s="20"/>
      <c r="E348" s="20"/>
      <c r="F348" s="20"/>
      <c r="G348" s="20"/>
      <c r="H348" s="121"/>
      <c r="I348" s="121"/>
      <c r="J348" s="121"/>
      <c r="K348" s="121"/>
      <c r="L348" s="121"/>
      <c r="M348" s="122"/>
      <c r="N348" s="122"/>
      <c r="O348" s="122"/>
      <c r="P348" s="123"/>
      <c r="Q348" s="123"/>
      <c r="R348" s="123"/>
      <c r="S348" s="20"/>
      <c r="T348" s="20"/>
      <c r="U348" s="20"/>
      <c r="V348" s="20"/>
      <c r="W348" s="20"/>
      <c r="X348" s="20"/>
      <c r="Y348" s="20"/>
      <c r="Z348" s="20"/>
      <c r="AA348" s="20"/>
      <c r="AB348" s="20"/>
      <c r="AC348" s="20"/>
    </row>
    <row r="349">
      <c r="A349" s="20"/>
      <c r="B349" s="20"/>
      <c r="C349" s="20"/>
      <c r="D349" s="20"/>
      <c r="E349" s="20"/>
      <c r="F349" s="20"/>
      <c r="G349" s="20"/>
      <c r="H349" s="121"/>
      <c r="I349" s="121"/>
      <c r="J349" s="121"/>
      <c r="K349" s="121"/>
      <c r="L349" s="121"/>
      <c r="M349" s="122"/>
      <c r="N349" s="122"/>
      <c r="O349" s="122"/>
      <c r="P349" s="123"/>
      <c r="Q349" s="123"/>
      <c r="R349" s="123"/>
      <c r="S349" s="20"/>
      <c r="T349" s="20"/>
      <c r="U349" s="20"/>
      <c r="V349" s="20"/>
      <c r="W349" s="20"/>
      <c r="X349" s="20"/>
      <c r="Y349" s="20"/>
      <c r="Z349" s="20"/>
      <c r="AA349" s="20"/>
      <c r="AB349" s="20"/>
      <c r="AC349" s="20"/>
    </row>
    <row r="350">
      <c r="A350" s="20"/>
      <c r="B350" s="20"/>
      <c r="C350" s="20"/>
      <c r="D350" s="20"/>
      <c r="E350" s="20"/>
      <c r="F350" s="20"/>
      <c r="G350" s="20"/>
      <c r="H350" s="121"/>
      <c r="I350" s="121"/>
      <c r="J350" s="121"/>
      <c r="K350" s="121"/>
      <c r="L350" s="121"/>
      <c r="M350" s="122"/>
      <c r="N350" s="122"/>
      <c r="O350" s="122"/>
      <c r="P350" s="123"/>
      <c r="Q350" s="123"/>
      <c r="R350" s="123"/>
      <c r="S350" s="20"/>
      <c r="T350" s="20"/>
      <c r="U350" s="20"/>
      <c r="V350" s="20"/>
      <c r="W350" s="20"/>
      <c r="X350" s="20"/>
      <c r="Y350" s="20"/>
      <c r="Z350" s="20"/>
      <c r="AA350" s="20"/>
      <c r="AB350" s="20"/>
      <c r="AC350" s="20"/>
    </row>
    <row r="351">
      <c r="A351" s="20"/>
      <c r="B351" s="20"/>
      <c r="C351" s="20"/>
      <c r="D351" s="20"/>
      <c r="E351" s="20"/>
      <c r="F351" s="20"/>
      <c r="G351" s="20"/>
      <c r="H351" s="121"/>
      <c r="I351" s="121"/>
      <c r="J351" s="121"/>
      <c r="K351" s="121"/>
      <c r="L351" s="121"/>
      <c r="M351" s="122"/>
      <c r="N351" s="122"/>
      <c r="O351" s="122"/>
      <c r="P351" s="123"/>
      <c r="Q351" s="123"/>
      <c r="R351" s="123"/>
      <c r="S351" s="20"/>
      <c r="T351" s="20"/>
      <c r="U351" s="20"/>
      <c r="V351" s="20"/>
      <c r="W351" s="20"/>
      <c r="X351" s="20"/>
      <c r="Y351" s="20"/>
      <c r="Z351" s="20"/>
      <c r="AA351" s="20"/>
      <c r="AB351" s="20"/>
      <c r="AC351" s="20"/>
    </row>
    <row r="352">
      <c r="A352" s="20"/>
      <c r="B352" s="20"/>
      <c r="C352" s="20"/>
      <c r="D352" s="20"/>
      <c r="E352" s="20"/>
      <c r="F352" s="20"/>
      <c r="G352" s="20"/>
      <c r="H352" s="121"/>
      <c r="I352" s="121"/>
      <c r="J352" s="121"/>
      <c r="K352" s="121"/>
      <c r="L352" s="121"/>
      <c r="M352" s="122"/>
      <c r="N352" s="122"/>
      <c r="O352" s="122"/>
      <c r="P352" s="123"/>
      <c r="Q352" s="123"/>
      <c r="R352" s="123"/>
      <c r="S352" s="20"/>
      <c r="T352" s="20"/>
      <c r="U352" s="20"/>
      <c r="V352" s="20"/>
      <c r="W352" s="20"/>
      <c r="X352" s="20"/>
      <c r="Y352" s="20"/>
      <c r="Z352" s="20"/>
      <c r="AA352" s="20"/>
      <c r="AB352" s="20"/>
      <c r="AC352" s="20"/>
    </row>
    <row r="353">
      <c r="A353" s="20"/>
      <c r="B353" s="20"/>
      <c r="C353" s="20"/>
      <c r="D353" s="20"/>
      <c r="E353" s="20"/>
      <c r="F353" s="20"/>
      <c r="G353" s="20"/>
      <c r="H353" s="121"/>
      <c r="I353" s="121"/>
      <c r="J353" s="121"/>
      <c r="K353" s="121"/>
      <c r="L353" s="121"/>
      <c r="M353" s="122"/>
      <c r="N353" s="122"/>
      <c r="O353" s="122"/>
      <c r="P353" s="123"/>
      <c r="Q353" s="123"/>
      <c r="R353" s="123"/>
      <c r="S353" s="20"/>
      <c r="T353" s="20"/>
      <c r="U353" s="20"/>
      <c r="V353" s="20"/>
      <c r="W353" s="20"/>
      <c r="X353" s="20"/>
      <c r="Y353" s="20"/>
      <c r="Z353" s="20"/>
      <c r="AA353" s="20"/>
      <c r="AB353" s="20"/>
      <c r="AC353" s="20"/>
    </row>
    <row r="354">
      <c r="A354" s="20"/>
      <c r="B354" s="20"/>
      <c r="C354" s="20"/>
      <c r="D354" s="20"/>
      <c r="E354" s="20"/>
      <c r="F354" s="20"/>
      <c r="G354" s="20"/>
      <c r="H354" s="121"/>
      <c r="I354" s="121"/>
      <c r="J354" s="121"/>
      <c r="K354" s="121"/>
      <c r="L354" s="121"/>
      <c r="M354" s="122"/>
      <c r="N354" s="122"/>
      <c r="O354" s="122"/>
      <c r="P354" s="123"/>
      <c r="Q354" s="123"/>
      <c r="R354" s="123"/>
      <c r="S354" s="20"/>
      <c r="T354" s="20"/>
      <c r="U354" s="20"/>
      <c r="V354" s="20"/>
      <c r="W354" s="20"/>
      <c r="X354" s="20"/>
      <c r="Y354" s="20"/>
      <c r="Z354" s="20"/>
      <c r="AA354" s="20"/>
      <c r="AB354" s="20"/>
      <c r="AC354" s="20"/>
    </row>
    <row r="355">
      <c r="A355" s="20"/>
      <c r="B355" s="20"/>
      <c r="C355" s="20"/>
      <c r="D355" s="20"/>
      <c r="E355" s="20"/>
      <c r="F355" s="20"/>
      <c r="G355" s="20"/>
      <c r="H355" s="121"/>
      <c r="I355" s="121"/>
      <c r="J355" s="121"/>
      <c r="K355" s="121"/>
      <c r="L355" s="121"/>
      <c r="M355" s="122"/>
      <c r="N355" s="122"/>
      <c r="O355" s="122"/>
      <c r="P355" s="123"/>
      <c r="Q355" s="123"/>
      <c r="R355" s="123"/>
      <c r="S355" s="20"/>
      <c r="T355" s="20"/>
      <c r="U355" s="20"/>
      <c r="V355" s="20"/>
      <c r="W355" s="20"/>
      <c r="X355" s="20"/>
      <c r="Y355" s="20"/>
      <c r="Z355" s="20"/>
      <c r="AA355" s="20"/>
      <c r="AB355" s="20"/>
      <c r="AC355" s="20"/>
    </row>
    <row r="356">
      <c r="A356" s="20"/>
      <c r="B356" s="20"/>
      <c r="C356" s="20"/>
      <c r="D356" s="20"/>
      <c r="E356" s="20"/>
      <c r="F356" s="20"/>
      <c r="G356" s="20"/>
      <c r="H356" s="121"/>
      <c r="I356" s="121"/>
      <c r="J356" s="121"/>
      <c r="K356" s="121"/>
      <c r="L356" s="121"/>
      <c r="M356" s="122"/>
      <c r="N356" s="122"/>
      <c r="O356" s="122"/>
      <c r="P356" s="123"/>
      <c r="Q356" s="123"/>
      <c r="R356" s="123"/>
      <c r="S356" s="20"/>
      <c r="T356" s="20"/>
      <c r="U356" s="20"/>
      <c r="V356" s="20"/>
      <c r="W356" s="20"/>
      <c r="X356" s="20"/>
      <c r="Y356" s="20"/>
      <c r="Z356" s="20"/>
      <c r="AA356" s="20"/>
      <c r="AB356" s="20"/>
      <c r="AC356" s="20"/>
    </row>
    <row r="357">
      <c r="A357" s="20"/>
      <c r="B357" s="20"/>
      <c r="C357" s="20"/>
      <c r="D357" s="20"/>
      <c r="E357" s="20"/>
      <c r="F357" s="20"/>
      <c r="G357" s="20"/>
      <c r="H357" s="121"/>
      <c r="I357" s="121"/>
      <c r="J357" s="121"/>
      <c r="K357" s="121"/>
      <c r="L357" s="121"/>
      <c r="M357" s="122"/>
      <c r="N357" s="122"/>
      <c r="O357" s="122"/>
      <c r="P357" s="123"/>
      <c r="Q357" s="123"/>
      <c r="R357" s="123"/>
      <c r="S357" s="20"/>
      <c r="T357" s="20"/>
      <c r="U357" s="20"/>
      <c r="V357" s="20"/>
      <c r="W357" s="20"/>
      <c r="X357" s="20"/>
      <c r="Y357" s="20"/>
      <c r="Z357" s="20"/>
      <c r="AA357" s="20"/>
      <c r="AB357" s="20"/>
      <c r="AC357" s="20"/>
    </row>
    <row r="358">
      <c r="A358" s="20"/>
      <c r="B358" s="20"/>
      <c r="C358" s="20"/>
      <c r="D358" s="20"/>
      <c r="E358" s="20"/>
      <c r="F358" s="20"/>
      <c r="G358" s="20"/>
      <c r="H358" s="121"/>
      <c r="I358" s="121"/>
      <c r="J358" s="121"/>
      <c r="K358" s="121"/>
      <c r="L358" s="121"/>
      <c r="M358" s="122"/>
      <c r="N358" s="122"/>
      <c r="O358" s="122"/>
      <c r="P358" s="123"/>
      <c r="Q358" s="123"/>
      <c r="R358" s="123"/>
      <c r="S358" s="20"/>
      <c r="T358" s="20"/>
      <c r="U358" s="20"/>
      <c r="V358" s="20"/>
      <c r="W358" s="20"/>
      <c r="X358" s="20"/>
      <c r="Y358" s="20"/>
      <c r="Z358" s="20"/>
      <c r="AA358" s="20"/>
      <c r="AB358" s="20"/>
      <c r="AC358" s="20"/>
    </row>
    <row r="359">
      <c r="A359" s="20"/>
      <c r="B359" s="20"/>
      <c r="C359" s="20"/>
      <c r="D359" s="20"/>
      <c r="E359" s="20"/>
      <c r="F359" s="20"/>
      <c r="G359" s="20"/>
      <c r="H359" s="121"/>
      <c r="I359" s="121"/>
      <c r="J359" s="121"/>
      <c r="K359" s="121"/>
      <c r="L359" s="121"/>
      <c r="M359" s="122"/>
      <c r="N359" s="122"/>
      <c r="O359" s="122"/>
      <c r="P359" s="123"/>
      <c r="Q359" s="123"/>
      <c r="R359" s="123"/>
      <c r="S359" s="20"/>
      <c r="T359" s="20"/>
      <c r="U359" s="20"/>
      <c r="V359" s="20"/>
      <c r="W359" s="20"/>
      <c r="X359" s="20"/>
      <c r="Y359" s="20"/>
      <c r="Z359" s="20"/>
      <c r="AA359" s="20"/>
      <c r="AB359" s="20"/>
      <c r="AC359" s="20"/>
    </row>
    <row r="360">
      <c r="A360" s="20"/>
      <c r="B360" s="20"/>
      <c r="C360" s="20"/>
      <c r="D360" s="20"/>
      <c r="E360" s="20"/>
      <c r="F360" s="20"/>
      <c r="G360" s="20"/>
      <c r="H360" s="121"/>
      <c r="I360" s="121"/>
      <c r="J360" s="121"/>
      <c r="K360" s="121"/>
      <c r="L360" s="121"/>
      <c r="M360" s="122"/>
      <c r="N360" s="122"/>
      <c r="O360" s="122"/>
      <c r="P360" s="123"/>
      <c r="Q360" s="123"/>
      <c r="R360" s="123"/>
      <c r="S360" s="20"/>
      <c r="T360" s="20"/>
      <c r="U360" s="20"/>
      <c r="V360" s="20"/>
      <c r="W360" s="20"/>
      <c r="X360" s="20"/>
      <c r="Y360" s="20"/>
      <c r="Z360" s="20"/>
      <c r="AA360" s="20"/>
      <c r="AB360" s="20"/>
      <c r="AC360" s="20"/>
    </row>
    <row r="361">
      <c r="A361" s="20"/>
      <c r="B361" s="20"/>
      <c r="C361" s="20"/>
      <c r="D361" s="20"/>
      <c r="E361" s="20"/>
      <c r="F361" s="20"/>
      <c r="G361" s="20"/>
      <c r="H361" s="121"/>
      <c r="I361" s="121"/>
      <c r="J361" s="121"/>
      <c r="K361" s="121"/>
      <c r="L361" s="121"/>
      <c r="M361" s="122"/>
      <c r="N361" s="122"/>
      <c r="O361" s="122"/>
      <c r="P361" s="123"/>
      <c r="Q361" s="123"/>
      <c r="R361" s="123"/>
      <c r="S361" s="20"/>
      <c r="T361" s="20"/>
      <c r="U361" s="20"/>
      <c r="V361" s="20"/>
      <c r="W361" s="20"/>
      <c r="X361" s="20"/>
      <c r="Y361" s="20"/>
      <c r="Z361" s="20"/>
      <c r="AA361" s="20"/>
      <c r="AB361" s="20"/>
      <c r="AC361" s="20"/>
    </row>
    <row r="362">
      <c r="A362" s="20"/>
      <c r="B362" s="20"/>
      <c r="C362" s="20"/>
      <c r="D362" s="20"/>
      <c r="E362" s="20"/>
      <c r="F362" s="20"/>
      <c r="G362" s="20"/>
      <c r="H362" s="121"/>
      <c r="I362" s="121"/>
      <c r="J362" s="121"/>
      <c r="K362" s="121"/>
      <c r="L362" s="121"/>
      <c r="M362" s="122"/>
      <c r="N362" s="122"/>
      <c r="O362" s="122"/>
      <c r="P362" s="123"/>
      <c r="Q362" s="123"/>
      <c r="R362" s="123"/>
      <c r="S362" s="20"/>
      <c r="T362" s="20"/>
      <c r="U362" s="20"/>
      <c r="V362" s="20"/>
      <c r="W362" s="20"/>
      <c r="X362" s="20"/>
      <c r="Y362" s="20"/>
      <c r="Z362" s="20"/>
      <c r="AA362" s="20"/>
      <c r="AB362" s="20"/>
      <c r="AC362" s="20"/>
    </row>
    <row r="363">
      <c r="A363" s="20"/>
      <c r="B363" s="20"/>
      <c r="C363" s="20"/>
      <c r="D363" s="20"/>
      <c r="E363" s="20"/>
      <c r="F363" s="20"/>
      <c r="G363" s="20"/>
      <c r="H363" s="121"/>
      <c r="I363" s="121"/>
      <c r="J363" s="121"/>
      <c r="K363" s="121"/>
      <c r="L363" s="121"/>
      <c r="M363" s="122"/>
      <c r="N363" s="122"/>
      <c r="O363" s="122"/>
      <c r="P363" s="123"/>
      <c r="Q363" s="123"/>
      <c r="R363" s="123"/>
      <c r="S363" s="20"/>
      <c r="T363" s="20"/>
      <c r="U363" s="20"/>
      <c r="V363" s="20"/>
      <c r="W363" s="20"/>
      <c r="X363" s="20"/>
      <c r="Y363" s="20"/>
      <c r="Z363" s="20"/>
      <c r="AA363" s="20"/>
      <c r="AB363" s="20"/>
      <c r="AC363" s="20"/>
    </row>
    <row r="364">
      <c r="A364" s="20"/>
      <c r="B364" s="20"/>
      <c r="C364" s="20"/>
      <c r="D364" s="20"/>
      <c r="E364" s="20"/>
      <c r="F364" s="20"/>
      <c r="G364" s="20"/>
      <c r="H364" s="121"/>
      <c r="I364" s="121"/>
      <c r="J364" s="121"/>
      <c r="K364" s="121"/>
      <c r="L364" s="121"/>
      <c r="M364" s="122"/>
      <c r="N364" s="122"/>
      <c r="O364" s="122"/>
      <c r="P364" s="123"/>
      <c r="Q364" s="123"/>
      <c r="R364" s="123"/>
      <c r="S364" s="20"/>
      <c r="T364" s="20"/>
      <c r="U364" s="20"/>
      <c r="V364" s="20"/>
      <c r="W364" s="20"/>
      <c r="X364" s="20"/>
      <c r="Y364" s="20"/>
      <c r="Z364" s="20"/>
      <c r="AA364" s="20"/>
      <c r="AB364" s="20"/>
      <c r="AC364" s="20"/>
    </row>
    <row r="365">
      <c r="A365" s="20"/>
      <c r="B365" s="20"/>
      <c r="C365" s="20"/>
      <c r="D365" s="20"/>
      <c r="E365" s="20"/>
      <c r="F365" s="20"/>
      <c r="G365" s="20"/>
      <c r="H365" s="121"/>
      <c r="I365" s="121"/>
      <c r="J365" s="121"/>
      <c r="K365" s="121"/>
      <c r="L365" s="121"/>
      <c r="M365" s="122"/>
      <c r="N365" s="122"/>
      <c r="O365" s="122"/>
      <c r="P365" s="123"/>
      <c r="Q365" s="123"/>
      <c r="R365" s="123"/>
      <c r="S365" s="20"/>
      <c r="T365" s="20"/>
      <c r="U365" s="20"/>
      <c r="V365" s="20"/>
      <c r="W365" s="20"/>
      <c r="X365" s="20"/>
      <c r="Y365" s="20"/>
      <c r="Z365" s="20"/>
      <c r="AA365" s="20"/>
      <c r="AB365" s="20"/>
      <c r="AC365" s="20"/>
    </row>
    <row r="366">
      <c r="A366" s="20"/>
      <c r="B366" s="20"/>
      <c r="C366" s="20"/>
      <c r="D366" s="20"/>
      <c r="E366" s="20"/>
      <c r="F366" s="20"/>
      <c r="G366" s="20"/>
      <c r="H366" s="121"/>
      <c r="I366" s="121"/>
      <c r="J366" s="121"/>
      <c r="K366" s="121"/>
      <c r="L366" s="121"/>
      <c r="M366" s="122"/>
      <c r="N366" s="122"/>
      <c r="O366" s="122"/>
      <c r="P366" s="123"/>
      <c r="Q366" s="123"/>
      <c r="R366" s="123"/>
      <c r="S366" s="20"/>
      <c r="T366" s="20"/>
      <c r="U366" s="20"/>
      <c r="V366" s="20"/>
      <c r="W366" s="20"/>
      <c r="X366" s="20"/>
      <c r="Y366" s="20"/>
      <c r="Z366" s="20"/>
      <c r="AA366" s="20"/>
      <c r="AB366" s="20"/>
      <c r="AC366" s="20"/>
    </row>
    <row r="367">
      <c r="A367" s="20"/>
      <c r="B367" s="20"/>
      <c r="C367" s="20"/>
      <c r="D367" s="20"/>
      <c r="E367" s="20"/>
      <c r="F367" s="20"/>
      <c r="G367" s="20"/>
      <c r="H367" s="121"/>
      <c r="I367" s="121"/>
      <c r="J367" s="121"/>
      <c r="K367" s="121"/>
      <c r="L367" s="121"/>
      <c r="M367" s="122"/>
      <c r="N367" s="122"/>
      <c r="O367" s="122"/>
      <c r="P367" s="123"/>
      <c r="Q367" s="123"/>
      <c r="R367" s="123"/>
      <c r="S367" s="20"/>
      <c r="T367" s="20"/>
      <c r="U367" s="20"/>
      <c r="V367" s="20"/>
      <c r="W367" s="20"/>
      <c r="X367" s="20"/>
      <c r="Y367" s="20"/>
      <c r="Z367" s="20"/>
      <c r="AA367" s="20"/>
      <c r="AB367" s="20"/>
      <c r="AC367" s="20"/>
    </row>
    <row r="368">
      <c r="A368" s="20"/>
      <c r="B368" s="20"/>
      <c r="C368" s="20"/>
      <c r="D368" s="20"/>
      <c r="E368" s="20"/>
      <c r="F368" s="20"/>
      <c r="G368" s="20"/>
      <c r="H368" s="121"/>
      <c r="I368" s="121"/>
      <c r="J368" s="121"/>
      <c r="K368" s="121"/>
      <c r="L368" s="121"/>
      <c r="M368" s="122"/>
      <c r="N368" s="122"/>
      <c r="O368" s="122"/>
      <c r="P368" s="123"/>
      <c r="Q368" s="123"/>
      <c r="R368" s="123"/>
      <c r="S368" s="20"/>
      <c r="T368" s="20"/>
      <c r="U368" s="20"/>
      <c r="V368" s="20"/>
      <c r="W368" s="20"/>
      <c r="X368" s="20"/>
      <c r="Y368" s="20"/>
      <c r="Z368" s="20"/>
      <c r="AA368" s="20"/>
      <c r="AB368" s="20"/>
      <c r="AC368" s="20"/>
    </row>
    <row r="369">
      <c r="A369" s="20"/>
      <c r="B369" s="20"/>
      <c r="C369" s="20"/>
      <c r="D369" s="20"/>
      <c r="E369" s="20"/>
      <c r="F369" s="20"/>
      <c r="G369" s="20"/>
      <c r="H369" s="121"/>
      <c r="I369" s="121"/>
      <c r="J369" s="121"/>
      <c r="K369" s="121"/>
      <c r="L369" s="121"/>
      <c r="M369" s="122"/>
      <c r="N369" s="122"/>
      <c r="O369" s="122"/>
      <c r="P369" s="123"/>
      <c r="Q369" s="123"/>
      <c r="R369" s="123"/>
      <c r="S369" s="20"/>
      <c r="T369" s="20"/>
      <c r="U369" s="20"/>
      <c r="V369" s="20"/>
      <c r="W369" s="20"/>
      <c r="X369" s="20"/>
      <c r="Y369" s="20"/>
      <c r="Z369" s="20"/>
      <c r="AA369" s="20"/>
      <c r="AB369" s="20"/>
      <c r="AC369" s="20"/>
    </row>
    <row r="370">
      <c r="A370" s="20"/>
      <c r="B370" s="20"/>
      <c r="C370" s="20"/>
      <c r="D370" s="20"/>
      <c r="E370" s="20"/>
      <c r="F370" s="20"/>
      <c r="G370" s="20"/>
      <c r="H370" s="121"/>
      <c r="I370" s="121"/>
      <c r="J370" s="121"/>
      <c r="K370" s="121"/>
      <c r="L370" s="121"/>
      <c r="M370" s="122"/>
      <c r="N370" s="122"/>
      <c r="O370" s="122"/>
      <c r="P370" s="123"/>
      <c r="Q370" s="123"/>
      <c r="R370" s="123"/>
      <c r="S370" s="20"/>
      <c r="T370" s="20"/>
      <c r="U370" s="20"/>
      <c r="V370" s="20"/>
      <c r="W370" s="20"/>
      <c r="X370" s="20"/>
      <c r="Y370" s="20"/>
      <c r="Z370" s="20"/>
      <c r="AA370" s="20"/>
      <c r="AB370" s="20"/>
      <c r="AC370" s="20"/>
    </row>
    <row r="371">
      <c r="A371" s="20"/>
      <c r="B371" s="20"/>
      <c r="C371" s="20"/>
      <c r="D371" s="20"/>
      <c r="E371" s="20"/>
      <c r="F371" s="20"/>
      <c r="G371" s="20"/>
      <c r="H371" s="121"/>
      <c r="I371" s="121"/>
      <c r="J371" s="121"/>
      <c r="K371" s="121"/>
      <c r="L371" s="121"/>
      <c r="M371" s="122"/>
      <c r="N371" s="122"/>
      <c r="O371" s="122"/>
      <c r="P371" s="123"/>
      <c r="Q371" s="123"/>
      <c r="R371" s="123"/>
      <c r="S371" s="20"/>
      <c r="T371" s="20"/>
      <c r="U371" s="20"/>
      <c r="V371" s="20"/>
      <c r="W371" s="20"/>
      <c r="X371" s="20"/>
      <c r="Y371" s="20"/>
      <c r="Z371" s="20"/>
      <c r="AA371" s="20"/>
      <c r="AB371" s="20"/>
      <c r="AC371" s="20"/>
    </row>
    <row r="372">
      <c r="A372" s="20"/>
      <c r="B372" s="20"/>
      <c r="C372" s="20"/>
      <c r="D372" s="20"/>
      <c r="E372" s="20"/>
      <c r="F372" s="20"/>
      <c r="G372" s="20"/>
      <c r="H372" s="121"/>
      <c r="I372" s="121"/>
      <c r="J372" s="121"/>
      <c r="K372" s="121"/>
      <c r="L372" s="121"/>
      <c r="M372" s="122"/>
      <c r="N372" s="122"/>
      <c r="O372" s="122"/>
      <c r="P372" s="123"/>
      <c r="Q372" s="123"/>
      <c r="R372" s="123"/>
      <c r="S372" s="20"/>
      <c r="T372" s="20"/>
      <c r="U372" s="20"/>
      <c r="V372" s="20"/>
      <c r="W372" s="20"/>
      <c r="X372" s="20"/>
      <c r="Y372" s="20"/>
      <c r="Z372" s="20"/>
      <c r="AA372" s="20"/>
      <c r="AB372" s="20"/>
      <c r="AC372" s="20"/>
    </row>
    <row r="373">
      <c r="A373" s="20"/>
      <c r="B373" s="20"/>
      <c r="C373" s="20"/>
      <c r="D373" s="20"/>
      <c r="E373" s="20"/>
      <c r="F373" s="20"/>
      <c r="G373" s="20"/>
      <c r="H373" s="121"/>
      <c r="I373" s="121"/>
      <c r="J373" s="121"/>
      <c r="K373" s="121"/>
      <c r="L373" s="121"/>
      <c r="M373" s="122"/>
      <c r="N373" s="122"/>
      <c r="O373" s="122"/>
      <c r="P373" s="123"/>
      <c r="Q373" s="123"/>
      <c r="R373" s="123"/>
      <c r="S373" s="20"/>
      <c r="T373" s="20"/>
      <c r="U373" s="20"/>
      <c r="V373" s="20"/>
      <c r="W373" s="20"/>
      <c r="X373" s="20"/>
      <c r="Y373" s="20"/>
      <c r="Z373" s="20"/>
      <c r="AA373" s="20"/>
      <c r="AB373" s="20"/>
      <c r="AC373" s="20"/>
    </row>
    <row r="374">
      <c r="A374" s="20"/>
      <c r="B374" s="20"/>
      <c r="C374" s="20"/>
      <c r="D374" s="20"/>
      <c r="E374" s="20"/>
      <c r="F374" s="20"/>
      <c r="G374" s="20"/>
      <c r="H374" s="121"/>
      <c r="I374" s="121"/>
      <c r="J374" s="121"/>
      <c r="K374" s="121"/>
      <c r="L374" s="121"/>
      <c r="M374" s="122"/>
      <c r="N374" s="122"/>
      <c r="O374" s="122"/>
      <c r="P374" s="123"/>
      <c r="Q374" s="123"/>
      <c r="R374" s="123"/>
      <c r="S374" s="20"/>
      <c r="T374" s="20"/>
      <c r="U374" s="20"/>
      <c r="V374" s="20"/>
      <c r="W374" s="20"/>
      <c r="X374" s="20"/>
      <c r="Y374" s="20"/>
      <c r="Z374" s="20"/>
      <c r="AA374" s="20"/>
      <c r="AB374" s="20"/>
      <c r="AC374" s="20"/>
    </row>
    <row r="375">
      <c r="A375" s="20"/>
      <c r="B375" s="20"/>
      <c r="C375" s="20"/>
      <c r="D375" s="20"/>
      <c r="E375" s="20"/>
      <c r="F375" s="20"/>
      <c r="G375" s="20"/>
      <c r="H375" s="121"/>
      <c r="I375" s="121"/>
      <c r="J375" s="121"/>
      <c r="K375" s="121"/>
      <c r="L375" s="121"/>
      <c r="M375" s="122"/>
      <c r="N375" s="122"/>
      <c r="O375" s="122"/>
      <c r="P375" s="123"/>
      <c r="Q375" s="123"/>
      <c r="R375" s="123"/>
      <c r="S375" s="20"/>
      <c r="T375" s="20"/>
      <c r="U375" s="20"/>
      <c r="V375" s="20"/>
      <c r="W375" s="20"/>
      <c r="X375" s="20"/>
      <c r="Y375" s="20"/>
      <c r="Z375" s="20"/>
      <c r="AA375" s="20"/>
      <c r="AB375" s="20"/>
      <c r="AC375" s="20"/>
    </row>
    <row r="376">
      <c r="A376" s="20"/>
      <c r="B376" s="20"/>
      <c r="C376" s="20"/>
      <c r="D376" s="20"/>
      <c r="E376" s="20"/>
      <c r="F376" s="20"/>
      <c r="G376" s="20"/>
      <c r="H376" s="121"/>
      <c r="I376" s="121"/>
      <c r="J376" s="121"/>
      <c r="K376" s="121"/>
      <c r="L376" s="121"/>
      <c r="M376" s="122"/>
      <c r="N376" s="122"/>
      <c r="O376" s="122"/>
      <c r="P376" s="123"/>
      <c r="Q376" s="123"/>
      <c r="R376" s="123"/>
      <c r="S376" s="20"/>
      <c r="T376" s="20"/>
      <c r="U376" s="20"/>
      <c r="V376" s="20"/>
      <c r="W376" s="20"/>
      <c r="X376" s="20"/>
      <c r="Y376" s="20"/>
      <c r="Z376" s="20"/>
      <c r="AA376" s="20"/>
      <c r="AB376" s="20"/>
      <c r="AC376" s="20"/>
    </row>
    <row r="377">
      <c r="A377" s="20"/>
      <c r="B377" s="20"/>
      <c r="C377" s="20"/>
      <c r="D377" s="20"/>
      <c r="E377" s="20"/>
      <c r="F377" s="20"/>
      <c r="G377" s="20"/>
      <c r="H377" s="121"/>
      <c r="I377" s="121"/>
      <c r="J377" s="121"/>
      <c r="K377" s="121"/>
      <c r="L377" s="121"/>
      <c r="M377" s="122"/>
      <c r="N377" s="122"/>
      <c r="O377" s="122"/>
      <c r="P377" s="123"/>
      <c r="Q377" s="123"/>
      <c r="R377" s="123"/>
      <c r="S377" s="20"/>
      <c r="T377" s="20"/>
      <c r="U377" s="20"/>
      <c r="V377" s="20"/>
      <c r="W377" s="20"/>
      <c r="X377" s="20"/>
      <c r="Y377" s="20"/>
      <c r="Z377" s="20"/>
      <c r="AA377" s="20"/>
      <c r="AB377" s="20"/>
      <c r="AC377" s="20"/>
    </row>
    <row r="378">
      <c r="A378" s="20"/>
      <c r="B378" s="20"/>
      <c r="C378" s="20"/>
      <c r="D378" s="20"/>
      <c r="E378" s="20"/>
      <c r="F378" s="20"/>
      <c r="G378" s="20"/>
      <c r="H378" s="121"/>
      <c r="I378" s="121"/>
      <c r="J378" s="121"/>
      <c r="K378" s="121"/>
      <c r="L378" s="121"/>
      <c r="M378" s="122"/>
      <c r="N378" s="122"/>
      <c r="O378" s="122"/>
      <c r="P378" s="123"/>
      <c r="Q378" s="123"/>
      <c r="R378" s="123"/>
      <c r="S378" s="20"/>
      <c r="T378" s="20"/>
      <c r="U378" s="20"/>
      <c r="V378" s="20"/>
      <c r="W378" s="20"/>
      <c r="X378" s="20"/>
      <c r="Y378" s="20"/>
      <c r="Z378" s="20"/>
      <c r="AA378" s="20"/>
      <c r="AB378" s="20"/>
      <c r="AC378" s="20"/>
    </row>
    <row r="379">
      <c r="A379" s="20"/>
      <c r="B379" s="20"/>
      <c r="C379" s="20"/>
      <c r="D379" s="20"/>
      <c r="E379" s="20"/>
      <c r="F379" s="20"/>
      <c r="G379" s="20"/>
      <c r="H379" s="121"/>
      <c r="I379" s="121"/>
      <c r="J379" s="121"/>
      <c r="K379" s="121"/>
      <c r="L379" s="121"/>
      <c r="M379" s="122"/>
      <c r="N379" s="122"/>
      <c r="O379" s="122"/>
      <c r="P379" s="123"/>
      <c r="Q379" s="123"/>
      <c r="R379" s="123"/>
      <c r="S379" s="20"/>
      <c r="T379" s="20"/>
      <c r="U379" s="20"/>
      <c r="V379" s="20"/>
      <c r="W379" s="20"/>
      <c r="X379" s="20"/>
      <c r="Y379" s="20"/>
      <c r="Z379" s="20"/>
      <c r="AA379" s="20"/>
      <c r="AB379" s="20"/>
      <c r="AC379" s="20"/>
    </row>
    <row r="380">
      <c r="A380" s="20"/>
      <c r="B380" s="20"/>
      <c r="C380" s="20"/>
      <c r="D380" s="20"/>
      <c r="E380" s="20"/>
      <c r="F380" s="20"/>
      <c r="G380" s="20"/>
      <c r="H380" s="121"/>
      <c r="I380" s="121"/>
      <c r="J380" s="121"/>
      <c r="K380" s="121"/>
      <c r="L380" s="121"/>
      <c r="M380" s="122"/>
      <c r="N380" s="122"/>
      <c r="O380" s="122"/>
      <c r="P380" s="123"/>
      <c r="Q380" s="123"/>
      <c r="R380" s="123"/>
      <c r="S380" s="20"/>
      <c r="T380" s="20"/>
      <c r="U380" s="20"/>
      <c r="V380" s="20"/>
      <c r="W380" s="20"/>
      <c r="X380" s="20"/>
      <c r="Y380" s="20"/>
      <c r="Z380" s="20"/>
      <c r="AA380" s="20"/>
      <c r="AB380" s="20"/>
      <c r="AC380" s="20"/>
    </row>
    <row r="381">
      <c r="A381" s="20"/>
      <c r="B381" s="20"/>
      <c r="C381" s="20"/>
      <c r="D381" s="20"/>
      <c r="E381" s="20"/>
      <c r="F381" s="20"/>
      <c r="G381" s="20"/>
      <c r="H381" s="121"/>
      <c r="I381" s="121"/>
      <c r="J381" s="121"/>
      <c r="K381" s="121"/>
      <c r="L381" s="121"/>
      <c r="M381" s="122"/>
      <c r="N381" s="122"/>
      <c r="O381" s="122"/>
      <c r="P381" s="123"/>
      <c r="Q381" s="123"/>
      <c r="R381" s="123"/>
      <c r="S381" s="20"/>
      <c r="T381" s="20"/>
      <c r="U381" s="20"/>
      <c r="V381" s="20"/>
      <c r="W381" s="20"/>
      <c r="X381" s="20"/>
      <c r="Y381" s="20"/>
      <c r="Z381" s="20"/>
      <c r="AA381" s="20"/>
      <c r="AB381" s="20"/>
      <c r="AC381" s="20"/>
    </row>
    <row r="382">
      <c r="A382" s="20"/>
      <c r="B382" s="20"/>
      <c r="C382" s="20"/>
      <c r="D382" s="20"/>
      <c r="E382" s="20"/>
      <c r="F382" s="20"/>
      <c r="G382" s="20"/>
      <c r="H382" s="121"/>
      <c r="I382" s="121"/>
      <c r="J382" s="121"/>
      <c r="K382" s="121"/>
      <c r="L382" s="121"/>
      <c r="M382" s="122"/>
      <c r="N382" s="122"/>
      <c r="O382" s="122"/>
      <c r="P382" s="123"/>
      <c r="Q382" s="123"/>
      <c r="R382" s="123"/>
      <c r="S382" s="20"/>
      <c r="T382" s="20"/>
      <c r="U382" s="20"/>
      <c r="V382" s="20"/>
      <c r="W382" s="20"/>
      <c r="X382" s="20"/>
      <c r="Y382" s="20"/>
      <c r="Z382" s="20"/>
      <c r="AA382" s="20"/>
      <c r="AB382" s="20"/>
      <c r="AC382" s="20"/>
    </row>
    <row r="383">
      <c r="A383" s="20"/>
      <c r="B383" s="20"/>
      <c r="C383" s="20"/>
      <c r="D383" s="20"/>
      <c r="E383" s="20"/>
      <c r="F383" s="20"/>
      <c r="G383" s="20"/>
      <c r="H383" s="121"/>
      <c r="I383" s="121"/>
      <c r="J383" s="121"/>
      <c r="K383" s="121"/>
      <c r="L383" s="121"/>
      <c r="M383" s="122"/>
      <c r="N383" s="122"/>
      <c r="O383" s="122"/>
      <c r="P383" s="123"/>
      <c r="Q383" s="123"/>
      <c r="R383" s="123"/>
      <c r="S383" s="20"/>
      <c r="T383" s="20"/>
      <c r="U383" s="20"/>
      <c r="V383" s="20"/>
      <c r="W383" s="20"/>
      <c r="X383" s="20"/>
      <c r="Y383" s="20"/>
      <c r="Z383" s="20"/>
      <c r="AA383" s="20"/>
      <c r="AB383" s="20"/>
      <c r="AC383" s="20"/>
    </row>
    <row r="384">
      <c r="A384" s="20"/>
      <c r="B384" s="20"/>
      <c r="C384" s="20"/>
      <c r="D384" s="20"/>
      <c r="E384" s="20"/>
      <c r="F384" s="20"/>
      <c r="G384" s="20"/>
      <c r="H384" s="121"/>
      <c r="I384" s="121"/>
      <c r="J384" s="121"/>
      <c r="K384" s="121"/>
      <c r="L384" s="121"/>
      <c r="M384" s="122"/>
      <c r="N384" s="122"/>
      <c r="O384" s="122"/>
      <c r="P384" s="123"/>
      <c r="Q384" s="123"/>
      <c r="R384" s="123"/>
      <c r="S384" s="20"/>
      <c r="T384" s="20"/>
      <c r="U384" s="20"/>
      <c r="V384" s="20"/>
      <c r="W384" s="20"/>
      <c r="X384" s="20"/>
      <c r="Y384" s="20"/>
      <c r="Z384" s="20"/>
      <c r="AA384" s="20"/>
      <c r="AB384" s="20"/>
      <c r="AC384" s="20"/>
    </row>
    <row r="385">
      <c r="A385" s="20"/>
      <c r="B385" s="20"/>
      <c r="C385" s="20"/>
      <c r="D385" s="20"/>
      <c r="E385" s="20"/>
      <c r="F385" s="20"/>
      <c r="G385" s="20"/>
      <c r="H385" s="121"/>
      <c r="I385" s="121"/>
      <c r="J385" s="121"/>
      <c r="K385" s="121"/>
      <c r="L385" s="121"/>
      <c r="M385" s="122"/>
      <c r="N385" s="122"/>
      <c r="O385" s="122"/>
      <c r="P385" s="123"/>
      <c r="Q385" s="123"/>
      <c r="R385" s="123"/>
      <c r="S385" s="20"/>
      <c r="T385" s="20"/>
      <c r="U385" s="20"/>
      <c r="V385" s="20"/>
      <c r="W385" s="20"/>
      <c r="X385" s="20"/>
      <c r="Y385" s="20"/>
      <c r="Z385" s="20"/>
      <c r="AA385" s="20"/>
      <c r="AB385" s="20"/>
      <c r="AC385" s="20"/>
    </row>
    <row r="386">
      <c r="A386" s="20"/>
      <c r="B386" s="20"/>
      <c r="C386" s="20"/>
      <c r="D386" s="20"/>
      <c r="E386" s="20"/>
      <c r="F386" s="20"/>
      <c r="G386" s="20"/>
      <c r="H386" s="121"/>
      <c r="I386" s="121"/>
      <c r="J386" s="121"/>
      <c r="K386" s="121"/>
      <c r="L386" s="121"/>
      <c r="M386" s="122"/>
      <c r="N386" s="122"/>
      <c r="O386" s="122"/>
      <c r="P386" s="123"/>
      <c r="Q386" s="123"/>
      <c r="R386" s="123"/>
      <c r="S386" s="20"/>
      <c r="T386" s="20"/>
      <c r="U386" s="20"/>
      <c r="V386" s="20"/>
      <c r="W386" s="20"/>
      <c r="X386" s="20"/>
      <c r="Y386" s="20"/>
      <c r="Z386" s="20"/>
      <c r="AA386" s="20"/>
      <c r="AB386" s="20"/>
      <c r="AC386" s="20"/>
    </row>
    <row r="387">
      <c r="A387" s="20"/>
      <c r="B387" s="20"/>
      <c r="C387" s="20"/>
      <c r="D387" s="20"/>
      <c r="E387" s="20"/>
      <c r="F387" s="20"/>
      <c r="G387" s="20"/>
      <c r="H387" s="121"/>
      <c r="I387" s="121"/>
      <c r="J387" s="121"/>
      <c r="K387" s="121"/>
      <c r="L387" s="121"/>
      <c r="M387" s="122"/>
      <c r="N387" s="122"/>
      <c r="O387" s="122"/>
      <c r="P387" s="123"/>
      <c r="Q387" s="123"/>
      <c r="R387" s="123"/>
      <c r="S387" s="20"/>
      <c r="T387" s="20"/>
      <c r="U387" s="20"/>
      <c r="V387" s="20"/>
      <c r="W387" s="20"/>
      <c r="X387" s="20"/>
      <c r="Y387" s="20"/>
      <c r="Z387" s="20"/>
      <c r="AA387" s="20"/>
      <c r="AB387" s="20"/>
      <c r="AC387" s="20"/>
    </row>
    <row r="388">
      <c r="A388" s="20"/>
      <c r="B388" s="20"/>
      <c r="C388" s="20"/>
      <c r="D388" s="20"/>
      <c r="E388" s="20"/>
      <c r="F388" s="20"/>
      <c r="G388" s="20"/>
      <c r="H388" s="121"/>
      <c r="I388" s="121"/>
      <c r="J388" s="121"/>
      <c r="K388" s="121"/>
      <c r="L388" s="121"/>
      <c r="M388" s="122"/>
      <c r="N388" s="122"/>
      <c r="O388" s="122"/>
      <c r="P388" s="123"/>
      <c r="Q388" s="123"/>
      <c r="R388" s="123"/>
      <c r="S388" s="20"/>
      <c r="T388" s="20"/>
      <c r="U388" s="20"/>
      <c r="V388" s="20"/>
      <c r="W388" s="20"/>
      <c r="X388" s="20"/>
      <c r="Y388" s="20"/>
      <c r="Z388" s="20"/>
      <c r="AA388" s="20"/>
      <c r="AB388" s="20"/>
      <c r="AC388" s="20"/>
    </row>
    <row r="389">
      <c r="A389" s="20"/>
      <c r="B389" s="20"/>
      <c r="C389" s="20"/>
      <c r="D389" s="20"/>
      <c r="E389" s="20"/>
      <c r="F389" s="20"/>
      <c r="G389" s="20"/>
      <c r="H389" s="121"/>
      <c r="I389" s="121"/>
      <c r="J389" s="121"/>
      <c r="K389" s="121"/>
      <c r="L389" s="121"/>
      <c r="M389" s="122"/>
      <c r="N389" s="122"/>
      <c r="O389" s="122"/>
      <c r="P389" s="123"/>
      <c r="Q389" s="123"/>
      <c r="R389" s="123"/>
      <c r="S389" s="20"/>
      <c r="T389" s="20"/>
      <c r="U389" s="20"/>
      <c r="V389" s="20"/>
      <c r="W389" s="20"/>
      <c r="X389" s="20"/>
      <c r="Y389" s="20"/>
      <c r="Z389" s="20"/>
      <c r="AA389" s="20"/>
      <c r="AB389" s="20"/>
      <c r="AC389" s="20"/>
    </row>
    <row r="390">
      <c r="A390" s="20"/>
      <c r="B390" s="20"/>
      <c r="C390" s="20"/>
      <c r="D390" s="20"/>
      <c r="E390" s="20"/>
      <c r="F390" s="20"/>
      <c r="G390" s="20"/>
      <c r="H390" s="121"/>
      <c r="I390" s="121"/>
      <c r="J390" s="121"/>
      <c r="K390" s="121"/>
      <c r="L390" s="121"/>
      <c r="M390" s="122"/>
      <c r="N390" s="122"/>
      <c r="O390" s="122"/>
      <c r="P390" s="123"/>
      <c r="Q390" s="123"/>
      <c r="R390" s="123"/>
      <c r="S390" s="20"/>
      <c r="T390" s="20"/>
      <c r="U390" s="20"/>
      <c r="V390" s="20"/>
      <c r="W390" s="20"/>
      <c r="X390" s="20"/>
      <c r="Y390" s="20"/>
      <c r="Z390" s="20"/>
      <c r="AA390" s="20"/>
      <c r="AB390" s="20"/>
      <c r="AC390" s="20"/>
    </row>
    <row r="391">
      <c r="A391" s="20"/>
      <c r="B391" s="20"/>
      <c r="C391" s="20"/>
      <c r="D391" s="20"/>
      <c r="E391" s="20"/>
      <c r="F391" s="20"/>
      <c r="G391" s="20"/>
      <c r="H391" s="121"/>
      <c r="I391" s="121"/>
      <c r="J391" s="121"/>
      <c r="K391" s="121"/>
      <c r="L391" s="121"/>
      <c r="M391" s="122"/>
      <c r="N391" s="122"/>
      <c r="O391" s="122"/>
      <c r="P391" s="123"/>
      <c r="Q391" s="123"/>
      <c r="R391" s="123"/>
      <c r="S391" s="20"/>
      <c r="T391" s="20"/>
      <c r="U391" s="20"/>
      <c r="V391" s="20"/>
      <c r="W391" s="20"/>
      <c r="X391" s="20"/>
      <c r="Y391" s="20"/>
      <c r="Z391" s="20"/>
      <c r="AA391" s="20"/>
      <c r="AB391" s="20"/>
      <c r="AC391" s="20"/>
    </row>
    <row r="392">
      <c r="A392" s="20"/>
      <c r="B392" s="20"/>
      <c r="C392" s="20"/>
      <c r="D392" s="20"/>
      <c r="E392" s="20"/>
      <c r="F392" s="20"/>
      <c r="G392" s="20"/>
      <c r="H392" s="121"/>
      <c r="I392" s="121"/>
      <c r="J392" s="121"/>
      <c r="K392" s="121"/>
      <c r="L392" s="121"/>
      <c r="M392" s="122"/>
      <c r="N392" s="122"/>
      <c r="O392" s="122"/>
      <c r="P392" s="123"/>
      <c r="Q392" s="123"/>
      <c r="R392" s="123"/>
      <c r="S392" s="20"/>
      <c r="T392" s="20"/>
      <c r="U392" s="20"/>
      <c r="V392" s="20"/>
      <c r="W392" s="20"/>
      <c r="X392" s="20"/>
      <c r="Y392" s="20"/>
      <c r="Z392" s="20"/>
      <c r="AA392" s="20"/>
      <c r="AB392" s="20"/>
      <c r="AC392" s="20"/>
    </row>
    <row r="393">
      <c r="A393" s="20"/>
      <c r="B393" s="20"/>
      <c r="C393" s="20"/>
      <c r="D393" s="20"/>
      <c r="E393" s="20"/>
      <c r="F393" s="20"/>
      <c r="G393" s="20"/>
      <c r="H393" s="121"/>
      <c r="I393" s="121"/>
      <c r="J393" s="121"/>
      <c r="K393" s="121"/>
      <c r="L393" s="121"/>
      <c r="M393" s="122"/>
      <c r="N393" s="122"/>
      <c r="O393" s="122"/>
      <c r="P393" s="123"/>
      <c r="Q393" s="123"/>
      <c r="R393" s="123"/>
      <c r="S393" s="20"/>
      <c r="T393" s="20"/>
      <c r="U393" s="20"/>
      <c r="V393" s="20"/>
      <c r="W393" s="20"/>
      <c r="X393" s="20"/>
      <c r="Y393" s="20"/>
      <c r="Z393" s="20"/>
      <c r="AA393" s="20"/>
      <c r="AB393" s="20"/>
      <c r="AC393" s="20"/>
    </row>
    <row r="394">
      <c r="A394" s="20"/>
      <c r="B394" s="20"/>
      <c r="C394" s="20"/>
      <c r="D394" s="20"/>
      <c r="E394" s="20"/>
      <c r="F394" s="20"/>
      <c r="G394" s="20"/>
      <c r="H394" s="121"/>
      <c r="I394" s="121"/>
      <c r="J394" s="121"/>
      <c r="K394" s="121"/>
      <c r="L394" s="121"/>
      <c r="M394" s="122"/>
      <c r="N394" s="122"/>
      <c r="O394" s="122"/>
      <c r="P394" s="123"/>
      <c r="Q394" s="123"/>
      <c r="R394" s="123"/>
      <c r="S394" s="20"/>
      <c r="T394" s="20"/>
      <c r="U394" s="20"/>
      <c r="V394" s="20"/>
      <c r="W394" s="20"/>
      <c r="X394" s="20"/>
      <c r="Y394" s="20"/>
      <c r="Z394" s="20"/>
      <c r="AA394" s="20"/>
      <c r="AB394" s="20"/>
      <c r="AC394" s="20"/>
    </row>
    <row r="395">
      <c r="A395" s="20"/>
      <c r="B395" s="20"/>
      <c r="C395" s="20"/>
      <c r="D395" s="20"/>
      <c r="E395" s="20"/>
      <c r="F395" s="20"/>
      <c r="G395" s="20"/>
      <c r="H395" s="121"/>
      <c r="I395" s="121"/>
      <c r="J395" s="121"/>
      <c r="K395" s="121"/>
      <c r="L395" s="121"/>
      <c r="M395" s="122"/>
      <c r="N395" s="122"/>
      <c r="O395" s="122"/>
      <c r="P395" s="123"/>
      <c r="Q395" s="123"/>
      <c r="R395" s="123"/>
      <c r="S395" s="20"/>
      <c r="T395" s="20"/>
      <c r="U395" s="20"/>
      <c r="V395" s="20"/>
      <c r="W395" s="20"/>
      <c r="X395" s="20"/>
      <c r="Y395" s="20"/>
      <c r="Z395" s="20"/>
      <c r="AA395" s="20"/>
      <c r="AB395" s="20"/>
      <c r="AC395" s="20"/>
    </row>
    <row r="396">
      <c r="A396" s="20"/>
      <c r="B396" s="20"/>
      <c r="C396" s="20"/>
      <c r="D396" s="20"/>
      <c r="E396" s="20"/>
      <c r="F396" s="20"/>
      <c r="G396" s="20"/>
      <c r="H396" s="121"/>
      <c r="I396" s="121"/>
      <c r="J396" s="121"/>
      <c r="K396" s="121"/>
      <c r="L396" s="121"/>
      <c r="M396" s="122"/>
      <c r="N396" s="122"/>
      <c r="O396" s="122"/>
      <c r="P396" s="123"/>
      <c r="Q396" s="123"/>
      <c r="R396" s="123"/>
      <c r="S396" s="20"/>
      <c r="T396" s="20"/>
      <c r="U396" s="20"/>
      <c r="V396" s="20"/>
      <c r="W396" s="20"/>
      <c r="X396" s="20"/>
      <c r="Y396" s="20"/>
      <c r="Z396" s="20"/>
      <c r="AA396" s="20"/>
      <c r="AB396" s="20"/>
      <c r="AC396" s="20"/>
    </row>
    <row r="397">
      <c r="A397" s="20"/>
      <c r="B397" s="20"/>
      <c r="C397" s="20"/>
      <c r="D397" s="20"/>
      <c r="E397" s="20"/>
      <c r="F397" s="20"/>
      <c r="G397" s="20"/>
      <c r="H397" s="121"/>
      <c r="I397" s="121"/>
      <c r="J397" s="121"/>
      <c r="K397" s="121"/>
      <c r="L397" s="121"/>
      <c r="M397" s="122"/>
      <c r="N397" s="122"/>
      <c r="O397" s="122"/>
      <c r="P397" s="123"/>
      <c r="Q397" s="123"/>
      <c r="R397" s="123"/>
      <c r="S397" s="20"/>
      <c r="T397" s="20"/>
      <c r="U397" s="20"/>
      <c r="V397" s="20"/>
      <c r="W397" s="20"/>
      <c r="X397" s="20"/>
      <c r="Y397" s="20"/>
      <c r="Z397" s="20"/>
      <c r="AA397" s="20"/>
      <c r="AB397" s="20"/>
      <c r="AC397" s="20"/>
    </row>
    <row r="398">
      <c r="A398" s="20"/>
      <c r="B398" s="20"/>
      <c r="C398" s="20"/>
      <c r="D398" s="20"/>
      <c r="E398" s="20"/>
      <c r="F398" s="20"/>
      <c r="G398" s="20"/>
      <c r="H398" s="121"/>
      <c r="I398" s="121"/>
      <c r="J398" s="121"/>
      <c r="K398" s="121"/>
      <c r="L398" s="121"/>
      <c r="M398" s="122"/>
      <c r="N398" s="122"/>
      <c r="O398" s="122"/>
      <c r="P398" s="123"/>
      <c r="Q398" s="123"/>
      <c r="R398" s="123"/>
      <c r="S398" s="20"/>
      <c r="T398" s="20"/>
      <c r="U398" s="20"/>
      <c r="V398" s="20"/>
      <c r="W398" s="20"/>
      <c r="X398" s="20"/>
      <c r="Y398" s="20"/>
      <c r="Z398" s="20"/>
      <c r="AA398" s="20"/>
      <c r="AB398" s="20"/>
      <c r="AC398" s="20"/>
    </row>
    <row r="399">
      <c r="A399" s="20"/>
      <c r="B399" s="20"/>
      <c r="C399" s="20"/>
      <c r="D399" s="20"/>
      <c r="E399" s="20"/>
      <c r="F399" s="20"/>
      <c r="G399" s="20"/>
      <c r="H399" s="121"/>
      <c r="I399" s="121"/>
      <c r="J399" s="121"/>
      <c r="K399" s="121"/>
      <c r="L399" s="121"/>
      <c r="M399" s="122"/>
      <c r="N399" s="122"/>
      <c r="O399" s="122"/>
      <c r="P399" s="123"/>
      <c r="Q399" s="123"/>
      <c r="R399" s="123"/>
      <c r="S399" s="20"/>
      <c r="T399" s="20"/>
      <c r="U399" s="20"/>
      <c r="V399" s="20"/>
      <c r="W399" s="20"/>
      <c r="X399" s="20"/>
      <c r="Y399" s="20"/>
      <c r="Z399" s="20"/>
      <c r="AA399" s="20"/>
      <c r="AB399" s="20"/>
      <c r="AC399" s="20"/>
    </row>
    <row r="400">
      <c r="A400" s="20"/>
      <c r="B400" s="20"/>
      <c r="C400" s="20"/>
      <c r="D400" s="20"/>
      <c r="E400" s="20"/>
      <c r="F400" s="20"/>
      <c r="G400" s="20"/>
      <c r="H400" s="121"/>
      <c r="I400" s="121"/>
      <c r="J400" s="121"/>
      <c r="K400" s="121"/>
      <c r="L400" s="121"/>
      <c r="M400" s="122"/>
      <c r="N400" s="122"/>
      <c r="O400" s="122"/>
      <c r="P400" s="123"/>
      <c r="Q400" s="123"/>
      <c r="R400" s="123"/>
      <c r="S400" s="20"/>
      <c r="T400" s="20"/>
      <c r="U400" s="20"/>
      <c r="V400" s="20"/>
      <c r="W400" s="20"/>
      <c r="X400" s="20"/>
      <c r="Y400" s="20"/>
      <c r="Z400" s="20"/>
      <c r="AA400" s="20"/>
      <c r="AB400" s="20"/>
      <c r="AC400" s="20"/>
    </row>
    <row r="401">
      <c r="A401" s="20"/>
      <c r="B401" s="20"/>
      <c r="C401" s="20"/>
      <c r="D401" s="20"/>
      <c r="E401" s="20"/>
      <c r="F401" s="20"/>
      <c r="G401" s="20"/>
      <c r="H401" s="121"/>
      <c r="I401" s="121"/>
      <c r="J401" s="121"/>
      <c r="K401" s="121"/>
      <c r="L401" s="121"/>
      <c r="M401" s="122"/>
      <c r="N401" s="122"/>
      <c r="O401" s="122"/>
      <c r="P401" s="123"/>
      <c r="Q401" s="123"/>
      <c r="R401" s="123"/>
      <c r="S401" s="20"/>
      <c r="T401" s="20"/>
      <c r="U401" s="20"/>
      <c r="V401" s="20"/>
      <c r="W401" s="20"/>
      <c r="X401" s="20"/>
      <c r="Y401" s="20"/>
      <c r="Z401" s="20"/>
      <c r="AA401" s="20"/>
      <c r="AB401" s="20"/>
      <c r="AC401" s="20"/>
    </row>
    <row r="402">
      <c r="A402" s="20"/>
      <c r="B402" s="20"/>
      <c r="C402" s="20"/>
      <c r="D402" s="20"/>
      <c r="E402" s="20"/>
      <c r="F402" s="20"/>
      <c r="G402" s="20"/>
      <c r="H402" s="121"/>
      <c r="I402" s="121"/>
      <c r="J402" s="121"/>
      <c r="K402" s="121"/>
      <c r="L402" s="121"/>
      <c r="M402" s="122"/>
      <c r="N402" s="122"/>
      <c r="O402" s="122"/>
      <c r="P402" s="123"/>
      <c r="Q402" s="123"/>
      <c r="R402" s="123"/>
      <c r="S402" s="20"/>
      <c r="T402" s="20"/>
      <c r="U402" s="20"/>
      <c r="V402" s="20"/>
      <c r="W402" s="20"/>
      <c r="X402" s="20"/>
      <c r="Y402" s="20"/>
      <c r="Z402" s="20"/>
      <c r="AA402" s="20"/>
      <c r="AB402" s="20"/>
      <c r="AC402" s="20"/>
    </row>
    <row r="403">
      <c r="A403" s="20"/>
      <c r="B403" s="20"/>
      <c r="C403" s="20"/>
      <c r="D403" s="20"/>
      <c r="E403" s="20"/>
      <c r="F403" s="20"/>
      <c r="G403" s="20"/>
      <c r="H403" s="121"/>
      <c r="I403" s="121"/>
      <c r="J403" s="121"/>
      <c r="K403" s="121"/>
      <c r="L403" s="121"/>
      <c r="M403" s="122"/>
      <c r="N403" s="122"/>
      <c r="O403" s="122"/>
      <c r="P403" s="123"/>
      <c r="Q403" s="123"/>
      <c r="R403" s="123"/>
      <c r="S403" s="20"/>
      <c r="T403" s="20"/>
      <c r="U403" s="20"/>
      <c r="V403" s="20"/>
      <c r="W403" s="20"/>
      <c r="X403" s="20"/>
      <c r="Y403" s="20"/>
      <c r="Z403" s="20"/>
      <c r="AA403" s="20"/>
      <c r="AB403" s="20"/>
      <c r="AC403" s="20"/>
    </row>
    <row r="404">
      <c r="A404" s="20"/>
      <c r="B404" s="20"/>
      <c r="C404" s="20"/>
      <c r="D404" s="20"/>
      <c r="E404" s="20"/>
      <c r="F404" s="20"/>
      <c r="G404" s="20"/>
      <c r="H404" s="121"/>
      <c r="I404" s="121"/>
      <c r="J404" s="121"/>
      <c r="K404" s="121"/>
      <c r="L404" s="121"/>
      <c r="M404" s="122"/>
      <c r="N404" s="122"/>
      <c r="O404" s="122"/>
      <c r="P404" s="123"/>
      <c r="Q404" s="123"/>
      <c r="R404" s="123"/>
      <c r="S404" s="20"/>
      <c r="T404" s="20"/>
      <c r="U404" s="20"/>
      <c r="V404" s="20"/>
      <c r="W404" s="20"/>
      <c r="X404" s="20"/>
      <c r="Y404" s="20"/>
      <c r="Z404" s="20"/>
      <c r="AA404" s="20"/>
      <c r="AB404" s="20"/>
      <c r="AC404" s="20"/>
    </row>
    <row r="405">
      <c r="A405" s="20"/>
      <c r="B405" s="20"/>
      <c r="C405" s="20"/>
      <c r="D405" s="20"/>
      <c r="E405" s="20"/>
      <c r="F405" s="20"/>
      <c r="G405" s="20"/>
      <c r="H405" s="121"/>
      <c r="I405" s="121"/>
      <c r="J405" s="121"/>
      <c r="K405" s="121"/>
      <c r="L405" s="121"/>
      <c r="M405" s="122"/>
      <c r="N405" s="122"/>
      <c r="O405" s="122"/>
      <c r="P405" s="123"/>
      <c r="Q405" s="123"/>
      <c r="R405" s="123"/>
      <c r="S405" s="20"/>
      <c r="T405" s="20"/>
      <c r="U405" s="20"/>
      <c r="V405" s="20"/>
      <c r="W405" s="20"/>
      <c r="X405" s="20"/>
      <c r="Y405" s="20"/>
      <c r="Z405" s="20"/>
      <c r="AA405" s="20"/>
      <c r="AB405" s="20"/>
      <c r="AC405" s="20"/>
    </row>
    <row r="406">
      <c r="A406" s="20"/>
      <c r="B406" s="20"/>
      <c r="C406" s="20"/>
      <c r="D406" s="20"/>
      <c r="E406" s="20"/>
      <c r="F406" s="20"/>
      <c r="G406" s="20"/>
      <c r="H406" s="121"/>
      <c r="I406" s="121"/>
      <c r="J406" s="121"/>
      <c r="K406" s="121"/>
      <c r="L406" s="121"/>
      <c r="M406" s="122"/>
      <c r="N406" s="122"/>
      <c r="O406" s="122"/>
      <c r="P406" s="123"/>
      <c r="Q406" s="123"/>
      <c r="R406" s="123"/>
      <c r="S406" s="20"/>
      <c r="T406" s="20"/>
      <c r="U406" s="20"/>
      <c r="V406" s="20"/>
      <c r="W406" s="20"/>
      <c r="X406" s="20"/>
      <c r="Y406" s="20"/>
      <c r="Z406" s="20"/>
      <c r="AA406" s="20"/>
      <c r="AB406" s="20"/>
      <c r="AC406" s="20"/>
    </row>
    <row r="407">
      <c r="A407" s="20"/>
      <c r="B407" s="20"/>
      <c r="C407" s="20"/>
      <c r="D407" s="20"/>
      <c r="E407" s="20"/>
      <c r="F407" s="20"/>
      <c r="G407" s="20"/>
      <c r="H407" s="121"/>
      <c r="I407" s="121"/>
      <c r="J407" s="121"/>
      <c r="K407" s="121"/>
      <c r="L407" s="121"/>
      <c r="M407" s="122"/>
      <c r="N407" s="122"/>
      <c r="O407" s="122"/>
      <c r="P407" s="123"/>
      <c r="Q407" s="123"/>
      <c r="R407" s="123"/>
      <c r="S407" s="20"/>
      <c r="T407" s="20"/>
      <c r="U407" s="20"/>
      <c r="V407" s="20"/>
      <c r="W407" s="20"/>
      <c r="X407" s="20"/>
      <c r="Y407" s="20"/>
      <c r="Z407" s="20"/>
      <c r="AA407" s="20"/>
      <c r="AB407" s="20"/>
      <c r="AC407" s="20"/>
    </row>
    <row r="408">
      <c r="A408" s="20"/>
      <c r="B408" s="20"/>
      <c r="C408" s="20"/>
      <c r="D408" s="20"/>
      <c r="E408" s="20"/>
      <c r="F408" s="20"/>
      <c r="G408" s="20"/>
      <c r="H408" s="121"/>
      <c r="I408" s="121"/>
      <c r="J408" s="121"/>
      <c r="K408" s="121"/>
      <c r="L408" s="121"/>
      <c r="M408" s="122"/>
      <c r="N408" s="122"/>
      <c r="O408" s="122"/>
      <c r="P408" s="123"/>
      <c r="Q408" s="123"/>
      <c r="R408" s="123"/>
      <c r="S408" s="20"/>
      <c r="T408" s="20"/>
      <c r="U408" s="20"/>
      <c r="V408" s="20"/>
      <c r="W408" s="20"/>
      <c r="X408" s="20"/>
      <c r="Y408" s="20"/>
      <c r="Z408" s="20"/>
      <c r="AA408" s="20"/>
      <c r="AB408" s="20"/>
      <c r="AC408" s="20"/>
    </row>
    <row r="409">
      <c r="A409" s="20"/>
      <c r="B409" s="20"/>
      <c r="C409" s="20"/>
      <c r="D409" s="20"/>
      <c r="E409" s="20"/>
      <c r="F409" s="20"/>
      <c r="G409" s="20"/>
      <c r="H409" s="121"/>
      <c r="I409" s="121"/>
      <c r="J409" s="121"/>
      <c r="K409" s="121"/>
      <c r="L409" s="121"/>
      <c r="M409" s="122"/>
      <c r="N409" s="122"/>
      <c r="O409" s="122"/>
      <c r="P409" s="123"/>
      <c r="Q409" s="123"/>
      <c r="R409" s="123"/>
      <c r="S409" s="20"/>
      <c r="T409" s="20"/>
      <c r="U409" s="20"/>
      <c r="V409" s="20"/>
      <c r="W409" s="20"/>
      <c r="X409" s="20"/>
      <c r="Y409" s="20"/>
      <c r="Z409" s="20"/>
      <c r="AA409" s="20"/>
      <c r="AB409" s="20"/>
      <c r="AC409" s="20"/>
    </row>
    <row r="410">
      <c r="A410" s="20"/>
      <c r="B410" s="20"/>
      <c r="C410" s="20"/>
      <c r="D410" s="20"/>
      <c r="E410" s="20"/>
      <c r="F410" s="20"/>
      <c r="G410" s="20"/>
      <c r="H410" s="121"/>
      <c r="I410" s="121"/>
      <c r="J410" s="121"/>
      <c r="K410" s="121"/>
      <c r="L410" s="121"/>
      <c r="M410" s="122"/>
      <c r="N410" s="122"/>
      <c r="O410" s="122"/>
      <c r="P410" s="123"/>
      <c r="Q410" s="123"/>
      <c r="R410" s="123"/>
      <c r="S410" s="20"/>
      <c r="T410" s="20"/>
      <c r="U410" s="20"/>
      <c r="V410" s="20"/>
      <c r="W410" s="20"/>
      <c r="X410" s="20"/>
      <c r="Y410" s="20"/>
      <c r="Z410" s="20"/>
      <c r="AA410" s="20"/>
      <c r="AB410" s="20"/>
      <c r="AC410" s="20"/>
    </row>
    <row r="411">
      <c r="A411" s="20"/>
      <c r="B411" s="20"/>
      <c r="C411" s="20"/>
      <c r="D411" s="20"/>
      <c r="E411" s="20"/>
      <c r="F411" s="20"/>
      <c r="G411" s="20"/>
      <c r="H411" s="121"/>
      <c r="I411" s="121"/>
      <c r="J411" s="121"/>
      <c r="K411" s="121"/>
      <c r="L411" s="121"/>
      <c r="M411" s="122"/>
      <c r="N411" s="122"/>
      <c r="O411" s="122"/>
      <c r="P411" s="123"/>
      <c r="Q411" s="123"/>
      <c r="R411" s="123"/>
      <c r="S411" s="20"/>
      <c r="T411" s="20"/>
      <c r="U411" s="20"/>
      <c r="V411" s="20"/>
      <c r="W411" s="20"/>
      <c r="X411" s="20"/>
      <c r="Y411" s="20"/>
      <c r="Z411" s="20"/>
      <c r="AA411" s="20"/>
      <c r="AB411" s="20"/>
      <c r="AC411" s="20"/>
    </row>
    <row r="412">
      <c r="A412" s="20"/>
      <c r="B412" s="20"/>
      <c r="C412" s="20"/>
      <c r="D412" s="20"/>
      <c r="E412" s="20"/>
      <c r="F412" s="20"/>
      <c r="G412" s="20"/>
      <c r="H412" s="121"/>
      <c r="I412" s="121"/>
      <c r="J412" s="121"/>
      <c r="K412" s="121"/>
      <c r="L412" s="121"/>
      <c r="M412" s="122"/>
      <c r="N412" s="122"/>
      <c r="O412" s="122"/>
      <c r="P412" s="123"/>
      <c r="Q412" s="123"/>
      <c r="R412" s="123"/>
      <c r="S412" s="20"/>
      <c r="T412" s="20"/>
      <c r="U412" s="20"/>
      <c r="V412" s="20"/>
      <c r="W412" s="20"/>
      <c r="X412" s="20"/>
      <c r="Y412" s="20"/>
      <c r="Z412" s="20"/>
      <c r="AA412" s="20"/>
      <c r="AB412" s="20"/>
      <c r="AC412" s="20"/>
    </row>
    <row r="413">
      <c r="A413" s="20"/>
      <c r="B413" s="20"/>
      <c r="C413" s="20"/>
      <c r="D413" s="20"/>
      <c r="E413" s="20"/>
      <c r="F413" s="20"/>
      <c r="G413" s="20"/>
      <c r="H413" s="121"/>
      <c r="I413" s="121"/>
      <c r="J413" s="121"/>
      <c r="K413" s="121"/>
      <c r="L413" s="121"/>
      <c r="M413" s="122"/>
      <c r="N413" s="122"/>
      <c r="O413" s="122"/>
      <c r="P413" s="123"/>
      <c r="Q413" s="123"/>
      <c r="R413" s="123"/>
      <c r="S413" s="20"/>
      <c r="T413" s="20"/>
      <c r="U413" s="20"/>
      <c r="V413" s="20"/>
      <c r="W413" s="20"/>
      <c r="X413" s="20"/>
      <c r="Y413" s="20"/>
      <c r="Z413" s="20"/>
      <c r="AA413" s="20"/>
      <c r="AB413" s="20"/>
      <c r="AC413" s="20"/>
    </row>
    <row r="414">
      <c r="A414" s="20"/>
      <c r="B414" s="20"/>
      <c r="C414" s="20"/>
      <c r="D414" s="20"/>
      <c r="E414" s="20"/>
      <c r="F414" s="20"/>
      <c r="G414" s="20"/>
      <c r="H414" s="121"/>
      <c r="I414" s="121"/>
      <c r="J414" s="121"/>
      <c r="K414" s="121"/>
      <c r="L414" s="121"/>
      <c r="M414" s="122"/>
      <c r="N414" s="122"/>
      <c r="O414" s="122"/>
      <c r="P414" s="123"/>
      <c r="Q414" s="123"/>
      <c r="R414" s="123"/>
      <c r="S414" s="20"/>
      <c r="T414" s="20"/>
      <c r="U414" s="20"/>
      <c r="V414" s="20"/>
      <c r="W414" s="20"/>
      <c r="X414" s="20"/>
      <c r="Y414" s="20"/>
      <c r="Z414" s="20"/>
      <c r="AA414" s="20"/>
      <c r="AB414" s="20"/>
      <c r="AC414" s="20"/>
    </row>
    <row r="415">
      <c r="A415" s="20"/>
      <c r="B415" s="20"/>
      <c r="C415" s="20"/>
      <c r="D415" s="20"/>
      <c r="E415" s="20"/>
      <c r="F415" s="20"/>
      <c r="G415" s="20"/>
      <c r="H415" s="121"/>
      <c r="I415" s="121"/>
      <c r="J415" s="121"/>
      <c r="K415" s="121"/>
      <c r="L415" s="121"/>
      <c r="M415" s="122"/>
      <c r="N415" s="122"/>
      <c r="O415" s="122"/>
      <c r="P415" s="123"/>
      <c r="Q415" s="123"/>
      <c r="R415" s="123"/>
      <c r="S415" s="20"/>
      <c r="T415" s="20"/>
      <c r="U415" s="20"/>
      <c r="V415" s="20"/>
      <c r="W415" s="20"/>
      <c r="X415" s="20"/>
      <c r="Y415" s="20"/>
      <c r="Z415" s="20"/>
      <c r="AA415" s="20"/>
      <c r="AB415" s="20"/>
      <c r="AC415" s="20"/>
    </row>
    <row r="416">
      <c r="A416" s="20"/>
      <c r="B416" s="20"/>
      <c r="C416" s="20"/>
      <c r="D416" s="20"/>
      <c r="E416" s="20"/>
      <c r="F416" s="20"/>
      <c r="G416" s="20"/>
      <c r="H416" s="121"/>
      <c r="I416" s="121"/>
      <c r="J416" s="121"/>
      <c r="K416" s="121"/>
      <c r="L416" s="121"/>
      <c r="M416" s="122"/>
      <c r="N416" s="122"/>
      <c r="O416" s="122"/>
      <c r="P416" s="123"/>
      <c r="Q416" s="123"/>
      <c r="R416" s="123"/>
      <c r="S416" s="20"/>
      <c r="T416" s="20"/>
      <c r="U416" s="20"/>
      <c r="V416" s="20"/>
      <c r="W416" s="20"/>
      <c r="X416" s="20"/>
      <c r="Y416" s="20"/>
      <c r="Z416" s="20"/>
      <c r="AA416" s="20"/>
      <c r="AB416" s="20"/>
      <c r="AC416" s="20"/>
    </row>
    <row r="417">
      <c r="A417" s="20"/>
      <c r="B417" s="20"/>
      <c r="C417" s="20"/>
      <c r="D417" s="20"/>
      <c r="E417" s="20"/>
      <c r="F417" s="20"/>
      <c r="G417" s="20"/>
      <c r="H417" s="121"/>
      <c r="I417" s="121"/>
      <c r="J417" s="121"/>
      <c r="K417" s="121"/>
      <c r="L417" s="121"/>
      <c r="M417" s="122"/>
      <c r="N417" s="122"/>
      <c r="O417" s="122"/>
      <c r="P417" s="123"/>
      <c r="Q417" s="123"/>
      <c r="R417" s="123"/>
      <c r="S417" s="20"/>
      <c r="T417" s="20"/>
      <c r="U417" s="20"/>
      <c r="V417" s="20"/>
      <c r="W417" s="20"/>
      <c r="X417" s="20"/>
      <c r="Y417" s="20"/>
      <c r="Z417" s="20"/>
      <c r="AA417" s="20"/>
      <c r="AB417" s="20"/>
      <c r="AC417" s="20"/>
    </row>
    <row r="418">
      <c r="A418" s="20"/>
      <c r="B418" s="20"/>
      <c r="C418" s="20"/>
      <c r="D418" s="20"/>
      <c r="E418" s="20"/>
      <c r="F418" s="20"/>
      <c r="G418" s="20"/>
      <c r="H418" s="121"/>
      <c r="I418" s="121"/>
      <c r="J418" s="121"/>
      <c r="K418" s="121"/>
      <c r="L418" s="121"/>
      <c r="M418" s="122"/>
      <c r="N418" s="122"/>
      <c r="O418" s="122"/>
      <c r="P418" s="123"/>
      <c r="Q418" s="123"/>
      <c r="R418" s="123"/>
      <c r="S418" s="20"/>
      <c r="T418" s="20"/>
      <c r="U418" s="20"/>
      <c r="V418" s="20"/>
      <c r="W418" s="20"/>
      <c r="X418" s="20"/>
      <c r="Y418" s="20"/>
      <c r="Z418" s="20"/>
      <c r="AA418" s="20"/>
      <c r="AB418" s="20"/>
      <c r="AC418" s="20"/>
    </row>
    <row r="419">
      <c r="A419" s="20"/>
      <c r="B419" s="20"/>
      <c r="C419" s="20"/>
      <c r="D419" s="20"/>
      <c r="E419" s="20"/>
      <c r="F419" s="20"/>
      <c r="G419" s="20"/>
      <c r="H419" s="121"/>
      <c r="I419" s="121"/>
      <c r="J419" s="121"/>
      <c r="K419" s="121"/>
      <c r="L419" s="121"/>
      <c r="M419" s="122"/>
      <c r="N419" s="122"/>
      <c r="O419" s="122"/>
      <c r="P419" s="123"/>
      <c r="Q419" s="123"/>
      <c r="R419" s="123"/>
      <c r="S419" s="20"/>
      <c r="T419" s="20"/>
      <c r="U419" s="20"/>
      <c r="V419" s="20"/>
      <c r="W419" s="20"/>
      <c r="X419" s="20"/>
      <c r="Y419" s="20"/>
      <c r="Z419" s="20"/>
      <c r="AA419" s="20"/>
      <c r="AB419" s="20"/>
      <c r="AC419" s="20"/>
    </row>
    <row r="420">
      <c r="A420" s="20"/>
      <c r="B420" s="20"/>
      <c r="C420" s="20"/>
      <c r="D420" s="20"/>
      <c r="E420" s="20"/>
      <c r="F420" s="20"/>
      <c r="G420" s="20"/>
      <c r="H420" s="121"/>
      <c r="I420" s="121"/>
      <c r="J420" s="121"/>
      <c r="K420" s="121"/>
      <c r="L420" s="121"/>
      <c r="M420" s="122"/>
      <c r="N420" s="122"/>
      <c r="O420" s="122"/>
      <c r="P420" s="123"/>
      <c r="Q420" s="123"/>
      <c r="R420" s="123"/>
      <c r="S420" s="20"/>
      <c r="T420" s="20"/>
      <c r="U420" s="20"/>
      <c r="V420" s="20"/>
      <c r="W420" s="20"/>
      <c r="X420" s="20"/>
      <c r="Y420" s="20"/>
      <c r="Z420" s="20"/>
      <c r="AA420" s="20"/>
      <c r="AB420" s="20"/>
      <c r="AC420" s="20"/>
    </row>
    <row r="421">
      <c r="A421" s="20"/>
      <c r="B421" s="20"/>
      <c r="C421" s="20"/>
      <c r="D421" s="20"/>
      <c r="E421" s="20"/>
      <c r="F421" s="20"/>
      <c r="G421" s="20"/>
      <c r="H421" s="121"/>
      <c r="I421" s="121"/>
      <c r="J421" s="121"/>
      <c r="K421" s="121"/>
      <c r="L421" s="121"/>
      <c r="M421" s="122"/>
      <c r="N421" s="122"/>
      <c r="O421" s="122"/>
      <c r="P421" s="123"/>
      <c r="Q421" s="123"/>
      <c r="R421" s="123"/>
      <c r="S421" s="20"/>
      <c r="T421" s="20"/>
      <c r="U421" s="20"/>
      <c r="V421" s="20"/>
      <c r="W421" s="20"/>
      <c r="X421" s="20"/>
      <c r="Y421" s="20"/>
      <c r="Z421" s="20"/>
      <c r="AA421" s="20"/>
      <c r="AB421" s="20"/>
      <c r="AC421" s="20"/>
    </row>
    <row r="422">
      <c r="A422" s="20"/>
      <c r="B422" s="20"/>
      <c r="C422" s="20"/>
      <c r="D422" s="20"/>
      <c r="E422" s="20"/>
      <c r="F422" s="20"/>
      <c r="G422" s="20"/>
      <c r="H422" s="121"/>
      <c r="I422" s="121"/>
      <c r="J422" s="121"/>
      <c r="K422" s="121"/>
      <c r="L422" s="121"/>
      <c r="M422" s="122"/>
      <c r="N422" s="122"/>
      <c r="O422" s="122"/>
      <c r="P422" s="123"/>
      <c r="Q422" s="123"/>
      <c r="R422" s="123"/>
      <c r="S422" s="20"/>
      <c r="T422" s="20"/>
      <c r="U422" s="20"/>
      <c r="V422" s="20"/>
      <c r="W422" s="20"/>
      <c r="X422" s="20"/>
      <c r="Y422" s="20"/>
      <c r="Z422" s="20"/>
      <c r="AA422" s="20"/>
      <c r="AB422" s="20"/>
      <c r="AC422" s="20"/>
    </row>
    <row r="423">
      <c r="A423" s="20"/>
      <c r="B423" s="20"/>
      <c r="C423" s="20"/>
      <c r="D423" s="20"/>
      <c r="E423" s="20"/>
      <c r="F423" s="20"/>
      <c r="G423" s="20"/>
      <c r="H423" s="121"/>
      <c r="I423" s="121"/>
      <c r="J423" s="121"/>
      <c r="K423" s="121"/>
      <c r="L423" s="121"/>
      <c r="M423" s="122"/>
      <c r="N423" s="122"/>
      <c r="O423" s="122"/>
      <c r="P423" s="123"/>
      <c r="Q423" s="123"/>
      <c r="R423" s="123"/>
      <c r="S423" s="20"/>
      <c r="T423" s="20"/>
      <c r="U423" s="20"/>
      <c r="V423" s="20"/>
      <c r="W423" s="20"/>
      <c r="X423" s="20"/>
      <c r="Y423" s="20"/>
      <c r="Z423" s="20"/>
      <c r="AA423" s="20"/>
      <c r="AB423" s="20"/>
      <c r="AC423" s="20"/>
    </row>
    <row r="424">
      <c r="A424" s="20"/>
      <c r="B424" s="20"/>
      <c r="C424" s="20"/>
      <c r="D424" s="20"/>
      <c r="E424" s="20"/>
      <c r="F424" s="20"/>
      <c r="G424" s="20"/>
      <c r="H424" s="121"/>
      <c r="I424" s="121"/>
      <c r="J424" s="121"/>
      <c r="K424" s="121"/>
      <c r="L424" s="121"/>
      <c r="M424" s="122"/>
      <c r="N424" s="122"/>
      <c r="O424" s="122"/>
      <c r="P424" s="123"/>
      <c r="Q424" s="123"/>
      <c r="R424" s="123"/>
      <c r="S424" s="20"/>
      <c r="T424" s="20"/>
      <c r="U424" s="20"/>
      <c r="V424" s="20"/>
      <c r="W424" s="20"/>
      <c r="X424" s="20"/>
      <c r="Y424" s="20"/>
      <c r="Z424" s="20"/>
      <c r="AA424" s="20"/>
      <c r="AB424" s="20"/>
      <c r="AC424" s="20"/>
    </row>
    <row r="425">
      <c r="A425" s="20"/>
      <c r="B425" s="20"/>
      <c r="C425" s="20"/>
      <c r="D425" s="20"/>
      <c r="E425" s="20"/>
      <c r="F425" s="20"/>
      <c r="G425" s="20"/>
      <c r="H425" s="121"/>
      <c r="I425" s="121"/>
      <c r="J425" s="121"/>
      <c r="K425" s="121"/>
      <c r="L425" s="121"/>
      <c r="M425" s="122"/>
      <c r="N425" s="122"/>
      <c r="O425" s="122"/>
      <c r="P425" s="123"/>
      <c r="Q425" s="123"/>
      <c r="R425" s="123"/>
      <c r="S425" s="20"/>
      <c r="T425" s="20"/>
      <c r="U425" s="20"/>
      <c r="V425" s="20"/>
      <c r="W425" s="20"/>
      <c r="X425" s="20"/>
      <c r="Y425" s="20"/>
      <c r="Z425" s="20"/>
      <c r="AA425" s="20"/>
      <c r="AB425" s="20"/>
      <c r="AC425" s="20"/>
    </row>
    <row r="426">
      <c r="A426" s="20"/>
      <c r="B426" s="20"/>
      <c r="C426" s="20"/>
      <c r="D426" s="20"/>
      <c r="E426" s="20"/>
      <c r="F426" s="20"/>
      <c r="G426" s="20"/>
      <c r="H426" s="121"/>
      <c r="I426" s="121"/>
      <c r="J426" s="121"/>
      <c r="K426" s="121"/>
      <c r="L426" s="121"/>
      <c r="M426" s="122"/>
      <c r="N426" s="122"/>
      <c r="O426" s="122"/>
      <c r="P426" s="123"/>
      <c r="Q426" s="123"/>
      <c r="R426" s="123"/>
      <c r="S426" s="20"/>
      <c r="T426" s="20"/>
      <c r="U426" s="20"/>
      <c r="V426" s="20"/>
      <c r="W426" s="20"/>
      <c r="X426" s="20"/>
      <c r="Y426" s="20"/>
      <c r="Z426" s="20"/>
      <c r="AA426" s="20"/>
      <c r="AB426" s="20"/>
      <c r="AC426" s="20"/>
    </row>
    <row r="427">
      <c r="A427" s="20"/>
      <c r="B427" s="20"/>
      <c r="C427" s="20"/>
      <c r="D427" s="20"/>
      <c r="E427" s="20"/>
      <c r="F427" s="20"/>
      <c r="G427" s="20"/>
      <c r="H427" s="121"/>
      <c r="I427" s="121"/>
      <c r="J427" s="121"/>
      <c r="K427" s="121"/>
      <c r="L427" s="121"/>
      <c r="M427" s="122"/>
      <c r="N427" s="122"/>
      <c r="O427" s="122"/>
      <c r="P427" s="123"/>
      <c r="Q427" s="123"/>
      <c r="R427" s="123"/>
      <c r="S427" s="20"/>
      <c r="T427" s="20"/>
      <c r="U427" s="20"/>
      <c r="V427" s="20"/>
      <c r="W427" s="20"/>
      <c r="X427" s="20"/>
      <c r="Y427" s="20"/>
      <c r="Z427" s="20"/>
      <c r="AA427" s="20"/>
      <c r="AB427" s="20"/>
      <c r="AC427" s="20"/>
    </row>
    <row r="428">
      <c r="A428" s="20"/>
      <c r="B428" s="20"/>
      <c r="C428" s="20"/>
      <c r="D428" s="20"/>
      <c r="E428" s="20"/>
      <c r="F428" s="20"/>
      <c r="G428" s="20"/>
      <c r="H428" s="121"/>
      <c r="I428" s="121"/>
      <c r="J428" s="121"/>
      <c r="K428" s="121"/>
      <c r="L428" s="121"/>
      <c r="M428" s="122"/>
      <c r="N428" s="122"/>
      <c r="O428" s="122"/>
      <c r="P428" s="123"/>
      <c r="Q428" s="123"/>
      <c r="R428" s="123"/>
      <c r="S428" s="20"/>
      <c r="T428" s="20"/>
      <c r="U428" s="20"/>
      <c r="V428" s="20"/>
      <c r="W428" s="20"/>
      <c r="X428" s="20"/>
      <c r="Y428" s="20"/>
      <c r="Z428" s="20"/>
      <c r="AA428" s="20"/>
      <c r="AB428" s="20"/>
      <c r="AC428" s="20"/>
    </row>
    <row r="429">
      <c r="A429" s="20"/>
      <c r="B429" s="20"/>
      <c r="C429" s="20"/>
      <c r="D429" s="20"/>
      <c r="E429" s="20"/>
      <c r="F429" s="20"/>
      <c r="G429" s="20"/>
      <c r="H429" s="121"/>
      <c r="I429" s="121"/>
      <c r="J429" s="121"/>
      <c r="K429" s="121"/>
      <c r="L429" s="121"/>
      <c r="M429" s="122"/>
      <c r="N429" s="122"/>
      <c r="O429" s="122"/>
      <c r="P429" s="123"/>
      <c r="Q429" s="123"/>
      <c r="R429" s="123"/>
      <c r="S429" s="20"/>
      <c r="T429" s="20"/>
      <c r="U429" s="20"/>
      <c r="V429" s="20"/>
      <c r="W429" s="20"/>
      <c r="X429" s="20"/>
      <c r="Y429" s="20"/>
      <c r="Z429" s="20"/>
      <c r="AA429" s="20"/>
      <c r="AB429" s="20"/>
      <c r="AC429" s="20"/>
    </row>
    <row r="430">
      <c r="A430" s="20"/>
      <c r="B430" s="20"/>
      <c r="C430" s="20"/>
      <c r="D430" s="20"/>
      <c r="E430" s="20"/>
      <c r="F430" s="20"/>
      <c r="G430" s="20"/>
      <c r="H430" s="121"/>
      <c r="I430" s="121"/>
      <c r="J430" s="121"/>
      <c r="K430" s="121"/>
      <c r="L430" s="121"/>
      <c r="M430" s="122"/>
      <c r="N430" s="122"/>
      <c r="O430" s="122"/>
      <c r="P430" s="123"/>
      <c r="Q430" s="123"/>
      <c r="R430" s="123"/>
      <c r="S430" s="20"/>
      <c r="T430" s="20"/>
      <c r="U430" s="20"/>
      <c r="V430" s="20"/>
      <c r="W430" s="20"/>
      <c r="X430" s="20"/>
      <c r="Y430" s="20"/>
      <c r="Z430" s="20"/>
      <c r="AA430" s="20"/>
      <c r="AB430" s="20"/>
      <c r="AC430" s="20"/>
    </row>
    <row r="431">
      <c r="A431" s="20"/>
      <c r="B431" s="20"/>
      <c r="C431" s="20"/>
      <c r="D431" s="20"/>
      <c r="E431" s="20"/>
      <c r="F431" s="20"/>
      <c r="G431" s="20"/>
      <c r="H431" s="121"/>
      <c r="I431" s="121"/>
      <c r="J431" s="121"/>
      <c r="K431" s="121"/>
      <c r="L431" s="121"/>
      <c r="M431" s="122"/>
      <c r="N431" s="122"/>
      <c r="O431" s="122"/>
      <c r="P431" s="123"/>
      <c r="Q431" s="123"/>
      <c r="R431" s="123"/>
      <c r="S431" s="20"/>
      <c r="T431" s="20"/>
      <c r="U431" s="20"/>
      <c r="V431" s="20"/>
      <c r="W431" s="20"/>
      <c r="X431" s="20"/>
      <c r="Y431" s="20"/>
      <c r="Z431" s="20"/>
      <c r="AA431" s="20"/>
      <c r="AB431" s="20"/>
      <c r="AC431" s="20"/>
    </row>
    <row r="432">
      <c r="A432" s="20"/>
      <c r="B432" s="20"/>
      <c r="C432" s="20"/>
      <c r="D432" s="20"/>
      <c r="E432" s="20"/>
      <c r="F432" s="20"/>
      <c r="G432" s="20"/>
      <c r="H432" s="121"/>
      <c r="I432" s="121"/>
      <c r="J432" s="121"/>
      <c r="K432" s="121"/>
      <c r="L432" s="121"/>
      <c r="M432" s="122"/>
      <c r="N432" s="122"/>
      <c r="O432" s="122"/>
      <c r="P432" s="123"/>
      <c r="Q432" s="123"/>
      <c r="R432" s="123"/>
      <c r="S432" s="20"/>
      <c r="T432" s="20"/>
      <c r="U432" s="20"/>
      <c r="V432" s="20"/>
      <c r="W432" s="20"/>
      <c r="X432" s="20"/>
      <c r="Y432" s="20"/>
      <c r="Z432" s="20"/>
      <c r="AA432" s="20"/>
      <c r="AB432" s="20"/>
      <c r="AC432" s="20"/>
    </row>
    <row r="433">
      <c r="A433" s="20"/>
      <c r="B433" s="20"/>
      <c r="C433" s="20"/>
      <c r="D433" s="20"/>
      <c r="E433" s="20"/>
      <c r="F433" s="20"/>
      <c r="G433" s="20"/>
      <c r="H433" s="121"/>
      <c r="I433" s="121"/>
      <c r="J433" s="121"/>
      <c r="K433" s="121"/>
      <c r="L433" s="121"/>
      <c r="M433" s="122"/>
      <c r="N433" s="122"/>
      <c r="O433" s="122"/>
      <c r="P433" s="123"/>
      <c r="Q433" s="123"/>
      <c r="R433" s="123"/>
      <c r="S433" s="20"/>
      <c r="T433" s="20"/>
      <c r="U433" s="20"/>
      <c r="V433" s="20"/>
      <c r="W433" s="20"/>
      <c r="X433" s="20"/>
      <c r="Y433" s="20"/>
      <c r="Z433" s="20"/>
      <c r="AA433" s="20"/>
      <c r="AB433" s="20"/>
      <c r="AC433" s="20"/>
    </row>
    <row r="434">
      <c r="A434" s="20"/>
      <c r="B434" s="20"/>
      <c r="C434" s="20"/>
      <c r="D434" s="20"/>
      <c r="E434" s="20"/>
      <c r="F434" s="20"/>
      <c r="G434" s="20"/>
      <c r="H434" s="121"/>
      <c r="I434" s="121"/>
      <c r="J434" s="121"/>
      <c r="K434" s="121"/>
      <c r="L434" s="121"/>
      <c r="M434" s="122"/>
      <c r="N434" s="122"/>
      <c r="O434" s="122"/>
      <c r="P434" s="123"/>
      <c r="Q434" s="123"/>
      <c r="R434" s="123"/>
      <c r="S434" s="20"/>
      <c r="T434" s="20"/>
      <c r="U434" s="20"/>
      <c r="V434" s="20"/>
      <c r="W434" s="20"/>
      <c r="X434" s="20"/>
      <c r="Y434" s="20"/>
      <c r="Z434" s="20"/>
      <c r="AA434" s="20"/>
      <c r="AB434" s="20"/>
      <c r="AC434" s="20"/>
    </row>
    <row r="435">
      <c r="A435" s="20"/>
      <c r="B435" s="20"/>
      <c r="C435" s="20"/>
      <c r="D435" s="20"/>
      <c r="E435" s="20"/>
      <c r="F435" s="20"/>
      <c r="G435" s="20"/>
      <c r="H435" s="121"/>
      <c r="I435" s="121"/>
      <c r="J435" s="121"/>
      <c r="K435" s="121"/>
      <c r="L435" s="121"/>
      <c r="M435" s="122"/>
      <c r="N435" s="122"/>
      <c r="O435" s="122"/>
      <c r="P435" s="123"/>
      <c r="Q435" s="123"/>
      <c r="R435" s="123"/>
      <c r="S435" s="20"/>
      <c r="T435" s="20"/>
      <c r="U435" s="20"/>
      <c r="V435" s="20"/>
      <c r="W435" s="20"/>
      <c r="X435" s="20"/>
      <c r="Y435" s="20"/>
      <c r="Z435" s="20"/>
      <c r="AA435" s="20"/>
      <c r="AB435" s="20"/>
      <c r="AC435" s="20"/>
    </row>
    <row r="436">
      <c r="A436" s="20"/>
      <c r="B436" s="20"/>
      <c r="C436" s="20"/>
      <c r="D436" s="20"/>
      <c r="E436" s="20"/>
      <c r="F436" s="20"/>
      <c r="G436" s="20"/>
      <c r="H436" s="121"/>
      <c r="I436" s="121"/>
      <c r="J436" s="121"/>
      <c r="K436" s="121"/>
      <c r="L436" s="121"/>
      <c r="M436" s="122"/>
      <c r="N436" s="122"/>
      <c r="O436" s="122"/>
      <c r="P436" s="123"/>
      <c r="Q436" s="123"/>
      <c r="R436" s="123"/>
      <c r="S436" s="20"/>
      <c r="T436" s="20"/>
      <c r="U436" s="20"/>
      <c r="V436" s="20"/>
      <c r="W436" s="20"/>
      <c r="X436" s="20"/>
      <c r="Y436" s="20"/>
      <c r="Z436" s="20"/>
      <c r="AA436" s="20"/>
      <c r="AB436" s="20"/>
      <c r="AC436" s="20"/>
    </row>
    <row r="437">
      <c r="A437" s="20"/>
      <c r="B437" s="20"/>
      <c r="C437" s="20"/>
      <c r="D437" s="20"/>
      <c r="E437" s="20"/>
      <c r="F437" s="20"/>
      <c r="G437" s="20"/>
      <c r="H437" s="121"/>
      <c r="I437" s="121"/>
      <c r="J437" s="121"/>
      <c r="K437" s="121"/>
      <c r="L437" s="121"/>
      <c r="M437" s="122"/>
      <c r="N437" s="122"/>
      <c r="O437" s="122"/>
      <c r="P437" s="123"/>
      <c r="Q437" s="123"/>
      <c r="R437" s="123"/>
      <c r="S437" s="20"/>
      <c r="T437" s="20"/>
      <c r="U437" s="20"/>
      <c r="V437" s="20"/>
      <c r="W437" s="20"/>
      <c r="X437" s="20"/>
      <c r="Y437" s="20"/>
      <c r="Z437" s="20"/>
      <c r="AA437" s="20"/>
      <c r="AB437" s="20"/>
      <c r="AC437" s="20"/>
    </row>
    <row r="438">
      <c r="A438" s="20"/>
      <c r="B438" s="20"/>
      <c r="C438" s="20"/>
      <c r="D438" s="20"/>
      <c r="E438" s="20"/>
      <c r="F438" s="20"/>
      <c r="G438" s="20"/>
      <c r="H438" s="121"/>
      <c r="I438" s="121"/>
      <c r="J438" s="121"/>
      <c r="K438" s="121"/>
      <c r="L438" s="121"/>
      <c r="M438" s="122"/>
      <c r="N438" s="122"/>
      <c r="O438" s="122"/>
      <c r="P438" s="123"/>
      <c r="Q438" s="123"/>
      <c r="R438" s="123"/>
      <c r="S438" s="20"/>
      <c r="T438" s="20"/>
      <c r="U438" s="20"/>
      <c r="V438" s="20"/>
      <c r="W438" s="20"/>
      <c r="X438" s="20"/>
      <c r="Y438" s="20"/>
      <c r="Z438" s="20"/>
      <c r="AA438" s="20"/>
      <c r="AB438" s="20"/>
      <c r="AC438" s="20"/>
    </row>
    <row r="439">
      <c r="A439" s="20"/>
      <c r="B439" s="20"/>
      <c r="C439" s="20"/>
      <c r="D439" s="20"/>
      <c r="E439" s="20"/>
      <c r="F439" s="20"/>
      <c r="G439" s="20"/>
      <c r="H439" s="121"/>
      <c r="I439" s="121"/>
      <c r="J439" s="121"/>
      <c r="K439" s="121"/>
      <c r="L439" s="121"/>
      <c r="M439" s="122"/>
      <c r="N439" s="122"/>
      <c r="O439" s="122"/>
      <c r="P439" s="123"/>
      <c r="Q439" s="123"/>
      <c r="R439" s="123"/>
      <c r="S439" s="20"/>
      <c r="T439" s="20"/>
      <c r="U439" s="20"/>
      <c r="V439" s="20"/>
      <c r="W439" s="20"/>
      <c r="X439" s="20"/>
      <c r="Y439" s="20"/>
      <c r="Z439" s="20"/>
      <c r="AA439" s="20"/>
      <c r="AB439" s="20"/>
      <c r="AC439" s="20"/>
    </row>
    <row r="440">
      <c r="A440" s="20"/>
      <c r="B440" s="20"/>
      <c r="C440" s="20"/>
      <c r="D440" s="20"/>
      <c r="E440" s="20"/>
      <c r="F440" s="20"/>
      <c r="G440" s="20"/>
      <c r="H440" s="121"/>
      <c r="I440" s="121"/>
      <c r="J440" s="121"/>
      <c r="K440" s="121"/>
      <c r="L440" s="121"/>
      <c r="M440" s="122"/>
      <c r="N440" s="122"/>
      <c r="O440" s="122"/>
      <c r="P440" s="123"/>
      <c r="Q440" s="123"/>
      <c r="R440" s="123"/>
      <c r="S440" s="20"/>
      <c r="T440" s="20"/>
      <c r="U440" s="20"/>
      <c r="V440" s="20"/>
      <c r="W440" s="20"/>
      <c r="X440" s="20"/>
      <c r="Y440" s="20"/>
      <c r="Z440" s="20"/>
      <c r="AA440" s="20"/>
      <c r="AB440" s="20"/>
      <c r="AC440" s="20"/>
    </row>
    <row r="441">
      <c r="A441" s="20"/>
      <c r="B441" s="20"/>
      <c r="C441" s="20"/>
      <c r="D441" s="20"/>
      <c r="E441" s="20"/>
      <c r="F441" s="20"/>
      <c r="G441" s="20"/>
      <c r="H441" s="121"/>
      <c r="I441" s="121"/>
      <c r="J441" s="121"/>
      <c r="K441" s="121"/>
      <c r="L441" s="121"/>
      <c r="M441" s="122"/>
      <c r="N441" s="122"/>
      <c r="O441" s="122"/>
      <c r="P441" s="123"/>
      <c r="Q441" s="123"/>
      <c r="R441" s="123"/>
      <c r="S441" s="20"/>
      <c r="T441" s="20"/>
      <c r="U441" s="20"/>
      <c r="V441" s="20"/>
      <c r="W441" s="20"/>
      <c r="X441" s="20"/>
      <c r="Y441" s="20"/>
      <c r="Z441" s="20"/>
      <c r="AA441" s="20"/>
      <c r="AB441" s="20"/>
      <c r="AC441" s="20"/>
    </row>
    <row r="442">
      <c r="A442" s="20"/>
      <c r="B442" s="20"/>
      <c r="C442" s="20"/>
      <c r="D442" s="20"/>
      <c r="E442" s="20"/>
      <c r="F442" s="20"/>
      <c r="G442" s="20"/>
      <c r="H442" s="121"/>
      <c r="I442" s="121"/>
      <c r="J442" s="121"/>
      <c r="K442" s="121"/>
      <c r="L442" s="121"/>
      <c r="M442" s="122"/>
      <c r="N442" s="122"/>
      <c r="O442" s="122"/>
      <c r="P442" s="123"/>
      <c r="Q442" s="123"/>
      <c r="R442" s="123"/>
      <c r="S442" s="20"/>
      <c r="T442" s="20"/>
      <c r="U442" s="20"/>
      <c r="V442" s="20"/>
      <c r="W442" s="20"/>
      <c r="X442" s="20"/>
      <c r="Y442" s="20"/>
      <c r="Z442" s="20"/>
      <c r="AA442" s="20"/>
      <c r="AB442" s="20"/>
      <c r="AC442" s="20"/>
    </row>
    <row r="443">
      <c r="A443" s="20"/>
      <c r="B443" s="20"/>
      <c r="C443" s="20"/>
      <c r="D443" s="20"/>
      <c r="E443" s="20"/>
      <c r="F443" s="20"/>
      <c r="G443" s="20"/>
      <c r="H443" s="121"/>
      <c r="I443" s="121"/>
      <c r="J443" s="121"/>
      <c r="K443" s="121"/>
      <c r="L443" s="121"/>
      <c r="M443" s="122"/>
      <c r="N443" s="122"/>
      <c r="O443" s="122"/>
      <c r="P443" s="123"/>
      <c r="Q443" s="123"/>
      <c r="R443" s="123"/>
      <c r="S443" s="20"/>
      <c r="T443" s="20"/>
      <c r="U443" s="20"/>
      <c r="V443" s="20"/>
      <c r="W443" s="20"/>
      <c r="X443" s="20"/>
      <c r="Y443" s="20"/>
      <c r="Z443" s="20"/>
      <c r="AA443" s="20"/>
      <c r="AB443" s="20"/>
      <c r="AC443" s="20"/>
    </row>
    <row r="444">
      <c r="A444" s="20"/>
      <c r="B444" s="20"/>
      <c r="C444" s="20"/>
      <c r="D444" s="20"/>
      <c r="E444" s="20"/>
      <c r="F444" s="20"/>
      <c r="G444" s="20"/>
      <c r="H444" s="121"/>
      <c r="I444" s="121"/>
      <c r="J444" s="121"/>
      <c r="K444" s="121"/>
      <c r="L444" s="121"/>
      <c r="M444" s="122"/>
      <c r="N444" s="122"/>
      <c r="O444" s="122"/>
      <c r="P444" s="123"/>
      <c r="Q444" s="123"/>
      <c r="R444" s="123"/>
      <c r="S444" s="20"/>
      <c r="T444" s="20"/>
      <c r="U444" s="20"/>
      <c r="V444" s="20"/>
      <c r="W444" s="20"/>
      <c r="X444" s="20"/>
      <c r="Y444" s="20"/>
      <c r="Z444" s="20"/>
      <c r="AA444" s="20"/>
      <c r="AB444" s="20"/>
      <c r="AC444" s="20"/>
    </row>
    <row r="445">
      <c r="A445" s="20"/>
      <c r="B445" s="20"/>
      <c r="C445" s="20"/>
      <c r="D445" s="20"/>
      <c r="E445" s="20"/>
      <c r="F445" s="20"/>
      <c r="G445" s="20"/>
      <c r="H445" s="121"/>
      <c r="I445" s="121"/>
      <c r="J445" s="121"/>
      <c r="K445" s="121"/>
      <c r="L445" s="121"/>
      <c r="M445" s="122"/>
      <c r="N445" s="122"/>
      <c r="O445" s="122"/>
      <c r="P445" s="123"/>
      <c r="Q445" s="123"/>
      <c r="R445" s="123"/>
      <c r="S445" s="20"/>
      <c r="T445" s="20"/>
      <c r="U445" s="20"/>
      <c r="V445" s="20"/>
      <c r="W445" s="20"/>
      <c r="X445" s="20"/>
      <c r="Y445" s="20"/>
      <c r="Z445" s="20"/>
      <c r="AA445" s="20"/>
      <c r="AB445" s="20"/>
      <c r="AC445" s="20"/>
    </row>
    <row r="446">
      <c r="A446" s="20"/>
      <c r="B446" s="20"/>
      <c r="C446" s="20"/>
      <c r="D446" s="20"/>
      <c r="E446" s="20"/>
      <c r="F446" s="20"/>
      <c r="G446" s="20"/>
      <c r="H446" s="121"/>
      <c r="I446" s="121"/>
      <c r="J446" s="121"/>
      <c r="K446" s="121"/>
      <c r="L446" s="121"/>
      <c r="M446" s="122"/>
      <c r="N446" s="122"/>
      <c r="O446" s="122"/>
      <c r="P446" s="123"/>
      <c r="Q446" s="123"/>
      <c r="R446" s="123"/>
      <c r="S446" s="20"/>
      <c r="T446" s="20"/>
      <c r="U446" s="20"/>
      <c r="V446" s="20"/>
      <c r="W446" s="20"/>
      <c r="X446" s="20"/>
      <c r="Y446" s="20"/>
      <c r="Z446" s="20"/>
      <c r="AA446" s="20"/>
      <c r="AB446" s="20"/>
      <c r="AC446" s="20"/>
    </row>
    <row r="447">
      <c r="A447" s="20"/>
      <c r="B447" s="20"/>
      <c r="C447" s="20"/>
      <c r="D447" s="20"/>
      <c r="E447" s="20"/>
      <c r="F447" s="20"/>
      <c r="G447" s="20"/>
      <c r="H447" s="121"/>
      <c r="I447" s="121"/>
      <c r="J447" s="121"/>
      <c r="K447" s="121"/>
      <c r="L447" s="121"/>
      <c r="M447" s="122"/>
      <c r="N447" s="122"/>
      <c r="O447" s="122"/>
      <c r="P447" s="123"/>
      <c r="Q447" s="123"/>
      <c r="R447" s="123"/>
      <c r="S447" s="20"/>
      <c r="T447" s="20"/>
      <c r="U447" s="20"/>
      <c r="V447" s="20"/>
      <c r="W447" s="20"/>
      <c r="X447" s="20"/>
      <c r="Y447" s="20"/>
      <c r="Z447" s="20"/>
      <c r="AA447" s="20"/>
      <c r="AB447" s="20"/>
      <c r="AC447" s="20"/>
    </row>
    <row r="448">
      <c r="A448" s="20"/>
      <c r="B448" s="20"/>
      <c r="C448" s="20"/>
      <c r="D448" s="20"/>
      <c r="E448" s="20"/>
      <c r="F448" s="20"/>
      <c r="G448" s="20"/>
      <c r="H448" s="121"/>
      <c r="I448" s="121"/>
      <c r="J448" s="121"/>
      <c r="K448" s="121"/>
      <c r="L448" s="121"/>
      <c r="M448" s="122"/>
      <c r="N448" s="122"/>
      <c r="O448" s="122"/>
      <c r="P448" s="123"/>
      <c r="Q448" s="123"/>
      <c r="R448" s="123"/>
      <c r="S448" s="20"/>
      <c r="T448" s="20"/>
      <c r="U448" s="20"/>
      <c r="V448" s="20"/>
      <c r="W448" s="20"/>
      <c r="X448" s="20"/>
      <c r="Y448" s="20"/>
      <c r="Z448" s="20"/>
      <c r="AA448" s="20"/>
      <c r="AB448" s="20"/>
      <c r="AC448" s="20"/>
    </row>
    <row r="449">
      <c r="A449" s="20"/>
      <c r="B449" s="20"/>
      <c r="C449" s="20"/>
      <c r="D449" s="20"/>
      <c r="E449" s="20"/>
      <c r="F449" s="20"/>
      <c r="G449" s="20"/>
      <c r="H449" s="121"/>
      <c r="I449" s="121"/>
      <c r="J449" s="121"/>
      <c r="K449" s="121"/>
      <c r="L449" s="121"/>
      <c r="M449" s="122"/>
      <c r="N449" s="122"/>
      <c r="O449" s="122"/>
      <c r="P449" s="123"/>
      <c r="Q449" s="123"/>
      <c r="R449" s="123"/>
      <c r="S449" s="20"/>
      <c r="T449" s="20"/>
      <c r="U449" s="20"/>
      <c r="V449" s="20"/>
      <c r="W449" s="20"/>
      <c r="X449" s="20"/>
      <c r="Y449" s="20"/>
      <c r="Z449" s="20"/>
      <c r="AA449" s="20"/>
      <c r="AB449" s="20"/>
      <c r="AC449" s="20"/>
    </row>
    <row r="450">
      <c r="A450" s="20"/>
      <c r="B450" s="20"/>
      <c r="C450" s="20"/>
      <c r="D450" s="20"/>
      <c r="E450" s="20"/>
      <c r="F450" s="20"/>
      <c r="G450" s="20"/>
      <c r="H450" s="121"/>
      <c r="I450" s="121"/>
      <c r="J450" s="121"/>
      <c r="K450" s="121"/>
      <c r="L450" s="121"/>
      <c r="M450" s="122"/>
      <c r="N450" s="122"/>
      <c r="O450" s="122"/>
      <c r="P450" s="123"/>
      <c r="Q450" s="123"/>
      <c r="R450" s="123"/>
      <c r="S450" s="20"/>
      <c r="T450" s="20"/>
      <c r="U450" s="20"/>
      <c r="V450" s="20"/>
      <c r="W450" s="20"/>
      <c r="X450" s="20"/>
      <c r="Y450" s="20"/>
      <c r="Z450" s="20"/>
      <c r="AA450" s="20"/>
      <c r="AB450" s="20"/>
      <c r="AC450" s="20"/>
    </row>
    <row r="451">
      <c r="A451" s="20"/>
      <c r="B451" s="20"/>
      <c r="C451" s="20"/>
      <c r="D451" s="20"/>
      <c r="E451" s="20"/>
      <c r="F451" s="20"/>
      <c r="G451" s="20"/>
      <c r="H451" s="121"/>
      <c r="I451" s="121"/>
      <c r="J451" s="121"/>
      <c r="K451" s="121"/>
      <c r="L451" s="121"/>
      <c r="M451" s="122"/>
      <c r="N451" s="122"/>
      <c r="O451" s="122"/>
      <c r="P451" s="123"/>
      <c r="Q451" s="123"/>
      <c r="R451" s="123"/>
      <c r="S451" s="20"/>
      <c r="T451" s="20"/>
      <c r="U451" s="20"/>
      <c r="V451" s="20"/>
      <c r="W451" s="20"/>
      <c r="X451" s="20"/>
      <c r="Y451" s="20"/>
      <c r="Z451" s="20"/>
      <c r="AA451" s="20"/>
      <c r="AB451" s="20"/>
      <c r="AC451" s="20"/>
    </row>
    <row r="452">
      <c r="A452" s="20"/>
      <c r="B452" s="20"/>
      <c r="C452" s="20"/>
      <c r="D452" s="20"/>
      <c r="E452" s="20"/>
      <c r="F452" s="20"/>
      <c r="G452" s="20"/>
      <c r="H452" s="121"/>
      <c r="I452" s="121"/>
      <c r="J452" s="121"/>
      <c r="K452" s="121"/>
      <c r="L452" s="121"/>
      <c r="M452" s="122"/>
      <c r="N452" s="122"/>
      <c r="O452" s="122"/>
      <c r="P452" s="123"/>
      <c r="Q452" s="123"/>
      <c r="R452" s="123"/>
      <c r="S452" s="20"/>
      <c r="T452" s="20"/>
      <c r="U452" s="20"/>
      <c r="V452" s="20"/>
      <c r="W452" s="20"/>
      <c r="X452" s="20"/>
      <c r="Y452" s="20"/>
      <c r="Z452" s="20"/>
      <c r="AA452" s="20"/>
      <c r="AB452" s="20"/>
      <c r="AC452" s="20"/>
    </row>
    <row r="453">
      <c r="A453" s="20"/>
      <c r="B453" s="20"/>
      <c r="C453" s="20"/>
      <c r="D453" s="20"/>
      <c r="E453" s="20"/>
      <c r="F453" s="20"/>
      <c r="G453" s="20"/>
      <c r="H453" s="121"/>
      <c r="I453" s="121"/>
      <c r="J453" s="121"/>
      <c r="K453" s="121"/>
      <c r="L453" s="121"/>
      <c r="M453" s="122"/>
      <c r="N453" s="122"/>
      <c r="O453" s="122"/>
      <c r="P453" s="123"/>
      <c r="Q453" s="123"/>
      <c r="R453" s="123"/>
      <c r="S453" s="20"/>
      <c r="T453" s="20"/>
      <c r="U453" s="20"/>
      <c r="V453" s="20"/>
      <c r="W453" s="20"/>
      <c r="X453" s="20"/>
      <c r="Y453" s="20"/>
      <c r="Z453" s="20"/>
      <c r="AA453" s="20"/>
      <c r="AB453" s="20"/>
      <c r="AC453" s="20"/>
    </row>
    <row r="454">
      <c r="A454" s="20"/>
      <c r="B454" s="20"/>
      <c r="C454" s="20"/>
      <c r="D454" s="20"/>
      <c r="E454" s="20"/>
      <c r="F454" s="20"/>
      <c r="G454" s="20"/>
      <c r="H454" s="121"/>
      <c r="I454" s="121"/>
      <c r="J454" s="121"/>
      <c r="K454" s="121"/>
      <c r="L454" s="121"/>
      <c r="M454" s="122"/>
      <c r="N454" s="122"/>
      <c r="O454" s="122"/>
      <c r="P454" s="123"/>
      <c r="Q454" s="123"/>
      <c r="R454" s="123"/>
      <c r="S454" s="20"/>
      <c r="T454" s="20"/>
      <c r="U454" s="20"/>
      <c r="V454" s="20"/>
      <c r="W454" s="20"/>
      <c r="X454" s="20"/>
      <c r="Y454" s="20"/>
      <c r="Z454" s="20"/>
      <c r="AA454" s="20"/>
      <c r="AB454" s="20"/>
      <c r="AC454" s="20"/>
    </row>
    <row r="455">
      <c r="A455" s="20"/>
      <c r="B455" s="20"/>
      <c r="C455" s="20"/>
      <c r="D455" s="20"/>
      <c r="E455" s="20"/>
      <c r="F455" s="20"/>
      <c r="G455" s="20"/>
      <c r="H455" s="121"/>
      <c r="I455" s="121"/>
      <c r="J455" s="121"/>
      <c r="K455" s="121"/>
      <c r="L455" s="121"/>
      <c r="M455" s="122"/>
      <c r="N455" s="122"/>
      <c r="O455" s="122"/>
      <c r="P455" s="123"/>
      <c r="Q455" s="123"/>
      <c r="R455" s="123"/>
      <c r="S455" s="20"/>
      <c r="T455" s="20"/>
      <c r="U455" s="20"/>
      <c r="V455" s="20"/>
      <c r="W455" s="20"/>
      <c r="X455" s="20"/>
      <c r="Y455" s="20"/>
      <c r="Z455" s="20"/>
      <c r="AA455" s="20"/>
      <c r="AB455" s="20"/>
      <c r="AC455" s="20"/>
    </row>
    <row r="456">
      <c r="A456" s="20"/>
      <c r="B456" s="20"/>
      <c r="C456" s="20"/>
      <c r="D456" s="20"/>
      <c r="E456" s="20"/>
      <c r="F456" s="20"/>
      <c r="G456" s="20"/>
      <c r="H456" s="121"/>
      <c r="I456" s="121"/>
      <c r="J456" s="121"/>
      <c r="K456" s="121"/>
      <c r="L456" s="121"/>
      <c r="M456" s="122"/>
      <c r="N456" s="122"/>
      <c r="O456" s="122"/>
      <c r="P456" s="123"/>
      <c r="Q456" s="123"/>
      <c r="R456" s="123"/>
      <c r="S456" s="20"/>
      <c r="T456" s="20"/>
      <c r="U456" s="20"/>
      <c r="V456" s="20"/>
      <c r="W456" s="20"/>
      <c r="X456" s="20"/>
      <c r="Y456" s="20"/>
      <c r="Z456" s="20"/>
      <c r="AA456" s="20"/>
      <c r="AB456" s="20"/>
      <c r="AC456" s="20"/>
    </row>
    <row r="457">
      <c r="A457" s="20"/>
      <c r="B457" s="20"/>
      <c r="C457" s="20"/>
      <c r="D457" s="20"/>
      <c r="E457" s="20"/>
      <c r="F457" s="20"/>
      <c r="G457" s="20"/>
      <c r="H457" s="121"/>
      <c r="I457" s="121"/>
      <c r="J457" s="121"/>
      <c r="K457" s="121"/>
      <c r="L457" s="121"/>
      <c r="M457" s="122"/>
      <c r="N457" s="122"/>
      <c r="O457" s="122"/>
      <c r="P457" s="123"/>
      <c r="Q457" s="123"/>
      <c r="R457" s="123"/>
      <c r="S457" s="20"/>
      <c r="T457" s="20"/>
      <c r="U457" s="20"/>
      <c r="V457" s="20"/>
      <c r="W457" s="20"/>
      <c r="X457" s="20"/>
      <c r="Y457" s="20"/>
      <c r="Z457" s="20"/>
      <c r="AA457" s="20"/>
      <c r="AB457" s="20"/>
      <c r="AC457" s="20"/>
    </row>
    <row r="458">
      <c r="A458" s="20"/>
      <c r="B458" s="20"/>
      <c r="C458" s="20"/>
      <c r="D458" s="20"/>
      <c r="E458" s="20"/>
      <c r="F458" s="20"/>
      <c r="G458" s="20"/>
      <c r="H458" s="121"/>
      <c r="I458" s="121"/>
      <c r="J458" s="121"/>
      <c r="K458" s="121"/>
      <c r="L458" s="121"/>
      <c r="M458" s="122"/>
      <c r="N458" s="122"/>
      <c r="O458" s="122"/>
      <c r="P458" s="123"/>
      <c r="Q458" s="123"/>
      <c r="R458" s="123"/>
      <c r="S458" s="20"/>
      <c r="T458" s="20"/>
      <c r="U458" s="20"/>
      <c r="V458" s="20"/>
      <c r="W458" s="20"/>
      <c r="X458" s="20"/>
      <c r="Y458" s="20"/>
      <c r="Z458" s="20"/>
      <c r="AA458" s="20"/>
      <c r="AB458" s="20"/>
      <c r="AC458" s="20"/>
    </row>
    <row r="459">
      <c r="A459" s="20"/>
      <c r="B459" s="20"/>
      <c r="C459" s="20"/>
      <c r="D459" s="20"/>
      <c r="E459" s="20"/>
      <c r="F459" s="20"/>
      <c r="G459" s="20"/>
      <c r="H459" s="121"/>
      <c r="I459" s="121"/>
      <c r="J459" s="121"/>
      <c r="K459" s="121"/>
      <c r="L459" s="121"/>
      <c r="M459" s="122"/>
      <c r="N459" s="122"/>
      <c r="O459" s="122"/>
      <c r="P459" s="123"/>
      <c r="Q459" s="123"/>
      <c r="R459" s="123"/>
      <c r="S459" s="20"/>
      <c r="T459" s="20"/>
      <c r="U459" s="20"/>
      <c r="V459" s="20"/>
      <c r="W459" s="20"/>
      <c r="X459" s="20"/>
      <c r="Y459" s="20"/>
      <c r="Z459" s="20"/>
      <c r="AA459" s="20"/>
      <c r="AB459" s="20"/>
      <c r="AC459" s="20"/>
    </row>
    <row r="460">
      <c r="A460" s="20"/>
      <c r="B460" s="20"/>
      <c r="C460" s="20"/>
      <c r="D460" s="20"/>
      <c r="E460" s="20"/>
      <c r="F460" s="20"/>
      <c r="G460" s="20"/>
      <c r="H460" s="121"/>
      <c r="I460" s="121"/>
      <c r="J460" s="121"/>
      <c r="K460" s="121"/>
      <c r="L460" s="121"/>
      <c r="M460" s="122"/>
      <c r="N460" s="122"/>
      <c r="O460" s="122"/>
      <c r="P460" s="123"/>
      <c r="Q460" s="123"/>
      <c r="R460" s="123"/>
      <c r="S460" s="20"/>
      <c r="T460" s="20"/>
      <c r="U460" s="20"/>
      <c r="V460" s="20"/>
      <c r="W460" s="20"/>
      <c r="X460" s="20"/>
      <c r="Y460" s="20"/>
      <c r="Z460" s="20"/>
      <c r="AA460" s="20"/>
      <c r="AB460" s="20"/>
      <c r="AC460" s="20"/>
    </row>
    <row r="461">
      <c r="A461" s="20"/>
      <c r="B461" s="20"/>
      <c r="C461" s="20"/>
      <c r="D461" s="20"/>
      <c r="E461" s="20"/>
      <c r="F461" s="20"/>
      <c r="G461" s="20"/>
      <c r="H461" s="121"/>
      <c r="I461" s="121"/>
      <c r="J461" s="121"/>
      <c r="K461" s="121"/>
      <c r="L461" s="121"/>
      <c r="M461" s="122"/>
      <c r="N461" s="122"/>
      <c r="O461" s="122"/>
      <c r="P461" s="123"/>
      <c r="Q461" s="123"/>
      <c r="R461" s="123"/>
      <c r="S461" s="20"/>
      <c r="T461" s="20"/>
      <c r="U461" s="20"/>
      <c r="V461" s="20"/>
      <c r="W461" s="20"/>
      <c r="X461" s="20"/>
      <c r="Y461" s="20"/>
      <c r="Z461" s="20"/>
      <c r="AA461" s="20"/>
      <c r="AB461" s="20"/>
      <c r="AC461" s="20"/>
    </row>
    <row r="462">
      <c r="A462" s="20"/>
      <c r="B462" s="20"/>
      <c r="C462" s="20"/>
      <c r="D462" s="20"/>
      <c r="E462" s="20"/>
      <c r="F462" s="20"/>
      <c r="G462" s="20"/>
      <c r="H462" s="121"/>
      <c r="I462" s="121"/>
      <c r="J462" s="121"/>
      <c r="K462" s="121"/>
      <c r="L462" s="121"/>
      <c r="M462" s="122"/>
      <c r="N462" s="122"/>
      <c r="O462" s="122"/>
      <c r="P462" s="123"/>
      <c r="Q462" s="123"/>
      <c r="R462" s="123"/>
      <c r="S462" s="20"/>
      <c r="T462" s="20"/>
      <c r="U462" s="20"/>
      <c r="V462" s="20"/>
      <c r="W462" s="20"/>
      <c r="X462" s="20"/>
      <c r="Y462" s="20"/>
      <c r="Z462" s="20"/>
      <c r="AA462" s="20"/>
      <c r="AB462" s="20"/>
      <c r="AC462" s="20"/>
    </row>
    <row r="463">
      <c r="A463" s="20"/>
      <c r="B463" s="20"/>
      <c r="C463" s="20"/>
      <c r="D463" s="20"/>
      <c r="E463" s="20"/>
      <c r="F463" s="20"/>
      <c r="G463" s="20"/>
      <c r="H463" s="121"/>
      <c r="I463" s="121"/>
      <c r="J463" s="121"/>
      <c r="K463" s="121"/>
      <c r="L463" s="121"/>
      <c r="M463" s="122"/>
      <c r="N463" s="122"/>
      <c r="O463" s="122"/>
      <c r="P463" s="123"/>
      <c r="Q463" s="123"/>
      <c r="R463" s="123"/>
      <c r="S463" s="20"/>
      <c r="T463" s="20"/>
      <c r="U463" s="20"/>
      <c r="V463" s="20"/>
      <c r="W463" s="20"/>
      <c r="X463" s="20"/>
      <c r="Y463" s="20"/>
      <c r="Z463" s="20"/>
      <c r="AA463" s="20"/>
      <c r="AB463" s="20"/>
      <c r="AC463" s="20"/>
    </row>
    <row r="464">
      <c r="A464" s="20"/>
      <c r="B464" s="20"/>
      <c r="C464" s="20"/>
      <c r="D464" s="20"/>
      <c r="E464" s="20"/>
      <c r="F464" s="20"/>
      <c r="G464" s="20"/>
      <c r="H464" s="121"/>
      <c r="I464" s="121"/>
      <c r="J464" s="121"/>
      <c r="K464" s="121"/>
      <c r="L464" s="121"/>
      <c r="M464" s="122"/>
      <c r="N464" s="122"/>
      <c r="O464" s="122"/>
      <c r="P464" s="123"/>
      <c r="Q464" s="123"/>
      <c r="R464" s="123"/>
      <c r="S464" s="20"/>
      <c r="T464" s="20"/>
      <c r="U464" s="20"/>
      <c r="V464" s="20"/>
      <c r="W464" s="20"/>
      <c r="X464" s="20"/>
      <c r="Y464" s="20"/>
      <c r="Z464" s="20"/>
      <c r="AA464" s="20"/>
      <c r="AB464" s="20"/>
      <c r="AC464" s="20"/>
    </row>
    <row r="465">
      <c r="A465" s="20"/>
      <c r="B465" s="20"/>
      <c r="C465" s="20"/>
      <c r="D465" s="20"/>
      <c r="E465" s="20"/>
      <c r="F465" s="20"/>
      <c r="G465" s="20"/>
      <c r="H465" s="121"/>
      <c r="I465" s="121"/>
      <c r="J465" s="121"/>
      <c r="K465" s="121"/>
      <c r="L465" s="121"/>
      <c r="M465" s="122"/>
      <c r="N465" s="122"/>
      <c r="O465" s="122"/>
      <c r="P465" s="123"/>
      <c r="Q465" s="123"/>
      <c r="R465" s="123"/>
      <c r="S465" s="20"/>
      <c r="T465" s="20"/>
      <c r="U465" s="20"/>
      <c r="V465" s="20"/>
      <c r="W465" s="20"/>
      <c r="X465" s="20"/>
      <c r="Y465" s="20"/>
      <c r="Z465" s="20"/>
      <c r="AA465" s="20"/>
      <c r="AB465" s="20"/>
      <c r="AC465" s="20"/>
    </row>
    <row r="466">
      <c r="A466" s="20"/>
      <c r="B466" s="20"/>
      <c r="C466" s="20"/>
      <c r="D466" s="20"/>
      <c r="E466" s="20"/>
      <c r="F466" s="20"/>
      <c r="G466" s="20"/>
      <c r="H466" s="121"/>
      <c r="I466" s="121"/>
      <c r="J466" s="121"/>
      <c r="K466" s="121"/>
      <c r="L466" s="121"/>
      <c r="M466" s="122"/>
      <c r="N466" s="122"/>
      <c r="O466" s="122"/>
      <c r="P466" s="123"/>
      <c r="Q466" s="123"/>
      <c r="R466" s="123"/>
      <c r="S466" s="20"/>
      <c r="T466" s="20"/>
      <c r="U466" s="20"/>
      <c r="V466" s="20"/>
      <c r="W466" s="20"/>
      <c r="X466" s="20"/>
      <c r="Y466" s="20"/>
      <c r="Z466" s="20"/>
      <c r="AA466" s="20"/>
      <c r="AB466" s="20"/>
      <c r="AC466" s="20"/>
    </row>
    <row r="467">
      <c r="A467" s="20"/>
      <c r="B467" s="20"/>
      <c r="C467" s="20"/>
      <c r="D467" s="20"/>
      <c r="E467" s="20"/>
      <c r="F467" s="20"/>
      <c r="G467" s="20"/>
      <c r="H467" s="121"/>
      <c r="I467" s="121"/>
      <c r="J467" s="121"/>
      <c r="K467" s="121"/>
      <c r="L467" s="121"/>
      <c r="M467" s="122"/>
      <c r="N467" s="122"/>
      <c r="O467" s="122"/>
      <c r="P467" s="123"/>
      <c r="Q467" s="123"/>
      <c r="R467" s="123"/>
      <c r="S467" s="20"/>
      <c r="T467" s="20"/>
      <c r="U467" s="20"/>
      <c r="V467" s="20"/>
      <c r="W467" s="20"/>
      <c r="X467" s="20"/>
      <c r="Y467" s="20"/>
      <c r="Z467" s="20"/>
      <c r="AA467" s="20"/>
      <c r="AB467" s="20"/>
      <c r="AC467" s="20"/>
    </row>
    <row r="468">
      <c r="A468" s="20"/>
      <c r="B468" s="20"/>
      <c r="C468" s="20"/>
      <c r="D468" s="20"/>
      <c r="E468" s="20"/>
      <c r="F468" s="20"/>
      <c r="G468" s="20"/>
      <c r="H468" s="121"/>
      <c r="I468" s="121"/>
      <c r="J468" s="121"/>
      <c r="K468" s="121"/>
      <c r="L468" s="121"/>
      <c r="M468" s="122"/>
      <c r="N468" s="122"/>
      <c r="O468" s="122"/>
      <c r="P468" s="123"/>
      <c r="Q468" s="123"/>
      <c r="R468" s="123"/>
      <c r="S468" s="20"/>
      <c r="T468" s="20"/>
      <c r="U468" s="20"/>
      <c r="V468" s="20"/>
      <c r="W468" s="20"/>
      <c r="X468" s="20"/>
      <c r="Y468" s="20"/>
      <c r="Z468" s="20"/>
      <c r="AA468" s="20"/>
      <c r="AB468" s="20"/>
      <c r="AC468" s="20"/>
    </row>
    <row r="469">
      <c r="A469" s="20"/>
      <c r="B469" s="20"/>
      <c r="C469" s="20"/>
      <c r="D469" s="20"/>
      <c r="E469" s="20"/>
      <c r="F469" s="20"/>
      <c r="G469" s="20"/>
      <c r="H469" s="121"/>
      <c r="I469" s="121"/>
      <c r="J469" s="121"/>
      <c r="K469" s="121"/>
      <c r="L469" s="121"/>
      <c r="M469" s="122"/>
      <c r="N469" s="122"/>
      <c r="O469" s="122"/>
      <c r="P469" s="123"/>
      <c r="Q469" s="123"/>
      <c r="R469" s="123"/>
      <c r="S469" s="20"/>
      <c r="T469" s="20"/>
      <c r="U469" s="20"/>
      <c r="V469" s="20"/>
      <c r="W469" s="20"/>
      <c r="X469" s="20"/>
      <c r="Y469" s="20"/>
      <c r="Z469" s="20"/>
      <c r="AA469" s="20"/>
      <c r="AB469" s="20"/>
      <c r="AC469" s="20"/>
    </row>
    <row r="470">
      <c r="A470" s="20"/>
      <c r="B470" s="20"/>
      <c r="C470" s="20"/>
      <c r="D470" s="20"/>
      <c r="E470" s="20"/>
      <c r="F470" s="20"/>
      <c r="G470" s="20"/>
      <c r="H470" s="121"/>
      <c r="I470" s="121"/>
      <c r="J470" s="121"/>
      <c r="K470" s="121"/>
      <c r="L470" s="121"/>
      <c r="M470" s="122"/>
      <c r="N470" s="122"/>
      <c r="O470" s="122"/>
      <c r="P470" s="123"/>
      <c r="Q470" s="123"/>
      <c r="R470" s="123"/>
      <c r="S470" s="20"/>
      <c r="T470" s="20"/>
      <c r="U470" s="20"/>
      <c r="V470" s="20"/>
      <c r="W470" s="20"/>
      <c r="X470" s="20"/>
      <c r="Y470" s="20"/>
      <c r="Z470" s="20"/>
      <c r="AA470" s="20"/>
      <c r="AB470" s="20"/>
      <c r="AC470" s="20"/>
    </row>
    <row r="471">
      <c r="A471" s="20"/>
      <c r="B471" s="20"/>
      <c r="C471" s="20"/>
      <c r="D471" s="20"/>
      <c r="E471" s="20"/>
      <c r="F471" s="20"/>
      <c r="G471" s="20"/>
      <c r="H471" s="121"/>
      <c r="I471" s="121"/>
      <c r="J471" s="121"/>
      <c r="K471" s="121"/>
      <c r="L471" s="121"/>
      <c r="M471" s="122"/>
      <c r="N471" s="122"/>
      <c r="O471" s="122"/>
      <c r="P471" s="123"/>
      <c r="Q471" s="123"/>
      <c r="R471" s="123"/>
      <c r="S471" s="20"/>
      <c r="T471" s="20"/>
      <c r="U471" s="20"/>
      <c r="V471" s="20"/>
      <c r="W471" s="20"/>
      <c r="X471" s="20"/>
      <c r="Y471" s="20"/>
      <c r="Z471" s="20"/>
      <c r="AA471" s="20"/>
      <c r="AB471" s="20"/>
      <c r="AC471" s="20"/>
    </row>
    <row r="472">
      <c r="A472" s="20"/>
      <c r="B472" s="20"/>
      <c r="C472" s="20"/>
      <c r="D472" s="20"/>
      <c r="E472" s="20"/>
      <c r="F472" s="20"/>
      <c r="G472" s="20"/>
      <c r="H472" s="121"/>
      <c r="I472" s="121"/>
      <c r="J472" s="121"/>
      <c r="K472" s="121"/>
      <c r="L472" s="121"/>
      <c r="M472" s="122"/>
      <c r="N472" s="122"/>
      <c r="O472" s="122"/>
      <c r="P472" s="123"/>
      <c r="Q472" s="123"/>
      <c r="R472" s="123"/>
      <c r="S472" s="20"/>
      <c r="T472" s="20"/>
      <c r="U472" s="20"/>
      <c r="V472" s="20"/>
      <c r="W472" s="20"/>
      <c r="X472" s="20"/>
      <c r="Y472" s="20"/>
      <c r="Z472" s="20"/>
      <c r="AA472" s="20"/>
      <c r="AB472" s="20"/>
      <c r="AC472" s="20"/>
    </row>
    <row r="473">
      <c r="A473" s="20"/>
      <c r="B473" s="20"/>
      <c r="C473" s="20"/>
      <c r="D473" s="20"/>
      <c r="E473" s="20"/>
      <c r="F473" s="20"/>
      <c r="G473" s="20"/>
      <c r="H473" s="121"/>
      <c r="I473" s="121"/>
      <c r="J473" s="121"/>
      <c r="K473" s="121"/>
      <c r="L473" s="121"/>
      <c r="M473" s="122"/>
      <c r="N473" s="122"/>
      <c r="O473" s="122"/>
      <c r="P473" s="123"/>
      <c r="Q473" s="123"/>
      <c r="R473" s="123"/>
      <c r="S473" s="20"/>
      <c r="T473" s="20"/>
      <c r="U473" s="20"/>
      <c r="V473" s="20"/>
      <c r="W473" s="20"/>
      <c r="X473" s="20"/>
      <c r="Y473" s="20"/>
      <c r="Z473" s="20"/>
      <c r="AA473" s="20"/>
      <c r="AB473" s="20"/>
      <c r="AC473" s="20"/>
    </row>
    <row r="474">
      <c r="A474" s="20"/>
      <c r="B474" s="20"/>
      <c r="C474" s="20"/>
      <c r="D474" s="20"/>
      <c r="E474" s="20"/>
      <c r="F474" s="20"/>
      <c r="G474" s="20"/>
      <c r="H474" s="121"/>
      <c r="I474" s="121"/>
      <c r="J474" s="121"/>
      <c r="K474" s="121"/>
      <c r="L474" s="121"/>
      <c r="M474" s="122"/>
      <c r="N474" s="122"/>
      <c r="O474" s="122"/>
      <c r="P474" s="123"/>
      <c r="Q474" s="123"/>
      <c r="R474" s="123"/>
      <c r="S474" s="20"/>
      <c r="T474" s="20"/>
      <c r="U474" s="20"/>
      <c r="V474" s="20"/>
      <c r="W474" s="20"/>
      <c r="X474" s="20"/>
      <c r="Y474" s="20"/>
      <c r="Z474" s="20"/>
      <c r="AA474" s="20"/>
      <c r="AB474" s="20"/>
      <c r="AC474" s="20"/>
    </row>
    <row r="475">
      <c r="A475" s="20"/>
      <c r="B475" s="20"/>
      <c r="C475" s="20"/>
      <c r="D475" s="20"/>
      <c r="E475" s="20"/>
      <c r="F475" s="20"/>
      <c r="G475" s="20"/>
      <c r="H475" s="121"/>
      <c r="I475" s="121"/>
      <c r="J475" s="121"/>
      <c r="K475" s="121"/>
      <c r="L475" s="121"/>
      <c r="M475" s="122"/>
      <c r="N475" s="122"/>
      <c r="O475" s="122"/>
      <c r="P475" s="123"/>
      <c r="Q475" s="123"/>
      <c r="R475" s="123"/>
      <c r="S475" s="20"/>
      <c r="T475" s="20"/>
      <c r="U475" s="20"/>
      <c r="V475" s="20"/>
      <c r="W475" s="20"/>
      <c r="X475" s="20"/>
      <c r="Y475" s="20"/>
      <c r="Z475" s="20"/>
      <c r="AA475" s="20"/>
      <c r="AB475" s="20"/>
      <c r="AC475" s="20"/>
    </row>
    <row r="476">
      <c r="A476" s="20"/>
      <c r="B476" s="20"/>
      <c r="C476" s="20"/>
      <c r="D476" s="20"/>
      <c r="E476" s="20"/>
      <c r="F476" s="20"/>
      <c r="G476" s="20"/>
      <c r="H476" s="121"/>
      <c r="I476" s="121"/>
      <c r="J476" s="121"/>
      <c r="K476" s="121"/>
      <c r="L476" s="121"/>
      <c r="M476" s="122"/>
      <c r="N476" s="122"/>
      <c r="O476" s="122"/>
      <c r="P476" s="123"/>
      <c r="Q476" s="123"/>
      <c r="R476" s="123"/>
      <c r="S476" s="20"/>
      <c r="T476" s="20"/>
      <c r="U476" s="20"/>
      <c r="V476" s="20"/>
      <c r="W476" s="20"/>
      <c r="X476" s="20"/>
      <c r="Y476" s="20"/>
      <c r="Z476" s="20"/>
      <c r="AA476" s="20"/>
      <c r="AB476" s="20"/>
      <c r="AC476" s="20"/>
    </row>
    <row r="477">
      <c r="A477" s="20"/>
      <c r="B477" s="20"/>
      <c r="C477" s="20"/>
      <c r="D477" s="20"/>
      <c r="E477" s="20"/>
      <c r="F477" s="20"/>
      <c r="G477" s="20"/>
      <c r="H477" s="121"/>
      <c r="I477" s="121"/>
      <c r="J477" s="121"/>
      <c r="K477" s="121"/>
      <c r="L477" s="121"/>
      <c r="M477" s="122"/>
      <c r="N477" s="122"/>
      <c r="O477" s="122"/>
      <c r="P477" s="123"/>
      <c r="Q477" s="123"/>
      <c r="R477" s="123"/>
      <c r="S477" s="20"/>
      <c r="T477" s="20"/>
      <c r="U477" s="20"/>
      <c r="V477" s="20"/>
      <c r="W477" s="20"/>
      <c r="X477" s="20"/>
      <c r="Y477" s="20"/>
      <c r="Z477" s="20"/>
      <c r="AA477" s="20"/>
      <c r="AB477" s="20"/>
      <c r="AC477" s="20"/>
    </row>
    <row r="478">
      <c r="A478" s="20"/>
      <c r="B478" s="20"/>
      <c r="C478" s="20"/>
      <c r="D478" s="20"/>
      <c r="E478" s="20"/>
      <c r="F478" s="20"/>
      <c r="G478" s="20"/>
      <c r="H478" s="121"/>
      <c r="I478" s="121"/>
      <c r="J478" s="121"/>
      <c r="K478" s="121"/>
      <c r="L478" s="121"/>
      <c r="M478" s="122"/>
      <c r="N478" s="122"/>
      <c r="O478" s="122"/>
      <c r="P478" s="123"/>
      <c r="Q478" s="123"/>
      <c r="R478" s="123"/>
      <c r="S478" s="20"/>
      <c r="T478" s="20"/>
      <c r="U478" s="20"/>
      <c r="V478" s="20"/>
      <c r="W478" s="20"/>
      <c r="X478" s="20"/>
      <c r="Y478" s="20"/>
      <c r="Z478" s="20"/>
      <c r="AA478" s="20"/>
      <c r="AB478" s="20"/>
      <c r="AC478" s="20"/>
    </row>
    <row r="479">
      <c r="A479" s="20"/>
      <c r="B479" s="20"/>
      <c r="C479" s="20"/>
      <c r="D479" s="20"/>
      <c r="E479" s="20"/>
      <c r="F479" s="20"/>
      <c r="G479" s="20"/>
      <c r="H479" s="121"/>
      <c r="I479" s="121"/>
      <c r="J479" s="121"/>
      <c r="K479" s="121"/>
      <c r="L479" s="121"/>
      <c r="M479" s="122"/>
      <c r="N479" s="122"/>
      <c r="O479" s="122"/>
      <c r="P479" s="123"/>
      <c r="Q479" s="123"/>
      <c r="R479" s="123"/>
      <c r="S479" s="20"/>
      <c r="T479" s="20"/>
      <c r="U479" s="20"/>
      <c r="V479" s="20"/>
      <c r="W479" s="20"/>
      <c r="X479" s="20"/>
      <c r="Y479" s="20"/>
      <c r="Z479" s="20"/>
      <c r="AA479" s="20"/>
      <c r="AB479" s="20"/>
      <c r="AC479" s="20"/>
    </row>
    <row r="480">
      <c r="A480" s="20"/>
      <c r="B480" s="20"/>
      <c r="C480" s="20"/>
      <c r="D480" s="20"/>
      <c r="E480" s="20"/>
      <c r="F480" s="20"/>
      <c r="G480" s="20"/>
      <c r="H480" s="121"/>
      <c r="I480" s="121"/>
      <c r="J480" s="121"/>
      <c r="K480" s="121"/>
      <c r="L480" s="121"/>
      <c r="M480" s="122"/>
      <c r="N480" s="122"/>
      <c r="O480" s="122"/>
      <c r="P480" s="123"/>
      <c r="Q480" s="123"/>
      <c r="R480" s="123"/>
      <c r="S480" s="20"/>
      <c r="T480" s="20"/>
      <c r="U480" s="20"/>
      <c r="V480" s="20"/>
      <c r="W480" s="20"/>
      <c r="X480" s="20"/>
      <c r="Y480" s="20"/>
      <c r="Z480" s="20"/>
      <c r="AA480" s="20"/>
      <c r="AB480" s="20"/>
      <c r="AC480" s="20"/>
    </row>
    <row r="481">
      <c r="A481" s="20"/>
      <c r="B481" s="20"/>
      <c r="C481" s="20"/>
      <c r="D481" s="20"/>
      <c r="E481" s="20"/>
      <c r="F481" s="20"/>
      <c r="G481" s="20"/>
      <c r="H481" s="121"/>
      <c r="I481" s="121"/>
      <c r="J481" s="121"/>
      <c r="K481" s="121"/>
      <c r="L481" s="121"/>
      <c r="M481" s="122"/>
      <c r="N481" s="122"/>
      <c r="O481" s="122"/>
      <c r="P481" s="123"/>
      <c r="Q481" s="123"/>
      <c r="R481" s="123"/>
      <c r="S481" s="20"/>
      <c r="T481" s="20"/>
      <c r="U481" s="20"/>
      <c r="V481" s="20"/>
      <c r="W481" s="20"/>
      <c r="X481" s="20"/>
      <c r="Y481" s="20"/>
      <c r="Z481" s="20"/>
      <c r="AA481" s="20"/>
      <c r="AB481" s="20"/>
      <c r="AC481" s="20"/>
    </row>
    <row r="482">
      <c r="A482" s="20"/>
      <c r="B482" s="20"/>
      <c r="C482" s="20"/>
      <c r="D482" s="20"/>
      <c r="E482" s="20"/>
      <c r="F482" s="20"/>
      <c r="G482" s="20"/>
      <c r="H482" s="121"/>
      <c r="I482" s="121"/>
      <c r="J482" s="121"/>
      <c r="K482" s="121"/>
      <c r="L482" s="121"/>
      <c r="M482" s="122"/>
      <c r="N482" s="122"/>
      <c r="O482" s="122"/>
      <c r="P482" s="123"/>
      <c r="Q482" s="123"/>
      <c r="R482" s="123"/>
      <c r="S482" s="20"/>
      <c r="T482" s="20"/>
      <c r="U482" s="20"/>
      <c r="V482" s="20"/>
      <c r="W482" s="20"/>
      <c r="X482" s="20"/>
      <c r="Y482" s="20"/>
      <c r="Z482" s="20"/>
      <c r="AA482" s="20"/>
      <c r="AB482" s="20"/>
      <c r="AC482" s="20"/>
    </row>
    <row r="483">
      <c r="A483" s="20"/>
      <c r="B483" s="20"/>
      <c r="C483" s="20"/>
      <c r="D483" s="20"/>
      <c r="E483" s="20"/>
      <c r="F483" s="20"/>
      <c r="G483" s="20"/>
      <c r="H483" s="121"/>
      <c r="I483" s="121"/>
      <c r="J483" s="121"/>
      <c r="K483" s="121"/>
      <c r="L483" s="121"/>
      <c r="M483" s="122"/>
      <c r="N483" s="122"/>
      <c r="O483" s="122"/>
      <c r="P483" s="123"/>
      <c r="Q483" s="123"/>
      <c r="R483" s="123"/>
      <c r="S483" s="20"/>
      <c r="T483" s="20"/>
      <c r="U483" s="20"/>
      <c r="V483" s="20"/>
      <c r="W483" s="20"/>
      <c r="X483" s="20"/>
      <c r="Y483" s="20"/>
      <c r="Z483" s="20"/>
      <c r="AA483" s="20"/>
      <c r="AB483" s="20"/>
      <c r="AC483" s="20"/>
    </row>
    <row r="484">
      <c r="A484" s="20"/>
      <c r="B484" s="20"/>
      <c r="C484" s="20"/>
      <c r="D484" s="20"/>
      <c r="E484" s="20"/>
      <c r="F484" s="20"/>
      <c r="G484" s="20"/>
      <c r="H484" s="121"/>
      <c r="I484" s="121"/>
      <c r="J484" s="121"/>
      <c r="K484" s="121"/>
      <c r="L484" s="121"/>
      <c r="M484" s="122"/>
      <c r="N484" s="122"/>
      <c r="O484" s="122"/>
      <c r="P484" s="123"/>
      <c r="Q484" s="123"/>
      <c r="R484" s="123"/>
      <c r="S484" s="20"/>
      <c r="T484" s="20"/>
      <c r="U484" s="20"/>
      <c r="V484" s="20"/>
      <c r="W484" s="20"/>
      <c r="X484" s="20"/>
      <c r="Y484" s="20"/>
      <c r="Z484" s="20"/>
      <c r="AA484" s="20"/>
      <c r="AB484" s="20"/>
      <c r="AC484" s="20"/>
    </row>
    <row r="485">
      <c r="A485" s="20"/>
      <c r="B485" s="20"/>
      <c r="C485" s="20"/>
      <c r="D485" s="20"/>
      <c r="E485" s="20"/>
      <c r="F485" s="20"/>
      <c r="G485" s="20"/>
      <c r="H485" s="121"/>
      <c r="I485" s="121"/>
      <c r="J485" s="121"/>
      <c r="K485" s="121"/>
      <c r="L485" s="121"/>
      <c r="M485" s="122"/>
      <c r="N485" s="122"/>
      <c r="O485" s="122"/>
      <c r="P485" s="123"/>
      <c r="Q485" s="123"/>
      <c r="R485" s="123"/>
      <c r="S485" s="20"/>
      <c r="T485" s="20"/>
      <c r="U485" s="20"/>
      <c r="V485" s="20"/>
      <c r="W485" s="20"/>
      <c r="X485" s="20"/>
      <c r="Y485" s="20"/>
      <c r="Z485" s="20"/>
      <c r="AA485" s="20"/>
      <c r="AB485" s="20"/>
      <c r="AC485" s="20"/>
    </row>
    <row r="486">
      <c r="A486" s="20"/>
      <c r="B486" s="20"/>
      <c r="C486" s="20"/>
      <c r="D486" s="20"/>
      <c r="E486" s="20"/>
      <c r="F486" s="20"/>
      <c r="G486" s="20"/>
      <c r="H486" s="121"/>
      <c r="I486" s="121"/>
      <c r="J486" s="121"/>
      <c r="K486" s="121"/>
      <c r="L486" s="121"/>
      <c r="M486" s="122"/>
      <c r="N486" s="122"/>
      <c r="O486" s="122"/>
      <c r="P486" s="123"/>
      <c r="Q486" s="123"/>
      <c r="R486" s="123"/>
      <c r="S486" s="20"/>
      <c r="T486" s="20"/>
      <c r="U486" s="20"/>
      <c r="V486" s="20"/>
      <c r="W486" s="20"/>
      <c r="X486" s="20"/>
      <c r="Y486" s="20"/>
      <c r="Z486" s="20"/>
      <c r="AA486" s="20"/>
      <c r="AB486" s="20"/>
      <c r="AC486" s="20"/>
    </row>
    <row r="487">
      <c r="A487" s="20"/>
      <c r="B487" s="20"/>
      <c r="C487" s="20"/>
      <c r="D487" s="20"/>
      <c r="E487" s="20"/>
      <c r="F487" s="20"/>
      <c r="G487" s="20"/>
      <c r="H487" s="121"/>
      <c r="I487" s="121"/>
      <c r="J487" s="121"/>
      <c r="K487" s="121"/>
      <c r="L487" s="121"/>
      <c r="M487" s="122"/>
      <c r="N487" s="122"/>
      <c r="O487" s="122"/>
      <c r="P487" s="123"/>
      <c r="Q487" s="123"/>
      <c r="R487" s="123"/>
      <c r="S487" s="20"/>
      <c r="T487" s="20"/>
      <c r="U487" s="20"/>
      <c r="V487" s="20"/>
      <c r="W487" s="20"/>
      <c r="X487" s="20"/>
      <c r="Y487" s="20"/>
      <c r="Z487" s="20"/>
      <c r="AA487" s="20"/>
      <c r="AB487" s="20"/>
      <c r="AC487" s="20"/>
    </row>
    <row r="488">
      <c r="A488" s="20"/>
      <c r="B488" s="20"/>
      <c r="C488" s="20"/>
      <c r="D488" s="20"/>
      <c r="E488" s="20"/>
      <c r="F488" s="20"/>
      <c r="G488" s="20"/>
      <c r="H488" s="121"/>
      <c r="I488" s="121"/>
      <c r="J488" s="121"/>
      <c r="K488" s="121"/>
      <c r="L488" s="121"/>
      <c r="M488" s="122"/>
      <c r="N488" s="122"/>
      <c r="O488" s="122"/>
      <c r="P488" s="123"/>
      <c r="Q488" s="123"/>
      <c r="R488" s="123"/>
      <c r="S488" s="20"/>
      <c r="T488" s="20"/>
      <c r="U488" s="20"/>
      <c r="V488" s="20"/>
      <c r="W488" s="20"/>
      <c r="X488" s="20"/>
      <c r="Y488" s="20"/>
      <c r="Z488" s="20"/>
      <c r="AA488" s="20"/>
      <c r="AB488" s="20"/>
      <c r="AC488" s="20"/>
    </row>
    <row r="489">
      <c r="A489" s="20"/>
      <c r="B489" s="20"/>
      <c r="C489" s="20"/>
      <c r="D489" s="20"/>
      <c r="E489" s="20"/>
      <c r="F489" s="20"/>
      <c r="G489" s="20"/>
      <c r="H489" s="121"/>
      <c r="I489" s="121"/>
      <c r="J489" s="121"/>
      <c r="K489" s="121"/>
      <c r="L489" s="121"/>
      <c r="M489" s="122"/>
      <c r="N489" s="122"/>
      <c r="O489" s="122"/>
      <c r="P489" s="123"/>
      <c r="Q489" s="123"/>
      <c r="R489" s="123"/>
      <c r="S489" s="20"/>
      <c r="T489" s="20"/>
      <c r="U489" s="20"/>
      <c r="V489" s="20"/>
      <c r="W489" s="20"/>
      <c r="X489" s="20"/>
      <c r="Y489" s="20"/>
      <c r="Z489" s="20"/>
      <c r="AA489" s="20"/>
      <c r="AB489" s="20"/>
      <c r="AC489" s="20"/>
    </row>
    <row r="490">
      <c r="A490" s="20"/>
      <c r="B490" s="20"/>
      <c r="C490" s="20"/>
      <c r="D490" s="20"/>
      <c r="E490" s="20"/>
      <c r="F490" s="20"/>
      <c r="G490" s="20"/>
      <c r="H490" s="121"/>
      <c r="I490" s="121"/>
      <c r="J490" s="121"/>
      <c r="K490" s="121"/>
      <c r="L490" s="121"/>
      <c r="M490" s="122"/>
      <c r="N490" s="122"/>
      <c r="O490" s="122"/>
      <c r="P490" s="123"/>
      <c r="Q490" s="123"/>
      <c r="R490" s="123"/>
      <c r="S490" s="20"/>
      <c r="T490" s="20"/>
      <c r="U490" s="20"/>
      <c r="V490" s="20"/>
      <c r="W490" s="20"/>
      <c r="X490" s="20"/>
      <c r="Y490" s="20"/>
      <c r="Z490" s="20"/>
      <c r="AA490" s="20"/>
      <c r="AB490" s="20"/>
      <c r="AC490" s="20"/>
    </row>
    <row r="491">
      <c r="A491" s="20"/>
      <c r="B491" s="20"/>
      <c r="C491" s="20"/>
      <c r="D491" s="20"/>
      <c r="E491" s="20"/>
      <c r="F491" s="20"/>
      <c r="G491" s="20"/>
      <c r="H491" s="121"/>
      <c r="I491" s="121"/>
      <c r="J491" s="121"/>
      <c r="K491" s="121"/>
      <c r="L491" s="121"/>
      <c r="M491" s="122"/>
      <c r="N491" s="122"/>
      <c r="O491" s="122"/>
      <c r="P491" s="123"/>
      <c r="Q491" s="123"/>
      <c r="R491" s="123"/>
      <c r="S491" s="20"/>
      <c r="T491" s="20"/>
      <c r="U491" s="20"/>
      <c r="V491" s="20"/>
      <c r="W491" s="20"/>
      <c r="X491" s="20"/>
      <c r="Y491" s="20"/>
      <c r="Z491" s="20"/>
      <c r="AA491" s="20"/>
      <c r="AB491" s="20"/>
      <c r="AC491" s="20"/>
    </row>
    <row r="492">
      <c r="A492" s="20"/>
      <c r="B492" s="20"/>
      <c r="C492" s="20"/>
      <c r="D492" s="20"/>
      <c r="E492" s="20"/>
      <c r="F492" s="20"/>
      <c r="G492" s="20"/>
      <c r="H492" s="121"/>
      <c r="I492" s="121"/>
      <c r="J492" s="121"/>
      <c r="K492" s="121"/>
      <c r="L492" s="121"/>
      <c r="M492" s="122"/>
      <c r="N492" s="122"/>
      <c r="O492" s="122"/>
      <c r="P492" s="123"/>
      <c r="Q492" s="123"/>
      <c r="R492" s="123"/>
      <c r="S492" s="20"/>
      <c r="T492" s="20"/>
      <c r="U492" s="20"/>
      <c r="V492" s="20"/>
      <c r="W492" s="20"/>
      <c r="X492" s="20"/>
      <c r="Y492" s="20"/>
      <c r="Z492" s="20"/>
      <c r="AA492" s="20"/>
      <c r="AB492" s="20"/>
      <c r="AC492" s="20"/>
    </row>
    <row r="493">
      <c r="A493" s="20"/>
      <c r="B493" s="20"/>
      <c r="C493" s="20"/>
      <c r="D493" s="20"/>
      <c r="E493" s="20"/>
      <c r="F493" s="20"/>
      <c r="G493" s="20"/>
      <c r="H493" s="121"/>
      <c r="I493" s="121"/>
      <c r="J493" s="121"/>
      <c r="K493" s="121"/>
      <c r="L493" s="121"/>
      <c r="M493" s="122"/>
      <c r="N493" s="122"/>
      <c r="O493" s="122"/>
      <c r="P493" s="123"/>
      <c r="Q493" s="123"/>
      <c r="R493" s="123"/>
      <c r="S493" s="20"/>
      <c r="T493" s="20"/>
      <c r="U493" s="20"/>
      <c r="V493" s="20"/>
      <c r="W493" s="20"/>
      <c r="X493" s="20"/>
      <c r="Y493" s="20"/>
      <c r="Z493" s="20"/>
      <c r="AA493" s="20"/>
      <c r="AB493" s="20"/>
      <c r="AC493" s="20"/>
    </row>
    <row r="494">
      <c r="A494" s="20"/>
      <c r="B494" s="20"/>
      <c r="C494" s="20"/>
      <c r="D494" s="20"/>
      <c r="E494" s="20"/>
      <c r="F494" s="20"/>
      <c r="G494" s="20"/>
      <c r="H494" s="121"/>
      <c r="I494" s="121"/>
      <c r="J494" s="121"/>
      <c r="K494" s="121"/>
      <c r="L494" s="121"/>
      <c r="M494" s="122"/>
      <c r="N494" s="122"/>
      <c r="O494" s="122"/>
      <c r="P494" s="123"/>
      <c r="Q494" s="123"/>
      <c r="R494" s="123"/>
      <c r="S494" s="20"/>
      <c r="T494" s="20"/>
      <c r="U494" s="20"/>
      <c r="V494" s="20"/>
      <c r="W494" s="20"/>
      <c r="X494" s="20"/>
      <c r="Y494" s="20"/>
      <c r="Z494" s="20"/>
      <c r="AA494" s="20"/>
      <c r="AB494" s="20"/>
      <c r="AC494" s="20"/>
    </row>
    <row r="495">
      <c r="A495" s="20"/>
      <c r="B495" s="20"/>
      <c r="C495" s="20"/>
      <c r="D495" s="20"/>
      <c r="E495" s="20"/>
      <c r="F495" s="20"/>
      <c r="G495" s="20"/>
      <c r="H495" s="121"/>
      <c r="I495" s="121"/>
      <c r="J495" s="121"/>
      <c r="K495" s="121"/>
      <c r="L495" s="121"/>
      <c r="M495" s="122"/>
      <c r="N495" s="122"/>
      <c r="O495" s="122"/>
      <c r="P495" s="123"/>
      <c r="Q495" s="123"/>
      <c r="R495" s="123"/>
      <c r="S495" s="20"/>
      <c r="T495" s="20"/>
      <c r="U495" s="20"/>
      <c r="V495" s="20"/>
      <c r="W495" s="20"/>
      <c r="X495" s="20"/>
      <c r="Y495" s="20"/>
      <c r="Z495" s="20"/>
      <c r="AA495" s="20"/>
      <c r="AB495" s="20"/>
      <c r="AC495" s="20"/>
    </row>
    <row r="496">
      <c r="A496" s="20"/>
      <c r="B496" s="20"/>
      <c r="C496" s="20"/>
      <c r="D496" s="20"/>
      <c r="E496" s="20"/>
      <c r="F496" s="20"/>
      <c r="G496" s="20"/>
      <c r="H496" s="121"/>
      <c r="I496" s="121"/>
      <c r="J496" s="121"/>
      <c r="K496" s="121"/>
      <c r="L496" s="121"/>
      <c r="M496" s="122"/>
      <c r="N496" s="122"/>
      <c r="O496" s="122"/>
      <c r="P496" s="123"/>
      <c r="Q496" s="123"/>
      <c r="R496" s="123"/>
      <c r="S496" s="20"/>
      <c r="T496" s="20"/>
      <c r="U496" s="20"/>
      <c r="V496" s="20"/>
      <c r="W496" s="20"/>
      <c r="X496" s="20"/>
      <c r="Y496" s="20"/>
      <c r="Z496" s="20"/>
      <c r="AA496" s="20"/>
      <c r="AB496" s="20"/>
      <c r="AC496" s="20"/>
    </row>
    <row r="497">
      <c r="A497" s="20"/>
      <c r="B497" s="20"/>
      <c r="C497" s="20"/>
      <c r="D497" s="20"/>
      <c r="E497" s="20"/>
      <c r="F497" s="20"/>
      <c r="G497" s="20"/>
      <c r="H497" s="121"/>
      <c r="I497" s="121"/>
      <c r="J497" s="121"/>
      <c r="K497" s="121"/>
      <c r="L497" s="121"/>
      <c r="M497" s="122"/>
      <c r="N497" s="122"/>
      <c r="O497" s="122"/>
      <c r="P497" s="123"/>
      <c r="Q497" s="123"/>
      <c r="R497" s="123"/>
      <c r="S497" s="20"/>
      <c r="T497" s="20"/>
      <c r="U497" s="20"/>
      <c r="V497" s="20"/>
      <c r="W497" s="20"/>
      <c r="X497" s="20"/>
      <c r="Y497" s="20"/>
      <c r="Z497" s="20"/>
      <c r="AA497" s="20"/>
      <c r="AB497" s="20"/>
      <c r="AC497" s="20"/>
    </row>
    <row r="498">
      <c r="A498" s="20"/>
      <c r="B498" s="20"/>
      <c r="C498" s="20"/>
      <c r="D498" s="20"/>
      <c r="E498" s="20"/>
      <c r="F498" s="20"/>
      <c r="G498" s="20"/>
      <c r="H498" s="121"/>
      <c r="I498" s="121"/>
      <c r="J498" s="121"/>
      <c r="K498" s="121"/>
      <c r="L498" s="121"/>
      <c r="M498" s="122"/>
      <c r="N498" s="122"/>
      <c r="O498" s="122"/>
      <c r="P498" s="123"/>
      <c r="Q498" s="123"/>
      <c r="R498" s="123"/>
      <c r="S498" s="20"/>
      <c r="T498" s="20"/>
      <c r="U498" s="20"/>
      <c r="V498" s="20"/>
      <c r="W498" s="20"/>
      <c r="X498" s="20"/>
      <c r="Y498" s="20"/>
      <c r="Z498" s="20"/>
      <c r="AA498" s="20"/>
      <c r="AB498" s="20"/>
      <c r="AC498" s="20"/>
    </row>
    <row r="499">
      <c r="A499" s="20"/>
      <c r="B499" s="20"/>
      <c r="C499" s="20"/>
      <c r="D499" s="20"/>
      <c r="E499" s="20"/>
      <c r="F499" s="20"/>
      <c r="G499" s="20"/>
      <c r="H499" s="121"/>
      <c r="I499" s="121"/>
      <c r="J499" s="121"/>
      <c r="K499" s="121"/>
      <c r="L499" s="121"/>
      <c r="M499" s="122"/>
      <c r="N499" s="122"/>
      <c r="O499" s="122"/>
      <c r="P499" s="123"/>
      <c r="Q499" s="123"/>
      <c r="R499" s="123"/>
      <c r="S499" s="20"/>
      <c r="T499" s="20"/>
      <c r="U499" s="20"/>
      <c r="V499" s="20"/>
      <c r="W499" s="20"/>
      <c r="X499" s="20"/>
      <c r="Y499" s="20"/>
      <c r="Z499" s="20"/>
      <c r="AA499" s="20"/>
      <c r="AB499" s="20"/>
      <c r="AC499" s="20"/>
    </row>
    <row r="500">
      <c r="A500" s="20"/>
      <c r="B500" s="20"/>
      <c r="C500" s="20"/>
      <c r="D500" s="20"/>
      <c r="E500" s="20"/>
      <c r="F500" s="20"/>
      <c r="G500" s="20"/>
      <c r="H500" s="121"/>
      <c r="I500" s="121"/>
      <c r="J500" s="121"/>
      <c r="K500" s="121"/>
      <c r="L500" s="121"/>
      <c r="M500" s="122"/>
      <c r="N500" s="122"/>
      <c r="O500" s="122"/>
      <c r="P500" s="123"/>
      <c r="Q500" s="123"/>
      <c r="R500" s="123"/>
      <c r="S500" s="20"/>
      <c r="T500" s="20"/>
      <c r="U500" s="20"/>
      <c r="V500" s="20"/>
      <c r="W500" s="20"/>
      <c r="X500" s="20"/>
      <c r="Y500" s="20"/>
      <c r="Z500" s="20"/>
      <c r="AA500" s="20"/>
      <c r="AB500" s="20"/>
      <c r="AC500" s="20"/>
    </row>
    <row r="501">
      <c r="A501" s="20"/>
      <c r="B501" s="20"/>
      <c r="C501" s="20"/>
      <c r="D501" s="20"/>
      <c r="E501" s="20"/>
      <c r="F501" s="20"/>
      <c r="G501" s="20"/>
      <c r="H501" s="121"/>
      <c r="I501" s="121"/>
      <c r="J501" s="121"/>
      <c r="K501" s="121"/>
      <c r="L501" s="121"/>
      <c r="M501" s="122"/>
      <c r="N501" s="122"/>
      <c r="O501" s="122"/>
      <c r="P501" s="123"/>
      <c r="Q501" s="123"/>
      <c r="R501" s="123"/>
      <c r="S501" s="20"/>
      <c r="T501" s="20"/>
      <c r="U501" s="20"/>
      <c r="V501" s="20"/>
      <c r="W501" s="20"/>
      <c r="X501" s="20"/>
      <c r="Y501" s="20"/>
      <c r="Z501" s="20"/>
      <c r="AA501" s="20"/>
      <c r="AB501" s="20"/>
      <c r="AC501" s="20"/>
    </row>
    <row r="502">
      <c r="A502" s="20"/>
      <c r="B502" s="20"/>
      <c r="C502" s="20"/>
      <c r="D502" s="20"/>
      <c r="E502" s="20"/>
      <c r="F502" s="20"/>
      <c r="G502" s="20"/>
      <c r="H502" s="121"/>
      <c r="I502" s="121"/>
      <c r="J502" s="121"/>
      <c r="K502" s="121"/>
      <c r="L502" s="121"/>
      <c r="M502" s="122"/>
      <c r="N502" s="122"/>
      <c r="O502" s="122"/>
      <c r="P502" s="123"/>
      <c r="Q502" s="123"/>
      <c r="R502" s="123"/>
      <c r="S502" s="20"/>
      <c r="T502" s="20"/>
      <c r="U502" s="20"/>
      <c r="V502" s="20"/>
      <c r="W502" s="20"/>
      <c r="X502" s="20"/>
      <c r="Y502" s="20"/>
      <c r="Z502" s="20"/>
      <c r="AA502" s="20"/>
      <c r="AB502" s="20"/>
      <c r="AC502" s="20"/>
    </row>
    <row r="503">
      <c r="A503" s="20"/>
      <c r="B503" s="20"/>
      <c r="C503" s="20"/>
      <c r="D503" s="20"/>
      <c r="E503" s="20"/>
      <c r="F503" s="20"/>
      <c r="G503" s="20"/>
      <c r="H503" s="121"/>
      <c r="I503" s="121"/>
      <c r="J503" s="121"/>
      <c r="K503" s="121"/>
      <c r="L503" s="121"/>
      <c r="M503" s="122"/>
      <c r="N503" s="122"/>
      <c r="O503" s="122"/>
      <c r="P503" s="123"/>
      <c r="Q503" s="123"/>
      <c r="R503" s="123"/>
      <c r="S503" s="20"/>
      <c r="T503" s="20"/>
      <c r="U503" s="20"/>
      <c r="V503" s="20"/>
      <c r="W503" s="20"/>
      <c r="X503" s="20"/>
      <c r="Y503" s="20"/>
      <c r="Z503" s="20"/>
      <c r="AA503" s="20"/>
      <c r="AB503" s="20"/>
      <c r="AC503" s="20"/>
    </row>
    <row r="504">
      <c r="A504" s="20"/>
      <c r="B504" s="20"/>
      <c r="C504" s="20"/>
      <c r="D504" s="20"/>
      <c r="E504" s="20"/>
      <c r="F504" s="20"/>
      <c r="G504" s="20"/>
      <c r="H504" s="121"/>
      <c r="I504" s="121"/>
      <c r="J504" s="121"/>
      <c r="K504" s="121"/>
      <c r="L504" s="121"/>
      <c r="M504" s="122"/>
      <c r="N504" s="122"/>
      <c r="O504" s="122"/>
      <c r="P504" s="123"/>
      <c r="Q504" s="123"/>
      <c r="R504" s="123"/>
      <c r="S504" s="20"/>
      <c r="T504" s="20"/>
      <c r="U504" s="20"/>
      <c r="V504" s="20"/>
      <c r="W504" s="20"/>
      <c r="X504" s="20"/>
      <c r="Y504" s="20"/>
      <c r="Z504" s="20"/>
      <c r="AA504" s="20"/>
      <c r="AB504" s="20"/>
      <c r="AC504" s="20"/>
    </row>
    <row r="505">
      <c r="A505" s="20"/>
      <c r="B505" s="20"/>
      <c r="C505" s="20"/>
      <c r="D505" s="20"/>
      <c r="E505" s="20"/>
      <c r="F505" s="20"/>
      <c r="G505" s="20"/>
      <c r="H505" s="121"/>
      <c r="I505" s="121"/>
      <c r="J505" s="121"/>
      <c r="K505" s="121"/>
      <c r="L505" s="121"/>
      <c r="M505" s="122"/>
      <c r="N505" s="122"/>
      <c r="O505" s="122"/>
      <c r="P505" s="123"/>
      <c r="Q505" s="123"/>
      <c r="R505" s="123"/>
      <c r="S505" s="20"/>
      <c r="T505" s="20"/>
      <c r="U505" s="20"/>
      <c r="V505" s="20"/>
      <c r="W505" s="20"/>
      <c r="X505" s="20"/>
      <c r="Y505" s="20"/>
      <c r="Z505" s="20"/>
      <c r="AA505" s="20"/>
      <c r="AB505" s="20"/>
      <c r="AC505" s="20"/>
    </row>
    <row r="506">
      <c r="A506" s="20"/>
      <c r="B506" s="20"/>
      <c r="C506" s="20"/>
      <c r="D506" s="20"/>
      <c r="E506" s="20"/>
      <c r="F506" s="20"/>
      <c r="G506" s="20"/>
      <c r="H506" s="121"/>
      <c r="I506" s="121"/>
      <c r="J506" s="121"/>
      <c r="K506" s="121"/>
      <c r="L506" s="121"/>
      <c r="M506" s="122"/>
      <c r="N506" s="122"/>
      <c r="O506" s="122"/>
      <c r="P506" s="123"/>
      <c r="Q506" s="123"/>
      <c r="R506" s="123"/>
      <c r="S506" s="20"/>
      <c r="T506" s="20"/>
      <c r="U506" s="20"/>
      <c r="V506" s="20"/>
      <c r="W506" s="20"/>
      <c r="X506" s="20"/>
      <c r="Y506" s="20"/>
      <c r="Z506" s="20"/>
      <c r="AA506" s="20"/>
      <c r="AB506" s="20"/>
      <c r="AC506" s="20"/>
    </row>
    <row r="507">
      <c r="A507" s="20"/>
      <c r="B507" s="20"/>
      <c r="C507" s="20"/>
      <c r="D507" s="20"/>
      <c r="E507" s="20"/>
      <c r="F507" s="20"/>
      <c r="G507" s="20"/>
      <c r="H507" s="121"/>
      <c r="I507" s="121"/>
      <c r="J507" s="121"/>
      <c r="K507" s="121"/>
      <c r="L507" s="121"/>
      <c r="M507" s="122"/>
      <c r="N507" s="122"/>
      <c r="O507" s="122"/>
      <c r="P507" s="123"/>
      <c r="Q507" s="123"/>
      <c r="R507" s="123"/>
      <c r="S507" s="20"/>
      <c r="T507" s="20"/>
      <c r="U507" s="20"/>
      <c r="V507" s="20"/>
      <c r="W507" s="20"/>
      <c r="X507" s="20"/>
      <c r="Y507" s="20"/>
      <c r="Z507" s="20"/>
      <c r="AA507" s="20"/>
      <c r="AB507" s="20"/>
      <c r="AC507" s="20"/>
    </row>
    <row r="508">
      <c r="A508" s="20"/>
      <c r="B508" s="20"/>
      <c r="C508" s="20"/>
      <c r="D508" s="20"/>
      <c r="E508" s="20"/>
      <c r="F508" s="20"/>
      <c r="G508" s="20"/>
      <c r="H508" s="121"/>
      <c r="I508" s="121"/>
      <c r="J508" s="121"/>
      <c r="K508" s="121"/>
      <c r="L508" s="121"/>
      <c r="M508" s="122"/>
      <c r="N508" s="122"/>
      <c r="O508" s="122"/>
      <c r="P508" s="123"/>
      <c r="Q508" s="123"/>
      <c r="R508" s="123"/>
      <c r="S508" s="20"/>
      <c r="T508" s="20"/>
      <c r="U508" s="20"/>
      <c r="V508" s="20"/>
      <c r="W508" s="20"/>
      <c r="X508" s="20"/>
      <c r="Y508" s="20"/>
      <c r="Z508" s="20"/>
      <c r="AA508" s="20"/>
      <c r="AB508" s="20"/>
      <c r="AC508" s="20"/>
    </row>
    <row r="509">
      <c r="A509" s="20"/>
      <c r="B509" s="20"/>
      <c r="C509" s="20"/>
      <c r="D509" s="20"/>
      <c r="E509" s="20"/>
      <c r="F509" s="20"/>
      <c r="G509" s="20"/>
      <c r="H509" s="121"/>
      <c r="I509" s="121"/>
      <c r="J509" s="121"/>
      <c r="K509" s="121"/>
      <c r="L509" s="121"/>
      <c r="M509" s="122"/>
      <c r="N509" s="122"/>
      <c r="O509" s="122"/>
      <c r="P509" s="123"/>
      <c r="Q509" s="123"/>
      <c r="R509" s="123"/>
      <c r="S509" s="20"/>
      <c r="T509" s="20"/>
      <c r="U509" s="20"/>
      <c r="V509" s="20"/>
      <c r="W509" s="20"/>
      <c r="X509" s="20"/>
      <c r="Y509" s="20"/>
      <c r="Z509" s="20"/>
      <c r="AA509" s="20"/>
      <c r="AB509" s="20"/>
      <c r="AC509" s="20"/>
    </row>
    <row r="510">
      <c r="A510" s="20"/>
      <c r="B510" s="20"/>
      <c r="C510" s="20"/>
      <c r="D510" s="20"/>
      <c r="E510" s="20"/>
      <c r="F510" s="20"/>
      <c r="G510" s="20"/>
      <c r="H510" s="121"/>
      <c r="I510" s="121"/>
      <c r="J510" s="121"/>
      <c r="K510" s="121"/>
      <c r="L510" s="121"/>
      <c r="M510" s="122"/>
      <c r="N510" s="122"/>
      <c r="O510" s="122"/>
      <c r="P510" s="123"/>
      <c r="Q510" s="123"/>
      <c r="R510" s="123"/>
      <c r="S510" s="20"/>
      <c r="T510" s="20"/>
      <c r="U510" s="20"/>
      <c r="V510" s="20"/>
      <c r="W510" s="20"/>
      <c r="X510" s="20"/>
      <c r="Y510" s="20"/>
      <c r="Z510" s="20"/>
      <c r="AA510" s="20"/>
      <c r="AB510" s="20"/>
      <c r="AC510" s="20"/>
    </row>
    <row r="511">
      <c r="A511" s="20"/>
      <c r="B511" s="20"/>
      <c r="C511" s="20"/>
      <c r="D511" s="20"/>
      <c r="E511" s="20"/>
      <c r="F511" s="20"/>
      <c r="G511" s="20"/>
      <c r="H511" s="121"/>
      <c r="I511" s="121"/>
      <c r="J511" s="121"/>
      <c r="K511" s="121"/>
      <c r="L511" s="121"/>
      <c r="M511" s="122"/>
      <c r="N511" s="122"/>
      <c r="O511" s="122"/>
      <c r="P511" s="123"/>
      <c r="Q511" s="123"/>
      <c r="R511" s="123"/>
      <c r="S511" s="20"/>
      <c r="T511" s="20"/>
      <c r="U511" s="20"/>
      <c r="V511" s="20"/>
      <c r="W511" s="20"/>
      <c r="X511" s="20"/>
      <c r="Y511" s="20"/>
      <c r="Z511" s="20"/>
      <c r="AA511" s="20"/>
      <c r="AB511" s="20"/>
      <c r="AC511" s="20"/>
    </row>
    <row r="512">
      <c r="A512" s="20"/>
      <c r="B512" s="20"/>
      <c r="C512" s="20"/>
      <c r="D512" s="20"/>
      <c r="E512" s="20"/>
      <c r="F512" s="20"/>
      <c r="G512" s="20"/>
      <c r="H512" s="121"/>
      <c r="I512" s="121"/>
      <c r="J512" s="121"/>
      <c r="K512" s="121"/>
      <c r="L512" s="121"/>
      <c r="M512" s="122"/>
      <c r="N512" s="122"/>
      <c r="O512" s="122"/>
      <c r="P512" s="123"/>
      <c r="Q512" s="123"/>
      <c r="R512" s="123"/>
      <c r="S512" s="20"/>
      <c r="T512" s="20"/>
      <c r="U512" s="20"/>
      <c r="V512" s="20"/>
      <c r="W512" s="20"/>
      <c r="X512" s="20"/>
      <c r="Y512" s="20"/>
      <c r="Z512" s="20"/>
      <c r="AA512" s="20"/>
      <c r="AB512" s="20"/>
      <c r="AC512" s="20"/>
    </row>
    <row r="513">
      <c r="A513" s="20"/>
      <c r="B513" s="20"/>
      <c r="C513" s="20"/>
      <c r="D513" s="20"/>
      <c r="E513" s="20"/>
      <c r="F513" s="20"/>
      <c r="G513" s="20"/>
      <c r="H513" s="121"/>
      <c r="I513" s="121"/>
      <c r="J513" s="121"/>
      <c r="K513" s="121"/>
      <c r="L513" s="121"/>
      <c r="M513" s="122"/>
      <c r="N513" s="122"/>
      <c r="O513" s="122"/>
      <c r="P513" s="123"/>
      <c r="Q513" s="123"/>
      <c r="R513" s="123"/>
      <c r="S513" s="20"/>
      <c r="T513" s="20"/>
      <c r="U513" s="20"/>
      <c r="V513" s="20"/>
      <c r="W513" s="20"/>
      <c r="X513" s="20"/>
      <c r="Y513" s="20"/>
      <c r="Z513" s="20"/>
      <c r="AA513" s="20"/>
      <c r="AB513" s="20"/>
      <c r="AC513" s="20"/>
    </row>
    <row r="514">
      <c r="A514" s="20"/>
      <c r="B514" s="20"/>
      <c r="C514" s="20"/>
      <c r="D514" s="20"/>
      <c r="E514" s="20"/>
      <c r="F514" s="20"/>
      <c r="G514" s="20"/>
      <c r="H514" s="121"/>
      <c r="I514" s="121"/>
      <c r="J514" s="121"/>
      <c r="K514" s="121"/>
      <c r="L514" s="121"/>
      <c r="M514" s="122"/>
      <c r="N514" s="122"/>
      <c r="O514" s="122"/>
      <c r="P514" s="123"/>
      <c r="Q514" s="123"/>
      <c r="R514" s="123"/>
      <c r="S514" s="20"/>
      <c r="T514" s="20"/>
      <c r="U514" s="20"/>
      <c r="V514" s="20"/>
      <c r="W514" s="20"/>
      <c r="X514" s="20"/>
      <c r="Y514" s="20"/>
      <c r="Z514" s="20"/>
      <c r="AA514" s="20"/>
      <c r="AB514" s="20"/>
      <c r="AC514" s="20"/>
    </row>
    <row r="515">
      <c r="A515" s="20"/>
      <c r="B515" s="20"/>
      <c r="C515" s="20"/>
      <c r="D515" s="20"/>
      <c r="E515" s="20"/>
      <c r="F515" s="20"/>
      <c r="G515" s="20"/>
      <c r="H515" s="121"/>
      <c r="I515" s="121"/>
      <c r="J515" s="121"/>
      <c r="K515" s="121"/>
      <c r="L515" s="121"/>
      <c r="M515" s="122"/>
      <c r="N515" s="122"/>
      <c r="O515" s="122"/>
      <c r="P515" s="123"/>
      <c r="Q515" s="123"/>
      <c r="R515" s="123"/>
      <c r="S515" s="20"/>
      <c r="T515" s="20"/>
      <c r="U515" s="20"/>
      <c r="V515" s="20"/>
      <c r="W515" s="20"/>
      <c r="X515" s="20"/>
      <c r="Y515" s="20"/>
      <c r="Z515" s="20"/>
      <c r="AA515" s="20"/>
      <c r="AB515" s="20"/>
      <c r="AC515" s="20"/>
    </row>
    <row r="516">
      <c r="A516" s="20"/>
      <c r="B516" s="20"/>
      <c r="C516" s="20"/>
      <c r="D516" s="20"/>
      <c r="E516" s="20"/>
      <c r="F516" s="20"/>
      <c r="G516" s="20"/>
      <c r="H516" s="121"/>
      <c r="I516" s="121"/>
      <c r="J516" s="121"/>
      <c r="K516" s="121"/>
      <c r="L516" s="121"/>
      <c r="M516" s="122"/>
      <c r="N516" s="122"/>
      <c r="O516" s="122"/>
      <c r="P516" s="123"/>
      <c r="Q516" s="123"/>
      <c r="R516" s="123"/>
      <c r="S516" s="20"/>
      <c r="T516" s="20"/>
      <c r="U516" s="20"/>
      <c r="V516" s="20"/>
      <c r="W516" s="20"/>
      <c r="X516" s="20"/>
      <c r="Y516" s="20"/>
      <c r="Z516" s="20"/>
      <c r="AA516" s="20"/>
      <c r="AB516" s="20"/>
      <c r="AC516" s="20"/>
    </row>
    <row r="517">
      <c r="A517" s="20"/>
      <c r="B517" s="20"/>
      <c r="C517" s="20"/>
      <c r="D517" s="20"/>
      <c r="E517" s="20"/>
      <c r="F517" s="20"/>
      <c r="G517" s="20"/>
      <c r="H517" s="121"/>
      <c r="I517" s="121"/>
      <c r="J517" s="121"/>
      <c r="K517" s="121"/>
      <c r="L517" s="121"/>
      <c r="M517" s="122"/>
      <c r="N517" s="122"/>
      <c r="O517" s="122"/>
      <c r="P517" s="123"/>
      <c r="Q517" s="123"/>
      <c r="R517" s="123"/>
      <c r="S517" s="20"/>
      <c r="T517" s="20"/>
      <c r="U517" s="20"/>
      <c r="V517" s="20"/>
      <c r="W517" s="20"/>
      <c r="X517" s="20"/>
      <c r="Y517" s="20"/>
      <c r="Z517" s="20"/>
      <c r="AA517" s="20"/>
      <c r="AB517" s="20"/>
      <c r="AC517" s="20"/>
    </row>
    <row r="518">
      <c r="A518" s="20"/>
      <c r="B518" s="20"/>
      <c r="C518" s="20"/>
      <c r="D518" s="20"/>
      <c r="E518" s="20"/>
      <c r="F518" s="20"/>
      <c r="G518" s="20"/>
      <c r="H518" s="121"/>
      <c r="I518" s="121"/>
      <c r="J518" s="121"/>
      <c r="K518" s="121"/>
      <c r="L518" s="121"/>
      <c r="M518" s="122"/>
      <c r="N518" s="122"/>
      <c r="O518" s="122"/>
      <c r="P518" s="123"/>
      <c r="Q518" s="123"/>
      <c r="R518" s="123"/>
      <c r="S518" s="20"/>
      <c r="T518" s="20"/>
      <c r="U518" s="20"/>
      <c r="V518" s="20"/>
      <c r="W518" s="20"/>
      <c r="X518" s="20"/>
      <c r="Y518" s="20"/>
      <c r="Z518" s="20"/>
      <c r="AA518" s="20"/>
      <c r="AB518" s="20"/>
      <c r="AC518" s="20"/>
    </row>
    <row r="519">
      <c r="A519" s="20"/>
      <c r="B519" s="20"/>
      <c r="C519" s="20"/>
      <c r="D519" s="20"/>
      <c r="E519" s="20"/>
      <c r="F519" s="20"/>
      <c r="G519" s="20"/>
      <c r="H519" s="121"/>
      <c r="I519" s="121"/>
      <c r="J519" s="121"/>
      <c r="K519" s="121"/>
      <c r="L519" s="121"/>
      <c r="M519" s="122"/>
      <c r="N519" s="122"/>
      <c r="O519" s="122"/>
      <c r="P519" s="123"/>
      <c r="Q519" s="123"/>
      <c r="R519" s="123"/>
      <c r="S519" s="20"/>
      <c r="T519" s="20"/>
      <c r="U519" s="20"/>
      <c r="V519" s="20"/>
      <c r="W519" s="20"/>
      <c r="X519" s="20"/>
      <c r="Y519" s="20"/>
      <c r="Z519" s="20"/>
      <c r="AA519" s="20"/>
      <c r="AB519" s="20"/>
      <c r="AC519" s="20"/>
    </row>
    <row r="520">
      <c r="A520" s="20"/>
      <c r="B520" s="20"/>
      <c r="C520" s="20"/>
      <c r="D520" s="20"/>
      <c r="E520" s="20"/>
      <c r="F520" s="20"/>
      <c r="G520" s="20"/>
      <c r="H520" s="121"/>
      <c r="I520" s="121"/>
      <c r="J520" s="121"/>
      <c r="K520" s="121"/>
      <c r="L520" s="121"/>
      <c r="M520" s="122"/>
      <c r="N520" s="122"/>
      <c r="O520" s="122"/>
      <c r="P520" s="123"/>
      <c r="Q520" s="123"/>
      <c r="R520" s="123"/>
      <c r="S520" s="20"/>
      <c r="T520" s="20"/>
      <c r="U520" s="20"/>
      <c r="V520" s="20"/>
      <c r="W520" s="20"/>
      <c r="X520" s="20"/>
      <c r="Y520" s="20"/>
      <c r="Z520" s="20"/>
      <c r="AA520" s="20"/>
      <c r="AB520" s="20"/>
      <c r="AC520" s="20"/>
    </row>
    <row r="521">
      <c r="A521" s="20"/>
      <c r="B521" s="20"/>
      <c r="C521" s="20"/>
      <c r="D521" s="20"/>
      <c r="E521" s="20"/>
      <c r="F521" s="20"/>
      <c r="G521" s="20"/>
      <c r="H521" s="121"/>
      <c r="I521" s="121"/>
      <c r="J521" s="121"/>
      <c r="K521" s="121"/>
      <c r="L521" s="121"/>
      <c r="M521" s="122"/>
      <c r="N521" s="122"/>
      <c r="O521" s="122"/>
      <c r="P521" s="123"/>
      <c r="Q521" s="123"/>
      <c r="R521" s="123"/>
      <c r="S521" s="20"/>
      <c r="T521" s="20"/>
      <c r="U521" s="20"/>
      <c r="V521" s="20"/>
      <c r="W521" s="20"/>
      <c r="X521" s="20"/>
      <c r="Y521" s="20"/>
      <c r="Z521" s="20"/>
      <c r="AA521" s="20"/>
      <c r="AB521" s="20"/>
      <c r="AC521" s="20"/>
    </row>
    <row r="522">
      <c r="A522" s="20"/>
      <c r="B522" s="20"/>
      <c r="C522" s="20"/>
      <c r="D522" s="20"/>
      <c r="E522" s="20"/>
      <c r="F522" s="20"/>
      <c r="G522" s="20"/>
      <c r="H522" s="121"/>
      <c r="I522" s="121"/>
      <c r="J522" s="121"/>
      <c r="K522" s="121"/>
      <c r="L522" s="121"/>
      <c r="M522" s="122"/>
      <c r="N522" s="122"/>
      <c r="O522" s="122"/>
      <c r="P522" s="123"/>
      <c r="Q522" s="123"/>
      <c r="R522" s="123"/>
      <c r="S522" s="20"/>
      <c r="T522" s="20"/>
      <c r="U522" s="20"/>
      <c r="V522" s="20"/>
      <c r="W522" s="20"/>
      <c r="X522" s="20"/>
      <c r="Y522" s="20"/>
      <c r="Z522" s="20"/>
      <c r="AA522" s="20"/>
      <c r="AB522" s="20"/>
      <c r="AC522" s="20"/>
    </row>
    <row r="523">
      <c r="A523" s="20"/>
      <c r="B523" s="20"/>
      <c r="C523" s="20"/>
      <c r="D523" s="20"/>
      <c r="E523" s="20"/>
      <c r="F523" s="20"/>
      <c r="G523" s="20"/>
      <c r="H523" s="121"/>
      <c r="I523" s="121"/>
      <c r="J523" s="121"/>
      <c r="K523" s="121"/>
      <c r="L523" s="121"/>
      <c r="M523" s="122"/>
      <c r="N523" s="122"/>
      <c r="O523" s="122"/>
      <c r="P523" s="123"/>
      <c r="Q523" s="123"/>
      <c r="R523" s="123"/>
      <c r="S523" s="20"/>
      <c r="T523" s="20"/>
      <c r="U523" s="20"/>
      <c r="V523" s="20"/>
      <c r="W523" s="20"/>
      <c r="X523" s="20"/>
      <c r="Y523" s="20"/>
      <c r="Z523" s="20"/>
      <c r="AA523" s="20"/>
      <c r="AB523" s="20"/>
      <c r="AC523" s="20"/>
    </row>
    <row r="524">
      <c r="A524" s="20"/>
      <c r="B524" s="20"/>
      <c r="C524" s="20"/>
      <c r="D524" s="20"/>
      <c r="E524" s="20"/>
      <c r="F524" s="20"/>
      <c r="G524" s="20"/>
      <c r="H524" s="121"/>
      <c r="I524" s="121"/>
      <c r="J524" s="121"/>
      <c r="K524" s="121"/>
      <c r="L524" s="121"/>
      <c r="M524" s="122"/>
      <c r="N524" s="122"/>
      <c r="O524" s="122"/>
      <c r="P524" s="123"/>
      <c r="Q524" s="123"/>
      <c r="R524" s="123"/>
      <c r="S524" s="20"/>
      <c r="T524" s="20"/>
      <c r="U524" s="20"/>
      <c r="V524" s="20"/>
      <c r="W524" s="20"/>
      <c r="X524" s="20"/>
      <c r="Y524" s="20"/>
      <c r="Z524" s="20"/>
      <c r="AA524" s="20"/>
      <c r="AB524" s="20"/>
      <c r="AC524" s="20"/>
    </row>
    <row r="525">
      <c r="A525" s="20"/>
      <c r="B525" s="20"/>
      <c r="C525" s="20"/>
      <c r="D525" s="20"/>
      <c r="E525" s="20"/>
      <c r="F525" s="20"/>
      <c r="G525" s="20"/>
      <c r="H525" s="121"/>
      <c r="I525" s="121"/>
      <c r="J525" s="121"/>
      <c r="K525" s="121"/>
      <c r="L525" s="121"/>
      <c r="M525" s="122"/>
      <c r="N525" s="122"/>
      <c r="O525" s="122"/>
      <c r="P525" s="123"/>
      <c r="Q525" s="123"/>
      <c r="R525" s="123"/>
      <c r="S525" s="20"/>
      <c r="T525" s="20"/>
      <c r="U525" s="20"/>
      <c r="V525" s="20"/>
      <c r="W525" s="20"/>
      <c r="X525" s="20"/>
      <c r="Y525" s="20"/>
      <c r="Z525" s="20"/>
      <c r="AA525" s="20"/>
      <c r="AB525" s="20"/>
      <c r="AC525" s="20"/>
    </row>
    <row r="526">
      <c r="A526" s="20"/>
      <c r="B526" s="20"/>
      <c r="C526" s="20"/>
      <c r="D526" s="20"/>
      <c r="E526" s="20"/>
      <c r="F526" s="20"/>
      <c r="G526" s="20"/>
      <c r="H526" s="121"/>
      <c r="I526" s="121"/>
      <c r="J526" s="121"/>
      <c r="K526" s="121"/>
      <c r="L526" s="121"/>
      <c r="M526" s="122"/>
      <c r="N526" s="122"/>
      <c r="O526" s="122"/>
      <c r="P526" s="123"/>
      <c r="Q526" s="123"/>
      <c r="R526" s="123"/>
      <c r="S526" s="20"/>
      <c r="T526" s="20"/>
      <c r="U526" s="20"/>
      <c r="V526" s="20"/>
      <c r="W526" s="20"/>
      <c r="X526" s="20"/>
      <c r="Y526" s="20"/>
      <c r="Z526" s="20"/>
      <c r="AA526" s="20"/>
      <c r="AB526" s="20"/>
      <c r="AC526" s="20"/>
    </row>
    <row r="527">
      <c r="A527" s="20"/>
      <c r="B527" s="20"/>
      <c r="C527" s="20"/>
      <c r="D527" s="20"/>
      <c r="E527" s="20"/>
      <c r="F527" s="20"/>
      <c r="G527" s="20"/>
      <c r="H527" s="121"/>
      <c r="I527" s="121"/>
      <c r="J527" s="121"/>
      <c r="K527" s="121"/>
      <c r="L527" s="121"/>
      <c r="M527" s="122"/>
      <c r="N527" s="122"/>
      <c r="O527" s="122"/>
      <c r="P527" s="123"/>
      <c r="Q527" s="123"/>
      <c r="R527" s="123"/>
      <c r="S527" s="20"/>
      <c r="T527" s="20"/>
      <c r="U527" s="20"/>
      <c r="V527" s="20"/>
      <c r="W527" s="20"/>
      <c r="X527" s="20"/>
      <c r="Y527" s="20"/>
      <c r="Z527" s="20"/>
      <c r="AA527" s="20"/>
      <c r="AB527" s="20"/>
      <c r="AC527" s="20"/>
    </row>
    <row r="528">
      <c r="A528" s="20"/>
      <c r="B528" s="20"/>
      <c r="C528" s="20"/>
      <c r="D528" s="20"/>
      <c r="E528" s="20"/>
      <c r="F528" s="20"/>
      <c r="G528" s="20"/>
      <c r="H528" s="121"/>
      <c r="I528" s="121"/>
      <c r="J528" s="121"/>
      <c r="K528" s="121"/>
      <c r="L528" s="121"/>
      <c r="M528" s="122"/>
      <c r="N528" s="122"/>
      <c r="O528" s="122"/>
      <c r="P528" s="123"/>
      <c r="Q528" s="123"/>
      <c r="R528" s="123"/>
      <c r="S528" s="20"/>
      <c r="T528" s="20"/>
      <c r="U528" s="20"/>
      <c r="V528" s="20"/>
      <c r="W528" s="20"/>
      <c r="X528" s="20"/>
      <c r="Y528" s="20"/>
      <c r="Z528" s="20"/>
      <c r="AA528" s="20"/>
      <c r="AB528" s="20"/>
      <c r="AC528" s="20"/>
    </row>
    <row r="529">
      <c r="A529" s="20"/>
      <c r="B529" s="20"/>
      <c r="C529" s="20"/>
      <c r="D529" s="20"/>
      <c r="E529" s="20"/>
      <c r="F529" s="20"/>
      <c r="G529" s="20"/>
      <c r="H529" s="121"/>
      <c r="I529" s="121"/>
      <c r="J529" s="121"/>
      <c r="K529" s="121"/>
      <c r="L529" s="121"/>
      <c r="M529" s="122"/>
      <c r="N529" s="122"/>
      <c r="O529" s="122"/>
      <c r="P529" s="123"/>
      <c r="Q529" s="123"/>
      <c r="R529" s="123"/>
      <c r="S529" s="20"/>
      <c r="T529" s="20"/>
      <c r="U529" s="20"/>
      <c r="V529" s="20"/>
      <c r="W529" s="20"/>
      <c r="X529" s="20"/>
      <c r="Y529" s="20"/>
      <c r="Z529" s="20"/>
      <c r="AA529" s="20"/>
      <c r="AB529" s="20"/>
      <c r="AC529" s="20"/>
    </row>
    <row r="530">
      <c r="A530" s="20"/>
      <c r="B530" s="20"/>
      <c r="C530" s="20"/>
      <c r="D530" s="20"/>
      <c r="E530" s="20"/>
      <c r="F530" s="20"/>
      <c r="G530" s="20"/>
      <c r="H530" s="121"/>
      <c r="I530" s="121"/>
      <c r="J530" s="121"/>
      <c r="K530" s="121"/>
      <c r="L530" s="121"/>
      <c r="M530" s="122"/>
      <c r="N530" s="122"/>
      <c r="O530" s="122"/>
      <c r="P530" s="123"/>
      <c r="Q530" s="123"/>
      <c r="R530" s="123"/>
      <c r="S530" s="20"/>
      <c r="T530" s="20"/>
      <c r="U530" s="20"/>
      <c r="V530" s="20"/>
      <c r="W530" s="20"/>
      <c r="X530" s="20"/>
      <c r="Y530" s="20"/>
      <c r="Z530" s="20"/>
      <c r="AA530" s="20"/>
      <c r="AB530" s="20"/>
      <c r="AC530" s="20"/>
    </row>
    <row r="531">
      <c r="A531" s="20"/>
      <c r="B531" s="20"/>
      <c r="C531" s="20"/>
      <c r="D531" s="20"/>
      <c r="E531" s="20"/>
      <c r="F531" s="20"/>
      <c r="G531" s="20"/>
      <c r="H531" s="121"/>
      <c r="I531" s="121"/>
      <c r="J531" s="121"/>
      <c r="K531" s="121"/>
      <c r="L531" s="121"/>
      <c r="M531" s="122"/>
      <c r="N531" s="122"/>
      <c r="O531" s="122"/>
      <c r="P531" s="123"/>
      <c r="Q531" s="123"/>
      <c r="R531" s="123"/>
      <c r="S531" s="20"/>
      <c r="T531" s="20"/>
      <c r="U531" s="20"/>
      <c r="V531" s="20"/>
      <c r="W531" s="20"/>
      <c r="X531" s="20"/>
      <c r="Y531" s="20"/>
      <c r="Z531" s="20"/>
      <c r="AA531" s="20"/>
      <c r="AB531" s="20"/>
      <c r="AC531" s="20"/>
    </row>
    <row r="532">
      <c r="A532" s="20"/>
      <c r="B532" s="20"/>
      <c r="C532" s="20"/>
      <c r="D532" s="20"/>
      <c r="E532" s="20"/>
      <c r="F532" s="20"/>
      <c r="G532" s="20"/>
      <c r="H532" s="121"/>
      <c r="I532" s="121"/>
      <c r="J532" s="121"/>
      <c r="K532" s="121"/>
      <c r="L532" s="121"/>
      <c r="M532" s="122"/>
      <c r="N532" s="122"/>
      <c r="O532" s="122"/>
      <c r="P532" s="123"/>
      <c r="Q532" s="123"/>
      <c r="R532" s="123"/>
      <c r="S532" s="20"/>
      <c r="T532" s="20"/>
      <c r="U532" s="20"/>
      <c r="V532" s="20"/>
      <c r="W532" s="20"/>
      <c r="X532" s="20"/>
      <c r="Y532" s="20"/>
      <c r="Z532" s="20"/>
      <c r="AA532" s="20"/>
      <c r="AB532" s="20"/>
      <c r="AC532" s="20"/>
    </row>
    <row r="533">
      <c r="A533" s="20"/>
      <c r="B533" s="20"/>
      <c r="C533" s="20"/>
      <c r="D533" s="20"/>
      <c r="E533" s="20"/>
      <c r="F533" s="20"/>
      <c r="G533" s="20"/>
      <c r="H533" s="121"/>
      <c r="I533" s="121"/>
      <c r="J533" s="121"/>
      <c r="K533" s="121"/>
      <c r="L533" s="121"/>
      <c r="M533" s="122"/>
      <c r="N533" s="122"/>
      <c r="O533" s="122"/>
      <c r="P533" s="123"/>
      <c r="Q533" s="123"/>
      <c r="R533" s="123"/>
      <c r="S533" s="20"/>
      <c r="T533" s="20"/>
      <c r="U533" s="20"/>
      <c r="V533" s="20"/>
      <c r="W533" s="20"/>
      <c r="X533" s="20"/>
      <c r="Y533" s="20"/>
      <c r="Z533" s="20"/>
      <c r="AA533" s="20"/>
      <c r="AB533" s="20"/>
      <c r="AC533" s="20"/>
    </row>
    <row r="534">
      <c r="A534" s="20"/>
      <c r="B534" s="20"/>
      <c r="C534" s="20"/>
      <c r="D534" s="20"/>
      <c r="E534" s="20"/>
      <c r="F534" s="20"/>
      <c r="G534" s="20"/>
      <c r="H534" s="121"/>
      <c r="I534" s="121"/>
      <c r="J534" s="121"/>
      <c r="K534" s="121"/>
      <c r="L534" s="121"/>
      <c r="M534" s="122"/>
      <c r="N534" s="122"/>
      <c r="O534" s="122"/>
      <c r="P534" s="123"/>
      <c r="Q534" s="123"/>
      <c r="R534" s="123"/>
      <c r="S534" s="20"/>
      <c r="T534" s="20"/>
      <c r="U534" s="20"/>
      <c r="V534" s="20"/>
      <c r="W534" s="20"/>
      <c r="X534" s="20"/>
      <c r="Y534" s="20"/>
      <c r="Z534" s="20"/>
      <c r="AA534" s="20"/>
      <c r="AB534" s="20"/>
      <c r="AC534" s="20"/>
    </row>
    <row r="535">
      <c r="A535" s="20"/>
      <c r="B535" s="20"/>
      <c r="C535" s="20"/>
      <c r="D535" s="20"/>
      <c r="E535" s="20"/>
      <c r="F535" s="20"/>
      <c r="G535" s="20"/>
      <c r="H535" s="121"/>
      <c r="I535" s="121"/>
      <c r="J535" s="121"/>
      <c r="K535" s="121"/>
      <c r="L535" s="121"/>
      <c r="M535" s="122"/>
      <c r="N535" s="122"/>
      <c r="O535" s="122"/>
      <c r="P535" s="123"/>
      <c r="Q535" s="123"/>
      <c r="R535" s="123"/>
      <c r="S535" s="20"/>
      <c r="T535" s="20"/>
      <c r="U535" s="20"/>
      <c r="V535" s="20"/>
      <c r="W535" s="20"/>
      <c r="X535" s="20"/>
      <c r="Y535" s="20"/>
      <c r="Z535" s="20"/>
      <c r="AA535" s="20"/>
      <c r="AB535" s="20"/>
      <c r="AC535" s="20"/>
    </row>
    <row r="536">
      <c r="A536" s="20"/>
      <c r="B536" s="20"/>
      <c r="C536" s="20"/>
      <c r="D536" s="20"/>
      <c r="E536" s="20"/>
      <c r="F536" s="20"/>
      <c r="G536" s="20"/>
      <c r="H536" s="121"/>
      <c r="I536" s="121"/>
      <c r="J536" s="121"/>
      <c r="K536" s="121"/>
      <c r="L536" s="121"/>
      <c r="M536" s="122"/>
      <c r="N536" s="122"/>
      <c r="O536" s="122"/>
      <c r="P536" s="123"/>
      <c r="Q536" s="123"/>
      <c r="R536" s="123"/>
      <c r="S536" s="20"/>
      <c r="T536" s="20"/>
      <c r="U536" s="20"/>
      <c r="V536" s="20"/>
      <c r="W536" s="20"/>
      <c r="X536" s="20"/>
      <c r="Y536" s="20"/>
      <c r="Z536" s="20"/>
      <c r="AA536" s="20"/>
      <c r="AB536" s="20"/>
      <c r="AC536" s="20"/>
    </row>
    <row r="537">
      <c r="A537" s="20"/>
      <c r="B537" s="20"/>
      <c r="C537" s="20"/>
      <c r="D537" s="20"/>
      <c r="E537" s="20"/>
      <c r="F537" s="20"/>
      <c r="G537" s="20"/>
      <c r="H537" s="121"/>
      <c r="I537" s="121"/>
      <c r="J537" s="121"/>
      <c r="K537" s="121"/>
      <c r="L537" s="121"/>
      <c r="M537" s="122"/>
      <c r="N537" s="122"/>
      <c r="O537" s="122"/>
      <c r="P537" s="123"/>
      <c r="Q537" s="123"/>
      <c r="R537" s="123"/>
      <c r="S537" s="20"/>
      <c r="T537" s="20"/>
      <c r="U537" s="20"/>
      <c r="V537" s="20"/>
      <c r="W537" s="20"/>
      <c r="X537" s="20"/>
      <c r="Y537" s="20"/>
      <c r="Z537" s="20"/>
      <c r="AA537" s="20"/>
      <c r="AB537" s="20"/>
      <c r="AC537" s="20"/>
    </row>
    <row r="538">
      <c r="A538" s="20"/>
      <c r="B538" s="20"/>
      <c r="C538" s="20"/>
      <c r="D538" s="20"/>
      <c r="E538" s="20"/>
      <c r="F538" s="20"/>
      <c r="G538" s="20"/>
      <c r="H538" s="121"/>
      <c r="I538" s="121"/>
      <c r="J538" s="121"/>
      <c r="K538" s="121"/>
      <c r="L538" s="121"/>
      <c r="M538" s="122"/>
      <c r="N538" s="122"/>
      <c r="O538" s="122"/>
      <c r="P538" s="123"/>
      <c r="Q538" s="123"/>
      <c r="R538" s="123"/>
      <c r="S538" s="20"/>
      <c r="T538" s="20"/>
      <c r="U538" s="20"/>
      <c r="V538" s="20"/>
      <c r="W538" s="20"/>
      <c r="X538" s="20"/>
      <c r="Y538" s="20"/>
      <c r="Z538" s="20"/>
      <c r="AA538" s="20"/>
      <c r="AB538" s="20"/>
      <c r="AC538" s="20"/>
    </row>
    <row r="539">
      <c r="A539" s="20"/>
      <c r="B539" s="20"/>
      <c r="C539" s="20"/>
      <c r="D539" s="20"/>
      <c r="E539" s="20"/>
      <c r="F539" s="20"/>
      <c r="G539" s="20"/>
      <c r="H539" s="121"/>
      <c r="I539" s="121"/>
      <c r="J539" s="121"/>
      <c r="K539" s="121"/>
      <c r="L539" s="121"/>
      <c r="M539" s="122"/>
      <c r="N539" s="122"/>
      <c r="O539" s="122"/>
      <c r="P539" s="123"/>
      <c r="Q539" s="123"/>
      <c r="R539" s="123"/>
      <c r="S539" s="20"/>
      <c r="T539" s="20"/>
      <c r="U539" s="20"/>
      <c r="V539" s="20"/>
      <c r="W539" s="20"/>
      <c r="X539" s="20"/>
      <c r="Y539" s="20"/>
      <c r="Z539" s="20"/>
      <c r="AA539" s="20"/>
      <c r="AB539" s="20"/>
      <c r="AC539" s="20"/>
    </row>
    <row r="540">
      <c r="A540" s="20"/>
      <c r="B540" s="20"/>
      <c r="C540" s="20"/>
      <c r="D540" s="20"/>
      <c r="E540" s="20"/>
      <c r="F540" s="20"/>
      <c r="G540" s="20"/>
      <c r="H540" s="121"/>
      <c r="I540" s="121"/>
      <c r="J540" s="121"/>
      <c r="K540" s="121"/>
      <c r="L540" s="121"/>
      <c r="M540" s="122"/>
      <c r="N540" s="122"/>
      <c r="O540" s="122"/>
      <c r="P540" s="123"/>
      <c r="Q540" s="123"/>
      <c r="R540" s="123"/>
      <c r="S540" s="20"/>
      <c r="T540" s="20"/>
      <c r="U540" s="20"/>
      <c r="V540" s="20"/>
      <c r="W540" s="20"/>
      <c r="X540" s="20"/>
      <c r="Y540" s="20"/>
      <c r="Z540" s="20"/>
      <c r="AA540" s="20"/>
      <c r="AB540" s="20"/>
      <c r="AC540" s="20"/>
    </row>
    <row r="541">
      <c r="A541" s="20"/>
      <c r="B541" s="20"/>
      <c r="C541" s="20"/>
      <c r="D541" s="20"/>
      <c r="E541" s="20"/>
      <c r="F541" s="20"/>
      <c r="G541" s="20"/>
      <c r="H541" s="121"/>
      <c r="I541" s="121"/>
      <c r="J541" s="121"/>
      <c r="K541" s="121"/>
      <c r="L541" s="121"/>
      <c r="M541" s="122"/>
      <c r="N541" s="122"/>
      <c r="O541" s="122"/>
      <c r="P541" s="123"/>
      <c r="Q541" s="123"/>
      <c r="R541" s="123"/>
      <c r="S541" s="20"/>
      <c r="T541" s="20"/>
      <c r="U541" s="20"/>
      <c r="V541" s="20"/>
      <c r="W541" s="20"/>
      <c r="X541" s="20"/>
      <c r="Y541" s="20"/>
      <c r="Z541" s="20"/>
      <c r="AA541" s="20"/>
      <c r="AB541" s="20"/>
      <c r="AC541" s="20"/>
    </row>
    <row r="542">
      <c r="A542" s="20"/>
      <c r="B542" s="20"/>
      <c r="C542" s="20"/>
      <c r="D542" s="20"/>
      <c r="E542" s="20"/>
      <c r="F542" s="20"/>
      <c r="G542" s="20"/>
      <c r="H542" s="121"/>
      <c r="I542" s="121"/>
      <c r="J542" s="121"/>
      <c r="K542" s="121"/>
      <c r="L542" s="121"/>
      <c r="M542" s="122"/>
      <c r="N542" s="122"/>
      <c r="O542" s="122"/>
      <c r="P542" s="123"/>
      <c r="Q542" s="123"/>
      <c r="R542" s="123"/>
      <c r="S542" s="20"/>
      <c r="T542" s="20"/>
      <c r="U542" s="20"/>
      <c r="V542" s="20"/>
      <c r="W542" s="20"/>
      <c r="X542" s="20"/>
      <c r="Y542" s="20"/>
      <c r="Z542" s="20"/>
      <c r="AA542" s="20"/>
      <c r="AB542" s="20"/>
      <c r="AC542" s="20"/>
    </row>
    <row r="543">
      <c r="A543" s="20"/>
      <c r="B543" s="20"/>
      <c r="C543" s="20"/>
      <c r="D543" s="20"/>
      <c r="E543" s="20"/>
      <c r="F543" s="20"/>
      <c r="G543" s="20"/>
      <c r="H543" s="121"/>
      <c r="I543" s="121"/>
      <c r="J543" s="121"/>
      <c r="K543" s="121"/>
      <c r="L543" s="121"/>
      <c r="M543" s="122"/>
      <c r="N543" s="122"/>
      <c r="O543" s="122"/>
      <c r="P543" s="123"/>
      <c r="Q543" s="123"/>
      <c r="R543" s="123"/>
      <c r="S543" s="20"/>
      <c r="T543" s="20"/>
      <c r="U543" s="20"/>
      <c r="V543" s="20"/>
      <c r="W543" s="20"/>
      <c r="X543" s="20"/>
      <c r="Y543" s="20"/>
      <c r="Z543" s="20"/>
      <c r="AA543" s="20"/>
      <c r="AB543" s="20"/>
      <c r="AC543" s="20"/>
    </row>
    <row r="544">
      <c r="A544" s="20"/>
      <c r="B544" s="20"/>
      <c r="C544" s="20"/>
      <c r="D544" s="20"/>
      <c r="E544" s="20"/>
      <c r="F544" s="20"/>
      <c r="G544" s="20"/>
      <c r="H544" s="121"/>
      <c r="I544" s="121"/>
      <c r="J544" s="121"/>
      <c r="K544" s="121"/>
      <c r="L544" s="121"/>
      <c r="M544" s="122"/>
      <c r="N544" s="122"/>
      <c r="O544" s="122"/>
      <c r="P544" s="123"/>
      <c r="Q544" s="123"/>
      <c r="R544" s="123"/>
      <c r="S544" s="20"/>
      <c r="T544" s="20"/>
      <c r="U544" s="20"/>
      <c r="V544" s="20"/>
      <c r="W544" s="20"/>
      <c r="X544" s="20"/>
      <c r="Y544" s="20"/>
      <c r="Z544" s="20"/>
      <c r="AA544" s="20"/>
      <c r="AB544" s="20"/>
      <c r="AC544" s="20"/>
    </row>
    <row r="545">
      <c r="A545" s="20"/>
      <c r="B545" s="20"/>
      <c r="C545" s="20"/>
      <c r="D545" s="20"/>
      <c r="E545" s="20"/>
      <c r="F545" s="20"/>
      <c r="G545" s="20"/>
      <c r="H545" s="121"/>
      <c r="I545" s="121"/>
      <c r="J545" s="121"/>
      <c r="K545" s="121"/>
      <c r="L545" s="121"/>
      <c r="M545" s="122"/>
      <c r="N545" s="122"/>
      <c r="O545" s="122"/>
      <c r="P545" s="123"/>
      <c r="Q545" s="123"/>
      <c r="R545" s="123"/>
      <c r="S545" s="20"/>
      <c r="T545" s="20"/>
      <c r="U545" s="20"/>
      <c r="V545" s="20"/>
      <c r="W545" s="20"/>
      <c r="X545" s="20"/>
      <c r="Y545" s="20"/>
      <c r="Z545" s="20"/>
      <c r="AA545" s="20"/>
      <c r="AB545" s="20"/>
      <c r="AC545" s="20"/>
    </row>
    <row r="546">
      <c r="A546" s="20"/>
      <c r="B546" s="20"/>
      <c r="C546" s="20"/>
      <c r="D546" s="20"/>
      <c r="E546" s="20"/>
      <c r="F546" s="20"/>
      <c r="G546" s="20"/>
      <c r="H546" s="121"/>
      <c r="I546" s="121"/>
      <c r="J546" s="121"/>
      <c r="K546" s="121"/>
      <c r="L546" s="121"/>
      <c r="M546" s="122"/>
      <c r="N546" s="122"/>
      <c r="O546" s="122"/>
      <c r="P546" s="123"/>
      <c r="Q546" s="123"/>
      <c r="R546" s="123"/>
      <c r="S546" s="20"/>
      <c r="T546" s="20"/>
      <c r="U546" s="20"/>
      <c r="V546" s="20"/>
      <c r="W546" s="20"/>
      <c r="X546" s="20"/>
      <c r="Y546" s="20"/>
      <c r="Z546" s="20"/>
      <c r="AA546" s="20"/>
      <c r="AB546" s="20"/>
      <c r="AC546" s="20"/>
    </row>
    <row r="547">
      <c r="A547" s="20"/>
      <c r="B547" s="20"/>
      <c r="C547" s="20"/>
      <c r="D547" s="20"/>
      <c r="E547" s="20"/>
      <c r="F547" s="20"/>
      <c r="G547" s="20"/>
      <c r="H547" s="121"/>
      <c r="I547" s="121"/>
      <c r="J547" s="121"/>
      <c r="K547" s="121"/>
      <c r="L547" s="121"/>
      <c r="M547" s="122"/>
      <c r="N547" s="122"/>
      <c r="O547" s="122"/>
      <c r="P547" s="123"/>
      <c r="Q547" s="123"/>
      <c r="R547" s="123"/>
      <c r="S547" s="20"/>
      <c r="T547" s="20"/>
      <c r="U547" s="20"/>
      <c r="V547" s="20"/>
      <c r="W547" s="20"/>
      <c r="X547" s="20"/>
      <c r="Y547" s="20"/>
      <c r="Z547" s="20"/>
      <c r="AA547" s="20"/>
      <c r="AB547" s="20"/>
      <c r="AC547" s="20"/>
    </row>
    <row r="548">
      <c r="A548" s="20"/>
      <c r="B548" s="20"/>
      <c r="C548" s="20"/>
      <c r="D548" s="20"/>
      <c r="E548" s="20"/>
      <c r="F548" s="20"/>
      <c r="G548" s="20"/>
      <c r="H548" s="121"/>
      <c r="I548" s="121"/>
      <c r="J548" s="121"/>
      <c r="K548" s="121"/>
      <c r="L548" s="121"/>
      <c r="M548" s="122"/>
      <c r="N548" s="122"/>
      <c r="O548" s="122"/>
      <c r="P548" s="123"/>
      <c r="Q548" s="123"/>
      <c r="R548" s="123"/>
      <c r="S548" s="20"/>
      <c r="T548" s="20"/>
      <c r="U548" s="20"/>
      <c r="V548" s="20"/>
      <c r="W548" s="20"/>
      <c r="X548" s="20"/>
      <c r="Y548" s="20"/>
      <c r="Z548" s="20"/>
      <c r="AA548" s="20"/>
      <c r="AB548" s="20"/>
      <c r="AC548" s="20"/>
    </row>
    <row r="549">
      <c r="A549" s="20"/>
      <c r="B549" s="20"/>
      <c r="C549" s="20"/>
      <c r="D549" s="20"/>
      <c r="E549" s="20"/>
      <c r="F549" s="20"/>
      <c r="G549" s="20"/>
      <c r="H549" s="121"/>
      <c r="I549" s="121"/>
      <c r="J549" s="121"/>
      <c r="K549" s="121"/>
      <c r="L549" s="121"/>
      <c r="M549" s="122"/>
      <c r="N549" s="122"/>
      <c r="O549" s="122"/>
      <c r="P549" s="123"/>
      <c r="Q549" s="123"/>
      <c r="R549" s="123"/>
      <c r="S549" s="20"/>
      <c r="T549" s="20"/>
      <c r="U549" s="20"/>
      <c r="V549" s="20"/>
      <c r="W549" s="20"/>
      <c r="X549" s="20"/>
      <c r="Y549" s="20"/>
      <c r="Z549" s="20"/>
      <c r="AA549" s="20"/>
      <c r="AB549" s="20"/>
      <c r="AC549" s="20"/>
    </row>
    <row r="550">
      <c r="A550" s="20"/>
      <c r="B550" s="20"/>
      <c r="C550" s="20"/>
      <c r="D550" s="20"/>
      <c r="E550" s="20"/>
      <c r="F550" s="20"/>
      <c r="G550" s="20"/>
      <c r="H550" s="121"/>
      <c r="I550" s="121"/>
      <c r="J550" s="121"/>
      <c r="K550" s="121"/>
      <c r="L550" s="121"/>
      <c r="M550" s="122"/>
      <c r="N550" s="122"/>
      <c r="O550" s="122"/>
      <c r="P550" s="123"/>
      <c r="Q550" s="123"/>
      <c r="R550" s="123"/>
      <c r="S550" s="20"/>
      <c r="T550" s="20"/>
      <c r="U550" s="20"/>
      <c r="V550" s="20"/>
      <c r="W550" s="20"/>
      <c r="X550" s="20"/>
      <c r="Y550" s="20"/>
      <c r="Z550" s="20"/>
      <c r="AA550" s="20"/>
      <c r="AB550" s="20"/>
      <c r="AC550" s="20"/>
    </row>
    <row r="551">
      <c r="A551" s="20"/>
      <c r="B551" s="20"/>
      <c r="C551" s="20"/>
      <c r="D551" s="20"/>
      <c r="E551" s="20"/>
      <c r="F551" s="20"/>
      <c r="G551" s="20"/>
      <c r="H551" s="121"/>
      <c r="I551" s="121"/>
      <c r="J551" s="121"/>
      <c r="K551" s="121"/>
      <c r="L551" s="121"/>
      <c r="M551" s="122"/>
      <c r="N551" s="122"/>
      <c r="O551" s="122"/>
      <c r="P551" s="123"/>
      <c r="Q551" s="123"/>
      <c r="R551" s="123"/>
      <c r="S551" s="20"/>
      <c r="T551" s="20"/>
      <c r="U551" s="20"/>
      <c r="V551" s="20"/>
      <c r="W551" s="20"/>
      <c r="X551" s="20"/>
      <c r="Y551" s="20"/>
      <c r="Z551" s="20"/>
      <c r="AA551" s="20"/>
      <c r="AB551" s="20"/>
      <c r="AC551" s="20"/>
    </row>
    <row r="552">
      <c r="A552" s="20"/>
      <c r="B552" s="20"/>
      <c r="C552" s="20"/>
      <c r="D552" s="20"/>
      <c r="E552" s="20"/>
      <c r="F552" s="20"/>
      <c r="G552" s="20"/>
      <c r="H552" s="121"/>
      <c r="I552" s="121"/>
      <c r="J552" s="121"/>
      <c r="K552" s="121"/>
      <c r="L552" s="121"/>
      <c r="M552" s="122"/>
      <c r="N552" s="122"/>
      <c r="O552" s="122"/>
      <c r="P552" s="123"/>
      <c r="Q552" s="123"/>
      <c r="R552" s="123"/>
      <c r="S552" s="20"/>
      <c r="T552" s="20"/>
      <c r="U552" s="20"/>
      <c r="V552" s="20"/>
      <c r="W552" s="20"/>
      <c r="X552" s="20"/>
      <c r="Y552" s="20"/>
      <c r="Z552" s="20"/>
      <c r="AA552" s="20"/>
      <c r="AB552" s="20"/>
      <c r="AC552" s="20"/>
    </row>
    <row r="553">
      <c r="A553" s="20"/>
      <c r="B553" s="20"/>
      <c r="C553" s="20"/>
      <c r="D553" s="20"/>
      <c r="E553" s="20"/>
      <c r="F553" s="20"/>
      <c r="G553" s="20"/>
      <c r="H553" s="121"/>
      <c r="I553" s="121"/>
      <c r="J553" s="121"/>
      <c r="K553" s="121"/>
      <c r="L553" s="121"/>
      <c r="M553" s="122"/>
      <c r="N553" s="122"/>
      <c r="O553" s="122"/>
      <c r="P553" s="123"/>
      <c r="Q553" s="123"/>
      <c r="R553" s="123"/>
      <c r="S553" s="20"/>
      <c r="T553" s="20"/>
      <c r="U553" s="20"/>
      <c r="V553" s="20"/>
      <c r="W553" s="20"/>
      <c r="X553" s="20"/>
      <c r="Y553" s="20"/>
      <c r="Z553" s="20"/>
      <c r="AA553" s="20"/>
      <c r="AB553" s="20"/>
      <c r="AC553" s="20"/>
    </row>
    <row r="554">
      <c r="A554" s="20"/>
      <c r="B554" s="20"/>
      <c r="C554" s="20"/>
      <c r="D554" s="20"/>
      <c r="E554" s="20"/>
      <c r="F554" s="20"/>
      <c r="G554" s="20"/>
      <c r="H554" s="121"/>
      <c r="I554" s="121"/>
      <c r="J554" s="121"/>
      <c r="K554" s="121"/>
      <c r="L554" s="121"/>
      <c r="M554" s="122"/>
      <c r="N554" s="122"/>
      <c r="O554" s="122"/>
      <c r="P554" s="123"/>
      <c r="Q554" s="123"/>
      <c r="R554" s="123"/>
      <c r="S554" s="20"/>
      <c r="T554" s="20"/>
      <c r="U554" s="20"/>
      <c r="V554" s="20"/>
      <c r="W554" s="20"/>
      <c r="X554" s="20"/>
      <c r="Y554" s="20"/>
      <c r="Z554" s="20"/>
      <c r="AA554" s="20"/>
      <c r="AB554" s="20"/>
      <c r="AC554" s="20"/>
    </row>
    <row r="555">
      <c r="A555" s="20"/>
      <c r="B555" s="20"/>
      <c r="C555" s="20"/>
      <c r="D555" s="20"/>
      <c r="E555" s="20"/>
      <c r="F555" s="20"/>
      <c r="G555" s="20"/>
      <c r="H555" s="121"/>
      <c r="I555" s="121"/>
      <c r="J555" s="121"/>
      <c r="K555" s="121"/>
      <c r="L555" s="121"/>
      <c r="M555" s="122"/>
      <c r="N555" s="122"/>
      <c r="O555" s="122"/>
      <c r="P555" s="123"/>
      <c r="Q555" s="123"/>
      <c r="R555" s="123"/>
      <c r="S555" s="20"/>
      <c r="T555" s="20"/>
      <c r="U555" s="20"/>
      <c r="V555" s="20"/>
      <c r="W555" s="20"/>
      <c r="X555" s="20"/>
      <c r="Y555" s="20"/>
      <c r="Z555" s="20"/>
      <c r="AA555" s="20"/>
      <c r="AB555" s="20"/>
      <c r="AC555" s="20"/>
    </row>
    <row r="556">
      <c r="A556" s="20"/>
      <c r="B556" s="20"/>
      <c r="C556" s="20"/>
      <c r="D556" s="20"/>
      <c r="E556" s="20"/>
      <c r="F556" s="20"/>
      <c r="G556" s="20"/>
      <c r="H556" s="121"/>
      <c r="I556" s="121"/>
      <c r="J556" s="121"/>
      <c r="K556" s="121"/>
      <c r="L556" s="121"/>
      <c r="M556" s="122"/>
      <c r="N556" s="122"/>
      <c r="O556" s="122"/>
      <c r="P556" s="123"/>
      <c r="Q556" s="123"/>
      <c r="R556" s="123"/>
      <c r="S556" s="20"/>
      <c r="T556" s="20"/>
      <c r="U556" s="20"/>
      <c r="V556" s="20"/>
      <c r="W556" s="20"/>
      <c r="X556" s="20"/>
      <c r="Y556" s="20"/>
      <c r="Z556" s="20"/>
      <c r="AA556" s="20"/>
      <c r="AB556" s="20"/>
      <c r="AC556" s="20"/>
    </row>
    <row r="557">
      <c r="A557" s="20"/>
      <c r="B557" s="20"/>
      <c r="C557" s="20"/>
      <c r="D557" s="20"/>
      <c r="E557" s="20"/>
      <c r="F557" s="20"/>
      <c r="G557" s="20"/>
      <c r="H557" s="121"/>
      <c r="I557" s="121"/>
      <c r="J557" s="121"/>
      <c r="K557" s="121"/>
      <c r="L557" s="121"/>
      <c r="M557" s="122"/>
      <c r="N557" s="122"/>
      <c r="O557" s="122"/>
      <c r="P557" s="123"/>
      <c r="Q557" s="123"/>
      <c r="R557" s="123"/>
      <c r="S557" s="20"/>
      <c r="T557" s="20"/>
      <c r="U557" s="20"/>
      <c r="V557" s="20"/>
      <c r="W557" s="20"/>
      <c r="X557" s="20"/>
      <c r="Y557" s="20"/>
      <c r="Z557" s="20"/>
      <c r="AA557" s="20"/>
      <c r="AB557" s="20"/>
      <c r="AC557" s="20"/>
    </row>
    <row r="558">
      <c r="A558" s="20"/>
      <c r="B558" s="20"/>
      <c r="C558" s="20"/>
      <c r="D558" s="20"/>
      <c r="E558" s="20"/>
      <c r="F558" s="20"/>
      <c r="G558" s="20"/>
      <c r="H558" s="121"/>
      <c r="I558" s="121"/>
      <c r="J558" s="121"/>
      <c r="K558" s="121"/>
      <c r="L558" s="121"/>
      <c r="M558" s="122"/>
      <c r="N558" s="122"/>
      <c r="O558" s="122"/>
      <c r="P558" s="123"/>
      <c r="Q558" s="123"/>
      <c r="R558" s="123"/>
      <c r="S558" s="20"/>
      <c r="T558" s="20"/>
      <c r="U558" s="20"/>
      <c r="V558" s="20"/>
      <c r="W558" s="20"/>
      <c r="X558" s="20"/>
      <c r="Y558" s="20"/>
      <c r="Z558" s="20"/>
      <c r="AA558" s="20"/>
      <c r="AB558" s="20"/>
      <c r="AC558" s="20"/>
    </row>
    <row r="559">
      <c r="A559" s="20"/>
      <c r="B559" s="20"/>
      <c r="C559" s="20"/>
      <c r="D559" s="20"/>
      <c r="E559" s="20"/>
      <c r="F559" s="20"/>
      <c r="G559" s="20"/>
      <c r="H559" s="121"/>
      <c r="I559" s="121"/>
      <c r="J559" s="121"/>
      <c r="K559" s="121"/>
      <c r="L559" s="121"/>
      <c r="M559" s="122"/>
      <c r="N559" s="122"/>
      <c r="O559" s="122"/>
      <c r="P559" s="123"/>
      <c r="Q559" s="123"/>
      <c r="R559" s="123"/>
      <c r="S559" s="20"/>
      <c r="T559" s="20"/>
      <c r="U559" s="20"/>
      <c r="V559" s="20"/>
      <c r="W559" s="20"/>
      <c r="X559" s="20"/>
      <c r="Y559" s="20"/>
      <c r="Z559" s="20"/>
      <c r="AA559" s="20"/>
      <c r="AB559" s="20"/>
      <c r="AC559" s="20"/>
    </row>
    <row r="560">
      <c r="A560" s="20"/>
      <c r="B560" s="20"/>
      <c r="C560" s="20"/>
      <c r="D560" s="20"/>
      <c r="E560" s="20"/>
      <c r="F560" s="20"/>
      <c r="G560" s="20"/>
      <c r="H560" s="121"/>
      <c r="I560" s="121"/>
      <c r="J560" s="121"/>
      <c r="K560" s="121"/>
      <c r="L560" s="121"/>
      <c r="M560" s="122"/>
      <c r="N560" s="122"/>
      <c r="O560" s="122"/>
      <c r="P560" s="123"/>
      <c r="Q560" s="123"/>
      <c r="R560" s="123"/>
      <c r="S560" s="20"/>
      <c r="T560" s="20"/>
      <c r="U560" s="20"/>
      <c r="V560" s="20"/>
      <c r="W560" s="20"/>
      <c r="X560" s="20"/>
      <c r="Y560" s="20"/>
      <c r="Z560" s="20"/>
      <c r="AA560" s="20"/>
      <c r="AB560" s="20"/>
      <c r="AC560" s="20"/>
    </row>
    <row r="561">
      <c r="A561" s="20"/>
      <c r="B561" s="20"/>
      <c r="C561" s="20"/>
      <c r="D561" s="20"/>
      <c r="E561" s="20"/>
      <c r="F561" s="20"/>
      <c r="G561" s="20"/>
      <c r="H561" s="121"/>
      <c r="I561" s="121"/>
      <c r="J561" s="121"/>
      <c r="K561" s="121"/>
      <c r="L561" s="121"/>
      <c r="M561" s="122"/>
      <c r="N561" s="122"/>
      <c r="O561" s="122"/>
      <c r="P561" s="123"/>
      <c r="Q561" s="123"/>
      <c r="R561" s="123"/>
      <c r="S561" s="20"/>
      <c r="T561" s="20"/>
      <c r="U561" s="20"/>
      <c r="V561" s="20"/>
      <c r="W561" s="20"/>
      <c r="X561" s="20"/>
      <c r="Y561" s="20"/>
      <c r="Z561" s="20"/>
      <c r="AA561" s="20"/>
      <c r="AB561" s="20"/>
      <c r="AC561" s="20"/>
    </row>
    <row r="562">
      <c r="A562" s="20"/>
      <c r="B562" s="20"/>
      <c r="C562" s="20"/>
      <c r="D562" s="20"/>
      <c r="E562" s="20"/>
      <c r="F562" s="20"/>
      <c r="G562" s="20"/>
      <c r="H562" s="121"/>
      <c r="I562" s="121"/>
      <c r="J562" s="121"/>
      <c r="K562" s="121"/>
      <c r="L562" s="121"/>
      <c r="M562" s="122"/>
      <c r="N562" s="122"/>
      <c r="O562" s="122"/>
      <c r="P562" s="123"/>
      <c r="Q562" s="123"/>
      <c r="R562" s="123"/>
      <c r="S562" s="20"/>
      <c r="T562" s="20"/>
      <c r="U562" s="20"/>
      <c r="V562" s="20"/>
      <c r="W562" s="20"/>
      <c r="X562" s="20"/>
      <c r="Y562" s="20"/>
      <c r="Z562" s="20"/>
      <c r="AA562" s="20"/>
      <c r="AB562" s="20"/>
      <c r="AC562" s="20"/>
    </row>
    <row r="563">
      <c r="A563" s="20"/>
      <c r="B563" s="20"/>
      <c r="C563" s="20"/>
      <c r="D563" s="20"/>
      <c r="E563" s="20"/>
      <c r="F563" s="20"/>
      <c r="G563" s="20"/>
      <c r="H563" s="121"/>
      <c r="I563" s="121"/>
      <c r="J563" s="121"/>
      <c r="K563" s="121"/>
      <c r="L563" s="121"/>
      <c r="M563" s="122"/>
      <c r="N563" s="122"/>
      <c r="O563" s="122"/>
      <c r="P563" s="123"/>
      <c r="Q563" s="123"/>
      <c r="R563" s="123"/>
      <c r="S563" s="20"/>
      <c r="T563" s="20"/>
      <c r="U563" s="20"/>
      <c r="V563" s="20"/>
      <c r="W563" s="20"/>
      <c r="X563" s="20"/>
      <c r="Y563" s="20"/>
      <c r="Z563" s="20"/>
      <c r="AA563" s="20"/>
      <c r="AB563" s="20"/>
      <c r="AC563" s="20"/>
    </row>
    <row r="564">
      <c r="A564" s="20"/>
      <c r="B564" s="20"/>
      <c r="C564" s="20"/>
      <c r="D564" s="20"/>
      <c r="E564" s="20"/>
      <c r="F564" s="20"/>
      <c r="G564" s="20"/>
      <c r="H564" s="121"/>
      <c r="I564" s="121"/>
      <c r="J564" s="121"/>
      <c r="K564" s="121"/>
      <c r="L564" s="121"/>
      <c r="M564" s="122"/>
      <c r="N564" s="122"/>
      <c r="O564" s="122"/>
      <c r="P564" s="123"/>
      <c r="Q564" s="123"/>
      <c r="R564" s="123"/>
      <c r="S564" s="20"/>
      <c r="T564" s="20"/>
      <c r="U564" s="20"/>
      <c r="V564" s="20"/>
      <c r="W564" s="20"/>
      <c r="X564" s="20"/>
      <c r="Y564" s="20"/>
      <c r="Z564" s="20"/>
      <c r="AA564" s="20"/>
      <c r="AB564" s="20"/>
      <c r="AC564" s="20"/>
    </row>
    <row r="565">
      <c r="A565" s="20"/>
      <c r="B565" s="20"/>
      <c r="C565" s="20"/>
      <c r="D565" s="20"/>
      <c r="E565" s="20"/>
      <c r="F565" s="20"/>
      <c r="G565" s="20"/>
      <c r="H565" s="121"/>
      <c r="I565" s="121"/>
      <c r="J565" s="121"/>
      <c r="K565" s="121"/>
      <c r="L565" s="121"/>
      <c r="M565" s="122"/>
      <c r="N565" s="122"/>
      <c r="O565" s="122"/>
      <c r="P565" s="123"/>
      <c r="Q565" s="123"/>
      <c r="R565" s="123"/>
      <c r="S565" s="20"/>
      <c r="T565" s="20"/>
      <c r="U565" s="20"/>
      <c r="V565" s="20"/>
      <c r="W565" s="20"/>
      <c r="X565" s="20"/>
      <c r="Y565" s="20"/>
      <c r="Z565" s="20"/>
      <c r="AA565" s="20"/>
      <c r="AB565" s="20"/>
      <c r="AC565" s="20"/>
    </row>
    <row r="566">
      <c r="A566" s="20"/>
      <c r="B566" s="20"/>
      <c r="C566" s="20"/>
      <c r="D566" s="20"/>
      <c r="E566" s="20"/>
      <c r="F566" s="20"/>
      <c r="G566" s="20"/>
      <c r="H566" s="121"/>
      <c r="I566" s="121"/>
      <c r="J566" s="121"/>
      <c r="K566" s="121"/>
      <c r="L566" s="121"/>
      <c r="M566" s="122"/>
      <c r="N566" s="122"/>
      <c r="O566" s="122"/>
      <c r="P566" s="123"/>
      <c r="Q566" s="123"/>
      <c r="R566" s="123"/>
      <c r="S566" s="20"/>
      <c r="T566" s="20"/>
      <c r="U566" s="20"/>
      <c r="V566" s="20"/>
      <c r="W566" s="20"/>
      <c r="X566" s="20"/>
      <c r="Y566" s="20"/>
      <c r="Z566" s="20"/>
      <c r="AA566" s="20"/>
      <c r="AB566" s="20"/>
      <c r="AC566" s="20"/>
    </row>
    <row r="567">
      <c r="A567" s="20"/>
      <c r="B567" s="20"/>
      <c r="C567" s="20"/>
      <c r="D567" s="20"/>
      <c r="E567" s="20"/>
      <c r="F567" s="20"/>
      <c r="G567" s="20"/>
      <c r="H567" s="121"/>
      <c r="I567" s="121"/>
      <c r="J567" s="121"/>
      <c r="K567" s="121"/>
      <c r="L567" s="121"/>
      <c r="M567" s="122"/>
      <c r="N567" s="122"/>
      <c r="O567" s="122"/>
      <c r="P567" s="123"/>
      <c r="Q567" s="123"/>
      <c r="R567" s="123"/>
      <c r="S567" s="20"/>
      <c r="T567" s="20"/>
      <c r="U567" s="20"/>
      <c r="V567" s="20"/>
      <c r="W567" s="20"/>
      <c r="X567" s="20"/>
      <c r="Y567" s="20"/>
      <c r="Z567" s="20"/>
      <c r="AA567" s="20"/>
      <c r="AB567" s="20"/>
      <c r="AC567" s="20"/>
    </row>
    <row r="568">
      <c r="A568" s="20"/>
      <c r="B568" s="20"/>
      <c r="C568" s="20"/>
      <c r="D568" s="20"/>
      <c r="E568" s="20"/>
      <c r="F568" s="20"/>
      <c r="G568" s="20"/>
      <c r="H568" s="121"/>
      <c r="I568" s="121"/>
      <c r="J568" s="121"/>
      <c r="K568" s="121"/>
      <c r="L568" s="121"/>
      <c r="M568" s="122"/>
      <c r="N568" s="122"/>
      <c r="O568" s="122"/>
      <c r="P568" s="123"/>
      <c r="Q568" s="123"/>
      <c r="R568" s="123"/>
      <c r="S568" s="20"/>
      <c r="T568" s="20"/>
      <c r="U568" s="20"/>
      <c r="V568" s="20"/>
      <c r="W568" s="20"/>
      <c r="X568" s="20"/>
      <c r="Y568" s="20"/>
      <c r="Z568" s="20"/>
      <c r="AA568" s="20"/>
      <c r="AB568" s="20"/>
      <c r="AC568" s="20"/>
    </row>
    <row r="569">
      <c r="A569" s="20"/>
      <c r="B569" s="20"/>
      <c r="C569" s="20"/>
      <c r="D569" s="20"/>
      <c r="E569" s="20"/>
      <c r="F569" s="20"/>
      <c r="G569" s="20"/>
      <c r="H569" s="121"/>
      <c r="I569" s="121"/>
      <c r="J569" s="121"/>
      <c r="K569" s="121"/>
      <c r="L569" s="121"/>
      <c r="M569" s="122"/>
      <c r="N569" s="122"/>
      <c r="O569" s="122"/>
      <c r="P569" s="123"/>
      <c r="Q569" s="123"/>
      <c r="R569" s="123"/>
      <c r="S569" s="20"/>
      <c r="T569" s="20"/>
      <c r="U569" s="20"/>
      <c r="V569" s="20"/>
      <c r="W569" s="20"/>
      <c r="X569" s="20"/>
      <c r="Y569" s="20"/>
      <c r="Z569" s="20"/>
      <c r="AA569" s="20"/>
      <c r="AB569" s="20"/>
      <c r="AC569" s="20"/>
    </row>
    <row r="570">
      <c r="A570" s="20"/>
      <c r="B570" s="20"/>
      <c r="C570" s="20"/>
      <c r="D570" s="20"/>
      <c r="E570" s="20"/>
      <c r="F570" s="20"/>
      <c r="G570" s="20"/>
      <c r="H570" s="121"/>
      <c r="I570" s="121"/>
      <c r="J570" s="121"/>
      <c r="K570" s="121"/>
      <c r="L570" s="121"/>
      <c r="M570" s="122"/>
      <c r="N570" s="122"/>
      <c r="O570" s="122"/>
      <c r="P570" s="123"/>
      <c r="Q570" s="123"/>
      <c r="R570" s="123"/>
      <c r="S570" s="20"/>
      <c r="T570" s="20"/>
      <c r="U570" s="20"/>
      <c r="V570" s="20"/>
      <c r="W570" s="20"/>
      <c r="X570" s="20"/>
      <c r="Y570" s="20"/>
      <c r="Z570" s="20"/>
      <c r="AA570" s="20"/>
      <c r="AB570" s="20"/>
      <c r="AC570" s="20"/>
    </row>
    <row r="571">
      <c r="A571" s="20"/>
      <c r="B571" s="20"/>
      <c r="C571" s="20"/>
      <c r="D571" s="20"/>
      <c r="E571" s="20"/>
      <c r="F571" s="20"/>
      <c r="G571" s="20"/>
      <c r="H571" s="121"/>
      <c r="I571" s="121"/>
      <c r="J571" s="121"/>
      <c r="K571" s="121"/>
      <c r="L571" s="121"/>
      <c r="M571" s="122"/>
      <c r="N571" s="122"/>
      <c r="O571" s="122"/>
      <c r="P571" s="123"/>
      <c r="Q571" s="123"/>
      <c r="R571" s="123"/>
      <c r="S571" s="20"/>
      <c r="T571" s="20"/>
      <c r="U571" s="20"/>
      <c r="V571" s="20"/>
      <c r="W571" s="20"/>
      <c r="X571" s="20"/>
      <c r="Y571" s="20"/>
      <c r="Z571" s="20"/>
      <c r="AA571" s="20"/>
      <c r="AB571" s="20"/>
      <c r="AC571" s="20"/>
    </row>
    <row r="572">
      <c r="A572" s="20"/>
      <c r="B572" s="20"/>
      <c r="C572" s="20"/>
      <c r="D572" s="20"/>
      <c r="E572" s="20"/>
      <c r="F572" s="20"/>
      <c r="G572" s="20"/>
      <c r="H572" s="121"/>
      <c r="I572" s="121"/>
      <c r="J572" s="121"/>
      <c r="K572" s="121"/>
      <c r="L572" s="121"/>
      <c r="M572" s="122"/>
      <c r="N572" s="122"/>
      <c r="O572" s="122"/>
      <c r="P572" s="123"/>
      <c r="Q572" s="123"/>
      <c r="R572" s="123"/>
      <c r="S572" s="20"/>
      <c r="T572" s="20"/>
      <c r="U572" s="20"/>
      <c r="V572" s="20"/>
      <c r="W572" s="20"/>
      <c r="X572" s="20"/>
      <c r="Y572" s="20"/>
      <c r="Z572" s="20"/>
      <c r="AA572" s="20"/>
      <c r="AB572" s="20"/>
      <c r="AC572" s="20"/>
    </row>
    <row r="573">
      <c r="A573" s="20"/>
      <c r="B573" s="20"/>
      <c r="C573" s="20"/>
      <c r="D573" s="20"/>
      <c r="E573" s="20"/>
      <c r="F573" s="20"/>
      <c r="G573" s="20"/>
      <c r="H573" s="121"/>
      <c r="I573" s="121"/>
      <c r="J573" s="121"/>
      <c r="K573" s="121"/>
      <c r="L573" s="121"/>
      <c r="M573" s="122"/>
      <c r="N573" s="122"/>
      <c r="O573" s="122"/>
      <c r="P573" s="123"/>
      <c r="Q573" s="123"/>
      <c r="R573" s="123"/>
      <c r="S573" s="20"/>
      <c r="T573" s="20"/>
      <c r="U573" s="20"/>
      <c r="V573" s="20"/>
      <c r="W573" s="20"/>
      <c r="X573" s="20"/>
      <c r="Y573" s="20"/>
      <c r="Z573" s="20"/>
      <c r="AA573" s="20"/>
      <c r="AB573" s="20"/>
      <c r="AC573" s="20"/>
    </row>
    <row r="574">
      <c r="A574" s="20"/>
      <c r="B574" s="20"/>
      <c r="C574" s="20"/>
      <c r="D574" s="20"/>
      <c r="E574" s="20"/>
      <c r="F574" s="20"/>
      <c r="G574" s="20"/>
      <c r="H574" s="121"/>
      <c r="I574" s="121"/>
      <c r="J574" s="121"/>
      <c r="K574" s="121"/>
      <c r="L574" s="121"/>
      <c r="M574" s="122"/>
      <c r="N574" s="122"/>
      <c r="O574" s="122"/>
      <c r="P574" s="123"/>
      <c r="Q574" s="123"/>
      <c r="R574" s="123"/>
      <c r="S574" s="20"/>
      <c r="T574" s="20"/>
      <c r="U574" s="20"/>
      <c r="V574" s="20"/>
      <c r="W574" s="20"/>
      <c r="X574" s="20"/>
      <c r="Y574" s="20"/>
      <c r="Z574" s="20"/>
      <c r="AA574" s="20"/>
      <c r="AB574" s="20"/>
      <c r="AC574" s="20"/>
    </row>
    <row r="575">
      <c r="A575" s="20"/>
      <c r="B575" s="20"/>
      <c r="C575" s="20"/>
      <c r="D575" s="20"/>
      <c r="E575" s="20"/>
      <c r="F575" s="20"/>
      <c r="G575" s="20"/>
      <c r="H575" s="121"/>
      <c r="I575" s="121"/>
      <c r="J575" s="121"/>
      <c r="K575" s="121"/>
      <c r="L575" s="121"/>
      <c r="M575" s="122"/>
      <c r="N575" s="122"/>
      <c r="O575" s="122"/>
      <c r="P575" s="123"/>
      <c r="Q575" s="123"/>
      <c r="R575" s="123"/>
      <c r="S575" s="20"/>
      <c r="T575" s="20"/>
      <c r="U575" s="20"/>
      <c r="V575" s="20"/>
      <c r="W575" s="20"/>
      <c r="X575" s="20"/>
      <c r="Y575" s="20"/>
      <c r="Z575" s="20"/>
      <c r="AA575" s="20"/>
      <c r="AB575" s="20"/>
      <c r="AC575" s="20"/>
    </row>
    <row r="576">
      <c r="A576" s="20"/>
      <c r="B576" s="20"/>
      <c r="C576" s="20"/>
      <c r="D576" s="20"/>
      <c r="E576" s="20"/>
      <c r="F576" s="20"/>
      <c r="G576" s="20"/>
      <c r="H576" s="121"/>
      <c r="I576" s="121"/>
      <c r="J576" s="121"/>
      <c r="K576" s="121"/>
      <c r="L576" s="121"/>
      <c r="M576" s="122"/>
      <c r="N576" s="122"/>
      <c r="O576" s="122"/>
      <c r="P576" s="123"/>
      <c r="Q576" s="123"/>
      <c r="R576" s="123"/>
      <c r="S576" s="20"/>
      <c r="T576" s="20"/>
      <c r="U576" s="20"/>
      <c r="V576" s="20"/>
      <c r="W576" s="20"/>
      <c r="X576" s="20"/>
      <c r="Y576" s="20"/>
      <c r="Z576" s="20"/>
      <c r="AA576" s="20"/>
      <c r="AB576" s="20"/>
      <c r="AC576" s="20"/>
    </row>
    <row r="577">
      <c r="A577" s="20"/>
      <c r="B577" s="20"/>
      <c r="C577" s="20"/>
      <c r="D577" s="20"/>
      <c r="E577" s="20"/>
      <c r="F577" s="20"/>
      <c r="G577" s="20"/>
      <c r="H577" s="121"/>
      <c r="I577" s="121"/>
      <c r="J577" s="121"/>
      <c r="K577" s="121"/>
      <c r="L577" s="121"/>
      <c r="M577" s="122"/>
      <c r="N577" s="122"/>
      <c r="O577" s="122"/>
      <c r="P577" s="123"/>
      <c r="Q577" s="123"/>
      <c r="R577" s="123"/>
      <c r="S577" s="20"/>
      <c r="T577" s="20"/>
      <c r="U577" s="20"/>
      <c r="V577" s="20"/>
      <c r="W577" s="20"/>
      <c r="X577" s="20"/>
      <c r="Y577" s="20"/>
      <c r="Z577" s="20"/>
      <c r="AA577" s="20"/>
      <c r="AB577" s="20"/>
      <c r="AC577" s="20"/>
    </row>
    <row r="578">
      <c r="A578" s="20"/>
      <c r="B578" s="20"/>
      <c r="C578" s="20"/>
      <c r="D578" s="20"/>
      <c r="E578" s="20"/>
      <c r="F578" s="20"/>
      <c r="G578" s="20"/>
      <c r="H578" s="121"/>
      <c r="I578" s="121"/>
      <c r="J578" s="121"/>
      <c r="K578" s="121"/>
      <c r="L578" s="121"/>
      <c r="M578" s="122"/>
      <c r="N578" s="122"/>
      <c r="O578" s="122"/>
      <c r="P578" s="123"/>
      <c r="Q578" s="123"/>
      <c r="R578" s="123"/>
      <c r="S578" s="20"/>
      <c r="T578" s="20"/>
      <c r="U578" s="20"/>
      <c r="V578" s="20"/>
      <c r="W578" s="20"/>
      <c r="X578" s="20"/>
      <c r="Y578" s="20"/>
      <c r="Z578" s="20"/>
      <c r="AA578" s="20"/>
      <c r="AB578" s="20"/>
      <c r="AC578" s="20"/>
    </row>
    <row r="579">
      <c r="A579" s="20"/>
      <c r="B579" s="20"/>
      <c r="C579" s="20"/>
      <c r="D579" s="20"/>
      <c r="E579" s="20"/>
      <c r="F579" s="20"/>
      <c r="G579" s="20"/>
      <c r="H579" s="121"/>
      <c r="I579" s="121"/>
      <c r="J579" s="121"/>
      <c r="K579" s="121"/>
      <c r="L579" s="121"/>
      <c r="M579" s="122"/>
      <c r="N579" s="122"/>
      <c r="O579" s="122"/>
      <c r="P579" s="123"/>
      <c r="Q579" s="123"/>
      <c r="R579" s="123"/>
      <c r="S579" s="20"/>
      <c r="T579" s="20"/>
      <c r="U579" s="20"/>
      <c r="V579" s="20"/>
      <c r="W579" s="20"/>
      <c r="X579" s="20"/>
      <c r="Y579" s="20"/>
      <c r="Z579" s="20"/>
      <c r="AA579" s="20"/>
      <c r="AB579" s="20"/>
      <c r="AC579" s="20"/>
    </row>
    <row r="580">
      <c r="A580" s="20"/>
      <c r="B580" s="20"/>
      <c r="C580" s="20"/>
      <c r="D580" s="20"/>
      <c r="E580" s="20"/>
      <c r="F580" s="20"/>
      <c r="G580" s="20"/>
      <c r="H580" s="121"/>
      <c r="I580" s="121"/>
      <c r="J580" s="121"/>
      <c r="K580" s="121"/>
      <c r="L580" s="121"/>
      <c r="M580" s="122"/>
      <c r="N580" s="122"/>
      <c r="O580" s="122"/>
      <c r="P580" s="123"/>
      <c r="Q580" s="123"/>
      <c r="R580" s="123"/>
      <c r="S580" s="20"/>
      <c r="T580" s="20"/>
      <c r="U580" s="20"/>
      <c r="V580" s="20"/>
      <c r="W580" s="20"/>
      <c r="X580" s="20"/>
      <c r="Y580" s="20"/>
      <c r="Z580" s="20"/>
      <c r="AA580" s="20"/>
      <c r="AB580" s="20"/>
      <c r="AC580" s="20"/>
    </row>
    <row r="581">
      <c r="A581" s="20"/>
      <c r="B581" s="20"/>
      <c r="C581" s="20"/>
      <c r="D581" s="20"/>
      <c r="E581" s="20"/>
      <c r="F581" s="20"/>
      <c r="G581" s="20"/>
      <c r="H581" s="121"/>
      <c r="I581" s="121"/>
      <c r="J581" s="121"/>
      <c r="K581" s="121"/>
      <c r="L581" s="121"/>
      <c r="M581" s="122"/>
      <c r="N581" s="122"/>
      <c r="O581" s="122"/>
      <c r="P581" s="123"/>
      <c r="Q581" s="123"/>
      <c r="R581" s="123"/>
      <c r="S581" s="20"/>
      <c r="T581" s="20"/>
      <c r="U581" s="20"/>
      <c r="V581" s="20"/>
      <c r="W581" s="20"/>
      <c r="X581" s="20"/>
      <c r="Y581" s="20"/>
      <c r="Z581" s="20"/>
      <c r="AA581" s="20"/>
      <c r="AB581" s="20"/>
      <c r="AC581" s="20"/>
    </row>
    <row r="582">
      <c r="A582" s="20"/>
      <c r="B582" s="20"/>
      <c r="C582" s="20"/>
      <c r="D582" s="20"/>
      <c r="E582" s="20"/>
      <c r="F582" s="20"/>
      <c r="G582" s="20"/>
      <c r="H582" s="121"/>
      <c r="I582" s="121"/>
      <c r="J582" s="121"/>
      <c r="K582" s="121"/>
      <c r="L582" s="121"/>
      <c r="M582" s="122"/>
      <c r="N582" s="122"/>
      <c r="O582" s="122"/>
      <c r="P582" s="123"/>
      <c r="Q582" s="123"/>
      <c r="R582" s="123"/>
      <c r="S582" s="20"/>
      <c r="T582" s="20"/>
      <c r="U582" s="20"/>
      <c r="V582" s="20"/>
      <c r="W582" s="20"/>
      <c r="X582" s="20"/>
      <c r="Y582" s="20"/>
      <c r="Z582" s="20"/>
      <c r="AA582" s="20"/>
      <c r="AB582" s="20"/>
      <c r="AC582" s="20"/>
    </row>
    <row r="583">
      <c r="A583" s="20"/>
      <c r="B583" s="20"/>
      <c r="C583" s="20"/>
      <c r="D583" s="20"/>
      <c r="E583" s="20"/>
      <c r="F583" s="20"/>
      <c r="G583" s="20"/>
      <c r="H583" s="121"/>
      <c r="I583" s="121"/>
      <c r="J583" s="121"/>
      <c r="K583" s="121"/>
      <c r="L583" s="121"/>
      <c r="M583" s="122"/>
      <c r="N583" s="122"/>
      <c r="O583" s="122"/>
      <c r="P583" s="123"/>
      <c r="Q583" s="123"/>
      <c r="R583" s="123"/>
      <c r="S583" s="20"/>
      <c r="T583" s="20"/>
      <c r="U583" s="20"/>
      <c r="V583" s="20"/>
      <c r="W583" s="20"/>
      <c r="X583" s="20"/>
      <c r="Y583" s="20"/>
      <c r="Z583" s="20"/>
      <c r="AA583" s="20"/>
      <c r="AB583" s="20"/>
      <c r="AC583" s="20"/>
    </row>
    <row r="584">
      <c r="A584" s="20"/>
      <c r="B584" s="20"/>
      <c r="C584" s="20"/>
      <c r="D584" s="20"/>
      <c r="E584" s="20"/>
      <c r="F584" s="20"/>
      <c r="G584" s="20"/>
      <c r="H584" s="121"/>
      <c r="I584" s="121"/>
      <c r="J584" s="121"/>
      <c r="K584" s="121"/>
      <c r="L584" s="121"/>
      <c r="M584" s="122"/>
      <c r="N584" s="122"/>
      <c r="O584" s="122"/>
      <c r="P584" s="123"/>
      <c r="Q584" s="123"/>
      <c r="R584" s="123"/>
      <c r="S584" s="20"/>
      <c r="T584" s="20"/>
      <c r="U584" s="20"/>
      <c r="V584" s="20"/>
      <c r="W584" s="20"/>
      <c r="X584" s="20"/>
      <c r="Y584" s="20"/>
      <c r="Z584" s="20"/>
      <c r="AA584" s="20"/>
      <c r="AB584" s="20"/>
      <c r="AC584" s="20"/>
    </row>
    <row r="585">
      <c r="A585" s="20"/>
      <c r="B585" s="20"/>
      <c r="C585" s="20"/>
      <c r="D585" s="20"/>
      <c r="E585" s="20"/>
      <c r="F585" s="20"/>
      <c r="G585" s="20"/>
      <c r="H585" s="121"/>
      <c r="I585" s="121"/>
      <c r="J585" s="121"/>
      <c r="K585" s="121"/>
      <c r="L585" s="121"/>
      <c r="M585" s="122"/>
      <c r="N585" s="122"/>
      <c r="O585" s="122"/>
      <c r="P585" s="123"/>
      <c r="Q585" s="123"/>
      <c r="R585" s="123"/>
      <c r="S585" s="20"/>
      <c r="T585" s="20"/>
      <c r="U585" s="20"/>
      <c r="V585" s="20"/>
      <c r="W585" s="20"/>
      <c r="X585" s="20"/>
      <c r="Y585" s="20"/>
      <c r="Z585" s="20"/>
      <c r="AA585" s="20"/>
      <c r="AB585" s="20"/>
      <c r="AC585" s="20"/>
    </row>
    <row r="586">
      <c r="A586" s="20"/>
      <c r="B586" s="20"/>
      <c r="C586" s="20"/>
      <c r="D586" s="20"/>
      <c r="E586" s="20"/>
      <c r="F586" s="20"/>
      <c r="G586" s="20"/>
      <c r="H586" s="121"/>
      <c r="I586" s="121"/>
      <c r="J586" s="121"/>
      <c r="K586" s="121"/>
      <c r="L586" s="121"/>
      <c r="M586" s="122"/>
      <c r="N586" s="122"/>
      <c r="O586" s="122"/>
      <c r="P586" s="123"/>
      <c r="Q586" s="123"/>
      <c r="R586" s="123"/>
      <c r="S586" s="20"/>
      <c r="T586" s="20"/>
      <c r="U586" s="20"/>
      <c r="V586" s="20"/>
      <c r="W586" s="20"/>
      <c r="X586" s="20"/>
      <c r="Y586" s="20"/>
      <c r="Z586" s="20"/>
      <c r="AA586" s="20"/>
      <c r="AB586" s="20"/>
      <c r="AC586" s="20"/>
    </row>
    <row r="587">
      <c r="A587" s="20"/>
      <c r="B587" s="20"/>
      <c r="C587" s="20"/>
      <c r="D587" s="20"/>
      <c r="E587" s="20"/>
      <c r="F587" s="20"/>
      <c r="G587" s="20"/>
      <c r="H587" s="121"/>
      <c r="I587" s="121"/>
      <c r="J587" s="121"/>
      <c r="K587" s="121"/>
      <c r="L587" s="121"/>
      <c r="M587" s="122"/>
      <c r="N587" s="122"/>
      <c r="O587" s="122"/>
      <c r="P587" s="123"/>
      <c r="Q587" s="123"/>
      <c r="R587" s="123"/>
      <c r="S587" s="20"/>
      <c r="T587" s="20"/>
      <c r="U587" s="20"/>
      <c r="V587" s="20"/>
      <c r="W587" s="20"/>
      <c r="X587" s="20"/>
      <c r="Y587" s="20"/>
      <c r="Z587" s="20"/>
      <c r="AA587" s="20"/>
      <c r="AB587" s="20"/>
      <c r="AC587" s="20"/>
    </row>
    <row r="588">
      <c r="A588" s="20"/>
      <c r="B588" s="20"/>
      <c r="C588" s="20"/>
      <c r="D588" s="20"/>
      <c r="E588" s="20"/>
      <c r="F588" s="20"/>
      <c r="G588" s="20"/>
      <c r="H588" s="121"/>
      <c r="I588" s="121"/>
      <c r="J588" s="121"/>
      <c r="K588" s="121"/>
      <c r="L588" s="121"/>
      <c r="M588" s="122"/>
      <c r="N588" s="122"/>
      <c r="O588" s="122"/>
      <c r="P588" s="123"/>
      <c r="Q588" s="123"/>
      <c r="R588" s="123"/>
      <c r="S588" s="20"/>
      <c r="T588" s="20"/>
      <c r="U588" s="20"/>
      <c r="V588" s="20"/>
      <c r="W588" s="20"/>
      <c r="X588" s="20"/>
      <c r="Y588" s="20"/>
      <c r="Z588" s="20"/>
      <c r="AA588" s="20"/>
      <c r="AB588" s="20"/>
      <c r="AC588" s="20"/>
    </row>
    <row r="589">
      <c r="A589" s="20"/>
      <c r="B589" s="20"/>
      <c r="C589" s="20"/>
      <c r="D589" s="20"/>
      <c r="E589" s="20"/>
      <c r="F589" s="20"/>
      <c r="G589" s="20"/>
      <c r="H589" s="121"/>
      <c r="I589" s="121"/>
      <c r="J589" s="121"/>
      <c r="K589" s="121"/>
      <c r="L589" s="121"/>
      <c r="M589" s="122"/>
      <c r="N589" s="122"/>
      <c r="O589" s="122"/>
      <c r="P589" s="123"/>
      <c r="Q589" s="123"/>
      <c r="R589" s="123"/>
      <c r="S589" s="20"/>
      <c r="T589" s="20"/>
      <c r="U589" s="20"/>
      <c r="V589" s="20"/>
      <c r="W589" s="20"/>
      <c r="X589" s="20"/>
      <c r="Y589" s="20"/>
      <c r="Z589" s="20"/>
      <c r="AA589" s="20"/>
      <c r="AB589" s="20"/>
      <c r="AC589" s="20"/>
    </row>
    <row r="590">
      <c r="A590" s="20"/>
      <c r="B590" s="20"/>
      <c r="C590" s="20"/>
      <c r="D590" s="20"/>
      <c r="E590" s="20"/>
      <c r="F590" s="20"/>
      <c r="G590" s="20"/>
      <c r="H590" s="121"/>
      <c r="I590" s="121"/>
      <c r="J590" s="121"/>
      <c r="K590" s="121"/>
      <c r="L590" s="121"/>
      <c r="M590" s="122"/>
      <c r="N590" s="122"/>
      <c r="O590" s="122"/>
      <c r="P590" s="123"/>
      <c r="Q590" s="123"/>
      <c r="R590" s="123"/>
      <c r="S590" s="20"/>
      <c r="T590" s="20"/>
      <c r="U590" s="20"/>
      <c r="V590" s="20"/>
      <c r="W590" s="20"/>
      <c r="X590" s="20"/>
      <c r="Y590" s="20"/>
      <c r="Z590" s="20"/>
      <c r="AA590" s="20"/>
      <c r="AB590" s="20"/>
      <c r="AC590" s="20"/>
    </row>
    <row r="591">
      <c r="A591" s="20"/>
      <c r="B591" s="20"/>
      <c r="C591" s="20"/>
      <c r="D591" s="20"/>
      <c r="E591" s="20"/>
      <c r="F591" s="20"/>
      <c r="G591" s="20"/>
      <c r="H591" s="121"/>
      <c r="I591" s="121"/>
      <c r="J591" s="121"/>
      <c r="K591" s="121"/>
      <c r="L591" s="121"/>
      <c r="M591" s="122"/>
      <c r="N591" s="122"/>
      <c r="O591" s="122"/>
      <c r="P591" s="123"/>
      <c r="Q591" s="123"/>
      <c r="R591" s="123"/>
      <c r="S591" s="20"/>
      <c r="T591" s="20"/>
      <c r="U591" s="20"/>
      <c r="V591" s="20"/>
      <c r="W591" s="20"/>
      <c r="X591" s="20"/>
      <c r="Y591" s="20"/>
      <c r="Z591" s="20"/>
      <c r="AA591" s="20"/>
      <c r="AB591" s="20"/>
      <c r="AC591" s="20"/>
    </row>
    <row r="592">
      <c r="A592" s="20"/>
      <c r="B592" s="20"/>
      <c r="C592" s="20"/>
      <c r="D592" s="20"/>
      <c r="E592" s="20"/>
      <c r="F592" s="20"/>
      <c r="G592" s="20"/>
      <c r="H592" s="121"/>
      <c r="I592" s="121"/>
      <c r="J592" s="121"/>
      <c r="K592" s="121"/>
      <c r="L592" s="121"/>
      <c r="M592" s="122"/>
      <c r="N592" s="122"/>
      <c r="O592" s="122"/>
      <c r="P592" s="123"/>
      <c r="Q592" s="123"/>
      <c r="R592" s="123"/>
      <c r="S592" s="20"/>
      <c r="T592" s="20"/>
      <c r="U592" s="20"/>
      <c r="V592" s="20"/>
      <c r="W592" s="20"/>
      <c r="X592" s="20"/>
      <c r="Y592" s="20"/>
      <c r="Z592" s="20"/>
      <c r="AA592" s="20"/>
      <c r="AB592" s="20"/>
      <c r="AC592" s="20"/>
    </row>
    <row r="593">
      <c r="A593" s="20"/>
      <c r="B593" s="20"/>
      <c r="C593" s="20"/>
      <c r="D593" s="20"/>
      <c r="E593" s="20"/>
      <c r="F593" s="20"/>
      <c r="G593" s="20"/>
      <c r="H593" s="121"/>
      <c r="I593" s="121"/>
      <c r="J593" s="121"/>
      <c r="K593" s="121"/>
      <c r="L593" s="121"/>
      <c r="M593" s="122"/>
      <c r="N593" s="122"/>
      <c r="O593" s="122"/>
      <c r="P593" s="123"/>
      <c r="Q593" s="123"/>
      <c r="R593" s="123"/>
      <c r="S593" s="20"/>
      <c r="T593" s="20"/>
      <c r="U593" s="20"/>
      <c r="V593" s="20"/>
      <c r="W593" s="20"/>
      <c r="X593" s="20"/>
      <c r="Y593" s="20"/>
      <c r="Z593" s="20"/>
      <c r="AA593" s="20"/>
      <c r="AB593" s="20"/>
      <c r="AC593" s="20"/>
    </row>
    <row r="594">
      <c r="A594" s="20"/>
      <c r="B594" s="20"/>
      <c r="C594" s="20"/>
      <c r="D594" s="20"/>
      <c r="E594" s="20"/>
      <c r="F594" s="20"/>
      <c r="G594" s="20"/>
      <c r="H594" s="121"/>
      <c r="I594" s="121"/>
      <c r="J594" s="121"/>
      <c r="K594" s="121"/>
      <c r="L594" s="121"/>
      <c r="M594" s="122"/>
      <c r="N594" s="122"/>
      <c r="O594" s="122"/>
      <c r="P594" s="123"/>
      <c r="Q594" s="123"/>
      <c r="R594" s="123"/>
      <c r="S594" s="20"/>
      <c r="T594" s="20"/>
      <c r="U594" s="20"/>
      <c r="V594" s="20"/>
      <c r="W594" s="20"/>
      <c r="X594" s="20"/>
      <c r="Y594" s="20"/>
      <c r="Z594" s="20"/>
      <c r="AA594" s="20"/>
      <c r="AB594" s="20"/>
      <c r="AC594" s="20"/>
    </row>
    <row r="595">
      <c r="A595" s="20"/>
      <c r="B595" s="20"/>
      <c r="C595" s="20"/>
      <c r="D595" s="20"/>
      <c r="E595" s="20"/>
      <c r="F595" s="20"/>
      <c r="G595" s="20"/>
      <c r="H595" s="121"/>
      <c r="I595" s="121"/>
      <c r="J595" s="121"/>
      <c r="K595" s="121"/>
      <c r="L595" s="121"/>
      <c r="M595" s="122"/>
      <c r="N595" s="122"/>
      <c r="O595" s="122"/>
      <c r="P595" s="123"/>
      <c r="Q595" s="123"/>
      <c r="R595" s="123"/>
      <c r="S595" s="20"/>
      <c r="T595" s="20"/>
      <c r="U595" s="20"/>
      <c r="V595" s="20"/>
      <c r="W595" s="20"/>
      <c r="X595" s="20"/>
      <c r="Y595" s="20"/>
      <c r="Z595" s="20"/>
      <c r="AA595" s="20"/>
      <c r="AB595" s="20"/>
      <c r="AC595" s="20"/>
    </row>
    <row r="596">
      <c r="A596" s="20"/>
      <c r="B596" s="20"/>
      <c r="C596" s="20"/>
      <c r="D596" s="20"/>
      <c r="E596" s="20"/>
      <c r="F596" s="20"/>
      <c r="G596" s="20"/>
      <c r="H596" s="121"/>
      <c r="I596" s="121"/>
      <c r="J596" s="121"/>
      <c r="K596" s="121"/>
      <c r="L596" s="121"/>
      <c r="M596" s="122"/>
      <c r="N596" s="122"/>
      <c r="O596" s="122"/>
      <c r="P596" s="123"/>
      <c r="Q596" s="123"/>
      <c r="R596" s="123"/>
      <c r="S596" s="20"/>
      <c r="T596" s="20"/>
      <c r="U596" s="20"/>
      <c r="V596" s="20"/>
      <c r="W596" s="20"/>
      <c r="X596" s="20"/>
      <c r="Y596" s="20"/>
      <c r="Z596" s="20"/>
      <c r="AA596" s="20"/>
      <c r="AB596" s="20"/>
      <c r="AC596" s="20"/>
    </row>
    <row r="597">
      <c r="A597" s="20"/>
      <c r="B597" s="20"/>
      <c r="C597" s="20"/>
      <c r="D597" s="20"/>
      <c r="E597" s="20"/>
      <c r="F597" s="20"/>
      <c r="G597" s="20"/>
      <c r="H597" s="121"/>
      <c r="I597" s="121"/>
      <c r="J597" s="121"/>
      <c r="K597" s="121"/>
      <c r="L597" s="121"/>
      <c r="M597" s="122"/>
      <c r="N597" s="122"/>
      <c r="O597" s="122"/>
      <c r="P597" s="123"/>
      <c r="Q597" s="123"/>
      <c r="R597" s="123"/>
      <c r="S597" s="20"/>
      <c r="T597" s="20"/>
      <c r="U597" s="20"/>
      <c r="V597" s="20"/>
      <c r="W597" s="20"/>
      <c r="X597" s="20"/>
      <c r="Y597" s="20"/>
      <c r="Z597" s="20"/>
      <c r="AA597" s="20"/>
      <c r="AB597" s="20"/>
      <c r="AC597" s="20"/>
    </row>
    <row r="598">
      <c r="A598" s="20"/>
      <c r="B598" s="20"/>
      <c r="C598" s="20"/>
      <c r="D598" s="20"/>
      <c r="E598" s="20"/>
      <c r="F598" s="20"/>
      <c r="G598" s="20"/>
      <c r="H598" s="121"/>
      <c r="I598" s="121"/>
      <c r="J598" s="121"/>
      <c r="K598" s="121"/>
      <c r="L598" s="121"/>
      <c r="M598" s="122"/>
      <c r="N598" s="122"/>
      <c r="O598" s="122"/>
      <c r="P598" s="123"/>
      <c r="Q598" s="123"/>
      <c r="R598" s="123"/>
      <c r="S598" s="20"/>
      <c r="T598" s="20"/>
      <c r="U598" s="20"/>
      <c r="V598" s="20"/>
      <c r="W598" s="20"/>
      <c r="X598" s="20"/>
      <c r="Y598" s="20"/>
      <c r="Z598" s="20"/>
      <c r="AA598" s="20"/>
      <c r="AB598" s="20"/>
      <c r="AC598" s="20"/>
    </row>
    <row r="599">
      <c r="A599" s="20"/>
      <c r="B599" s="20"/>
      <c r="C599" s="20"/>
      <c r="D599" s="20"/>
      <c r="E599" s="20"/>
      <c r="F599" s="20"/>
      <c r="G599" s="20"/>
      <c r="H599" s="121"/>
      <c r="I599" s="121"/>
      <c r="J599" s="121"/>
      <c r="K599" s="121"/>
      <c r="L599" s="121"/>
      <c r="M599" s="122"/>
      <c r="N599" s="122"/>
      <c r="O599" s="122"/>
      <c r="P599" s="123"/>
      <c r="Q599" s="123"/>
      <c r="R599" s="123"/>
      <c r="S599" s="20"/>
      <c r="T599" s="20"/>
      <c r="U599" s="20"/>
      <c r="V599" s="20"/>
      <c r="W599" s="20"/>
      <c r="X599" s="20"/>
      <c r="Y599" s="20"/>
      <c r="Z599" s="20"/>
      <c r="AA599" s="20"/>
      <c r="AB599" s="20"/>
      <c r="AC599" s="20"/>
    </row>
    <row r="600">
      <c r="A600" s="20"/>
      <c r="B600" s="20"/>
      <c r="C600" s="20"/>
      <c r="D600" s="20"/>
      <c r="E600" s="20"/>
      <c r="F600" s="20"/>
      <c r="G600" s="20"/>
      <c r="H600" s="121"/>
      <c r="I600" s="121"/>
      <c r="J600" s="121"/>
      <c r="K600" s="121"/>
      <c r="L600" s="121"/>
      <c r="M600" s="122"/>
      <c r="N600" s="122"/>
      <c r="O600" s="122"/>
      <c r="P600" s="123"/>
      <c r="Q600" s="123"/>
      <c r="R600" s="123"/>
      <c r="S600" s="20"/>
      <c r="T600" s="20"/>
      <c r="U600" s="20"/>
      <c r="V600" s="20"/>
      <c r="W600" s="20"/>
      <c r="X600" s="20"/>
      <c r="Y600" s="20"/>
      <c r="Z600" s="20"/>
      <c r="AA600" s="20"/>
      <c r="AB600" s="20"/>
      <c r="AC600" s="20"/>
    </row>
    <row r="601">
      <c r="A601" s="20"/>
      <c r="B601" s="20"/>
      <c r="C601" s="20"/>
      <c r="D601" s="20"/>
      <c r="E601" s="20"/>
      <c r="F601" s="20"/>
      <c r="G601" s="20"/>
      <c r="H601" s="121"/>
      <c r="I601" s="121"/>
      <c r="J601" s="121"/>
      <c r="K601" s="121"/>
      <c r="L601" s="121"/>
      <c r="M601" s="122"/>
      <c r="N601" s="122"/>
      <c r="O601" s="122"/>
      <c r="P601" s="123"/>
      <c r="Q601" s="123"/>
      <c r="R601" s="123"/>
      <c r="S601" s="20"/>
      <c r="T601" s="20"/>
      <c r="U601" s="20"/>
      <c r="V601" s="20"/>
      <c r="W601" s="20"/>
      <c r="X601" s="20"/>
      <c r="Y601" s="20"/>
      <c r="Z601" s="20"/>
      <c r="AA601" s="20"/>
      <c r="AB601" s="20"/>
      <c r="AC601" s="20"/>
    </row>
    <row r="602">
      <c r="A602" s="20"/>
      <c r="B602" s="20"/>
      <c r="C602" s="20"/>
      <c r="D602" s="20"/>
      <c r="E602" s="20"/>
      <c r="F602" s="20"/>
      <c r="G602" s="20"/>
      <c r="H602" s="121"/>
      <c r="I602" s="121"/>
      <c r="J602" s="121"/>
      <c r="K602" s="121"/>
      <c r="L602" s="121"/>
      <c r="M602" s="122"/>
      <c r="N602" s="122"/>
      <c r="O602" s="122"/>
      <c r="P602" s="123"/>
      <c r="Q602" s="123"/>
      <c r="R602" s="123"/>
      <c r="S602" s="20"/>
      <c r="T602" s="20"/>
      <c r="U602" s="20"/>
      <c r="V602" s="20"/>
      <c r="W602" s="20"/>
      <c r="X602" s="20"/>
      <c r="Y602" s="20"/>
      <c r="Z602" s="20"/>
      <c r="AA602" s="20"/>
      <c r="AB602" s="20"/>
      <c r="AC602" s="20"/>
    </row>
    <row r="603">
      <c r="A603" s="20"/>
      <c r="B603" s="20"/>
      <c r="C603" s="20"/>
      <c r="D603" s="20"/>
      <c r="E603" s="20"/>
      <c r="F603" s="20"/>
      <c r="G603" s="20"/>
      <c r="H603" s="121"/>
      <c r="I603" s="121"/>
      <c r="J603" s="121"/>
      <c r="K603" s="121"/>
      <c r="L603" s="121"/>
      <c r="M603" s="122"/>
      <c r="N603" s="122"/>
      <c r="O603" s="122"/>
      <c r="P603" s="123"/>
      <c r="Q603" s="123"/>
      <c r="R603" s="123"/>
      <c r="S603" s="20"/>
      <c r="T603" s="20"/>
      <c r="U603" s="20"/>
      <c r="V603" s="20"/>
      <c r="W603" s="20"/>
      <c r="X603" s="20"/>
      <c r="Y603" s="20"/>
      <c r="Z603" s="20"/>
      <c r="AA603" s="20"/>
      <c r="AB603" s="20"/>
      <c r="AC603" s="20"/>
    </row>
    <row r="604">
      <c r="A604" s="20"/>
      <c r="B604" s="20"/>
      <c r="C604" s="20"/>
      <c r="D604" s="20"/>
      <c r="E604" s="20"/>
      <c r="F604" s="20"/>
      <c r="G604" s="20"/>
      <c r="H604" s="121"/>
      <c r="I604" s="121"/>
      <c r="J604" s="121"/>
      <c r="K604" s="121"/>
      <c r="L604" s="121"/>
      <c r="M604" s="122"/>
      <c r="N604" s="122"/>
      <c r="O604" s="122"/>
      <c r="P604" s="123"/>
      <c r="Q604" s="123"/>
      <c r="R604" s="123"/>
      <c r="S604" s="20"/>
      <c r="T604" s="20"/>
      <c r="U604" s="20"/>
      <c r="V604" s="20"/>
      <c r="W604" s="20"/>
      <c r="X604" s="20"/>
      <c r="Y604" s="20"/>
      <c r="Z604" s="20"/>
      <c r="AA604" s="20"/>
      <c r="AB604" s="20"/>
      <c r="AC604" s="20"/>
    </row>
    <row r="605">
      <c r="A605" s="20"/>
      <c r="B605" s="20"/>
      <c r="C605" s="20"/>
      <c r="D605" s="20"/>
      <c r="E605" s="20"/>
      <c r="F605" s="20"/>
      <c r="G605" s="20"/>
      <c r="H605" s="121"/>
      <c r="I605" s="121"/>
      <c r="J605" s="121"/>
      <c r="K605" s="121"/>
      <c r="L605" s="121"/>
      <c r="M605" s="122"/>
      <c r="N605" s="122"/>
      <c r="O605" s="122"/>
      <c r="P605" s="123"/>
      <c r="Q605" s="123"/>
      <c r="R605" s="123"/>
      <c r="S605" s="20"/>
      <c r="T605" s="20"/>
      <c r="U605" s="20"/>
      <c r="V605" s="20"/>
      <c r="W605" s="20"/>
      <c r="X605" s="20"/>
      <c r="Y605" s="20"/>
      <c r="Z605" s="20"/>
      <c r="AA605" s="20"/>
      <c r="AB605" s="20"/>
      <c r="AC605" s="20"/>
    </row>
    <row r="606">
      <c r="A606" s="20"/>
      <c r="B606" s="20"/>
      <c r="C606" s="20"/>
      <c r="D606" s="20"/>
      <c r="E606" s="20"/>
      <c r="F606" s="20"/>
      <c r="G606" s="20"/>
      <c r="H606" s="121"/>
      <c r="I606" s="121"/>
      <c r="J606" s="121"/>
      <c r="K606" s="121"/>
      <c r="L606" s="121"/>
      <c r="M606" s="122"/>
      <c r="N606" s="122"/>
      <c r="O606" s="122"/>
      <c r="P606" s="123"/>
      <c r="Q606" s="123"/>
      <c r="R606" s="123"/>
      <c r="S606" s="20"/>
      <c r="T606" s="20"/>
      <c r="U606" s="20"/>
      <c r="V606" s="20"/>
      <c r="W606" s="20"/>
      <c r="X606" s="20"/>
      <c r="Y606" s="20"/>
      <c r="Z606" s="20"/>
      <c r="AA606" s="20"/>
      <c r="AB606" s="20"/>
      <c r="AC606" s="20"/>
    </row>
    <row r="607">
      <c r="A607" s="20"/>
      <c r="B607" s="20"/>
      <c r="C607" s="20"/>
      <c r="D607" s="20"/>
      <c r="E607" s="20"/>
      <c r="F607" s="20"/>
      <c r="G607" s="20"/>
      <c r="H607" s="121"/>
      <c r="I607" s="121"/>
      <c r="J607" s="121"/>
      <c r="K607" s="121"/>
      <c r="L607" s="121"/>
      <c r="M607" s="122"/>
      <c r="N607" s="122"/>
      <c r="O607" s="122"/>
      <c r="P607" s="123"/>
      <c r="Q607" s="123"/>
      <c r="R607" s="123"/>
      <c r="S607" s="20"/>
      <c r="T607" s="20"/>
      <c r="U607" s="20"/>
      <c r="V607" s="20"/>
      <c r="W607" s="20"/>
      <c r="X607" s="20"/>
      <c r="Y607" s="20"/>
      <c r="Z607" s="20"/>
      <c r="AA607" s="20"/>
      <c r="AB607" s="20"/>
      <c r="AC607" s="20"/>
    </row>
    <row r="608">
      <c r="A608" s="20"/>
      <c r="B608" s="20"/>
      <c r="C608" s="20"/>
      <c r="D608" s="20"/>
      <c r="E608" s="20"/>
      <c r="F608" s="20"/>
      <c r="G608" s="20"/>
      <c r="H608" s="121"/>
      <c r="I608" s="121"/>
      <c r="J608" s="121"/>
      <c r="K608" s="121"/>
      <c r="L608" s="121"/>
      <c r="M608" s="122"/>
      <c r="N608" s="122"/>
      <c r="O608" s="122"/>
      <c r="P608" s="123"/>
      <c r="Q608" s="123"/>
      <c r="R608" s="123"/>
      <c r="S608" s="20"/>
      <c r="T608" s="20"/>
      <c r="U608" s="20"/>
      <c r="V608" s="20"/>
      <c r="W608" s="20"/>
      <c r="X608" s="20"/>
      <c r="Y608" s="20"/>
      <c r="Z608" s="20"/>
      <c r="AA608" s="20"/>
      <c r="AB608" s="20"/>
      <c r="AC608" s="20"/>
    </row>
    <row r="609">
      <c r="A609" s="20"/>
      <c r="B609" s="20"/>
      <c r="C609" s="20"/>
      <c r="D609" s="20"/>
      <c r="E609" s="20"/>
      <c r="F609" s="20"/>
      <c r="G609" s="20"/>
      <c r="H609" s="121"/>
      <c r="I609" s="121"/>
      <c r="J609" s="121"/>
      <c r="K609" s="121"/>
      <c r="L609" s="121"/>
      <c r="M609" s="122"/>
      <c r="N609" s="122"/>
      <c r="O609" s="122"/>
      <c r="P609" s="123"/>
      <c r="Q609" s="123"/>
      <c r="R609" s="123"/>
      <c r="S609" s="20"/>
      <c r="T609" s="20"/>
      <c r="U609" s="20"/>
      <c r="V609" s="20"/>
      <c r="W609" s="20"/>
      <c r="X609" s="20"/>
      <c r="Y609" s="20"/>
      <c r="Z609" s="20"/>
      <c r="AA609" s="20"/>
      <c r="AB609" s="20"/>
      <c r="AC609" s="20"/>
    </row>
    <row r="610">
      <c r="A610" s="20"/>
      <c r="B610" s="20"/>
      <c r="C610" s="20"/>
      <c r="D610" s="20"/>
      <c r="E610" s="20"/>
      <c r="F610" s="20"/>
      <c r="G610" s="20"/>
      <c r="H610" s="121"/>
      <c r="I610" s="121"/>
      <c r="J610" s="121"/>
      <c r="K610" s="121"/>
      <c r="L610" s="121"/>
      <c r="M610" s="122"/>
      <c r="N610" s="122"/>
      <c r="O610" s="122"/>
      <c r="P610" s="123"/>
      <c r="Q610" s="123"/>
      <c r="R610" s="123"/>
      <c r="S610" s="20"/>
      <c r="T610" s="20"/>
      <c r="U610" s="20"/>
      <c r="V610" s="20"/>
      <c r="W610" s="20"/>
      <c r="X610" s="20"/>
      <c r="Y610" s="20"/>
      <c r="Z610" s="20"/>
      <c r="AA610" s="20"/>
      <c r="AB610" s="20"/>
      <c r="AC610" s="20"/>
    </row>
    <row r="611">
      <c r="A611" s="20"/>
      <c r="B611" s="20"/>
      <c r="C611" s="20"/>
      <c r="D611" s="20"/>
      <c r="E611" s="20"/>
      <c r="F611" s="20"/>
      <c r="G611" s="20"/>
      <c r="H611" s="121"/>
      <c r="I611" s="121"/>
      <c r="J611" s="121"/>
      <c r="K611" s="121"/>
      <c r="L611" s="121"/>
      <c r="M611" s="122"/>
      <c r="N611" s="122"/>
      <c r="O611" s="122"/>
      <c r="P611" s="123"/>
      <c r="Q611" s="123"/>
      <c r="R611" s="123"/>
      <c r="S611" s="20"/>
      <c r="T611" s="20"/>
      <c r="U611" s="20"/>
      <c r="V611" s="20"/>
      <c r="W611" s="20"/>
      <c r="X611" s="20"/>
      <c r="Y611" s="20"/>
      <c r="Z611" s="20"/>
      <c r="AA611" s="20"/>
      <c r="AB611" s="20"/>
      <c r="AC611" s="20"/>
    </row>
    <row r="612">
      <c r="A612" s="20"/>
      <c r="B612" s="20"/>
      <c r="C612" s="20"/>
      <c r="D612" s="20"/>
      <c r="E612" s="20"/>
      <c r="F612" s="20"/>
      <c r="G612" s="20"/>
      <c r="H612" s="121"/>
      <c r="I612" s="121"/>
      <c r="J612" s="121"/>
      <c r="K612" s="121"/>
      <c r="L612" s="121"/>
      <c r="M612" s="122"/>
      <c r="N612" s="122"/>
      <c r="O612" s="122"/>
      <c r="P612" s="123"/>
      <c r="Q612" s="123"/>
      <c r="R612" s="123"/>
      <c r="S612" s="20"/>
      <c r="T612" s="20"/>
      <c r="U612" s="20"/>
      <c r="V612" s="20"/>
      <c r="W612" s="20"/>
      <c r="X612" s="20"/>
      <c r="Y612" s="20"/>
      <c r="Z612" s="20"/>
      <c r="AA612" s="20"/>
      <c r="AB612" s="20"/>
      <c r="AC612" s="20"/>
    </row>
    <row r="613">
      <c r="A613" s="20"/>
      <c r="B613" s="20"/>
      <c r="C613" s="20"/>
      <c r="D613" s="20"/>
      <c r="E613" s="20"/>
      <c r="F613" s="20"/>
      <c r="G613" s="20"/>
      <c r="H613" s="121"/>
      <c r="I613" s="121"/>
      <c r="J613" s="121"/>
      <c r="K613" s="121"/>
      <c r="L613" s="121"/>
      <c r="M613" s="122"/>
      <c r="N613" s="122"/>
      <c r="O613" s="122"/>
      <c r="P613" s="123"/>
      <c r="Q613" s="123"/>
      <c r="R613" s="123"/>
      <c r="S613" s="20"/>
      <c r="T613" s="20"/>
      <c r="U613" s="20"/>
      <c r="V613" s="20"/>
      <c r="W613" s="20"/>
      <c r="X613" s="20"/>
      <c r="Y613" s="20"/>
      <c r="Z613" s="20"/>
      <c r="AA613" s="20"/>
      <c r="AB613" s="20"/>
      <c r="AC613" s="20"/>
    </row>
    <row r="614">
      <c r="A614" s="20"/>
      <c r="B614" s="20"/>
      <c r="C614" s="20"/>
      <c r="D614" s="20"/>
      <c r="E614" s="20"/>
      <c r="F614" s="20"/>
      <c r="G614" s="20"/>
      <c r="H614" s="121"/>
      <c r="I614" s="121"/>
      <c r="J614" s="121"/>
      <c r="K614" s="121"/>
      <c r="L614" s="121"/>
      <c r="M614" s="122"/>
      <c r="N614" s="122"/>
      <c r="O614" s="122"/>
      <c r="P614" s="123"/>
      <c r="Q614" s="123"/>
      <c r="R614" s="123"/>
      <c r="S614" s="20"/>
      <c r="T614" s="20"/>
      <c r="U614" s="20"/>
      <c r="V614" s="20"/>
      <c r="W614" s="20"/>
      <c r="X614" s="20"/>
      <c r="Y614" s="20"/>
      <c r="Z614" s="20"/>
      <c r="AA614" s="20"/>
      <c r="AB614" s="20"/>
      <c r="AC614" s="20"/>
    </row>
    <row r="615">
      <c r="A615" s="20"/>
      <c r="B615" s="20"/>
      <c r="C615" s="20"/>
      <c r="D615" s="20"/>
      <c r="E615" s="20"/>
      <c r="F615" s="20"/>
      <c r="G615" s="20"/>
      <c r="H615" s="121"/>
      <c r="I615" s="121"/>
      <c r="J615" s="121"/>
      <c r="K615" s="121"/>
      <c r="L615" s="121"/>
      <c r="M615" s="122"/>
      <c r="N615" s="122"/>
      <c r="O615" s="122"/>
      <c r="P615" s="123"/>
      <c r="Q615" s="123"/>
      <c r="R615" s="123"/>
      <c r="S615" s="20"/>
      <c r="T615" s="20"/>
      <c r="U615" s="20"/>
      <c r="V615" s="20"/>
      <c r="W615" s="20"/>
      <c r="X615" s="20"/>
      <c r="Y615" s="20"/>
      <c r="Z615" s="20"/>
      <c r="AA615" s="20"/>
      <c r="AB615" s="20"/>
      <c r="AC615" s="20"/>
    </row>
    <row r="616">
      <c r="A616" s="20"/>
      <c r="B616" s="20"/>
      <c r="C616" s="20"/>
      <c r="D616" s="20"/>
      <c r="E616" s="20"/>
      <c r="F616" s="20"/>
      <c r="G616" s="20"/>
      <c r="H616" s="121"/>
      <c r="I616" s="121"/>
      <c r="J616" s="121"/>
      <c r="K616" s="121"/>
      <c r="L616" s="121"/>
      <c r="M616" s="122"/>
      <c r="N616" s="122"/>
      <c r="O616" s="122"/>
      <c r="P616" s="123"/>
      <c r="Q616" s="123"/>
      <c r="R616" s="123"/>
      <c r="S616" s="20"/>
      <c r="T616" s="20"/>
      <c r="U616" s="20"/>
      <c r="V616" s="20"/>
      <c r="W616" s="20"/>
      <c r="X616" s="20"/>
      <c r="Y616" s="20"/>
      <c r="Z616" s="20"/>
      <c r="AA616" s="20"/>
      <c r="AB616" s="20"/>
      <c r="AC616" s="20"/>
    </row>
    <row r="617">
      <c r="A617" s="20"/>
      <c r="B617" s="20"/>
      <c r="C617" s="20"/>
      <c r="D617" s="20"/>
      <c r="E617" s="20"/>
      <c r="F617" s="20"/>
      <c r="G617" s="20"/>
      <c r="H617" s="121"/>
      <c r="I617" s="121"/>
      <c r="J617" s="121"/>
      <c r="K617" s="121"/>
      <c r="L617" s="121"/>
      <c r="M617" s="122"/>
      <c r="N617" s="122"/>
      <c r="O617" s="122"/>
      <c r="P617" s="123"/>
      <c r="Q617" s="123"/>
      <c r="R617" s="123"/>
      <c r="S617" s="20"/>
      <c r="T617" s="20"/>
      <c r="U617" s="20"/>
      <c r="V617" s="20"/>
      <c r="W617" s="20"/>
      <c r="X617" s="20"/>
      <c r="Y617" s="20"/>
      <c r="Z617" s="20"/>
      <c r="AA617" s="20"/>
      <c r="AB617" s="20"/>
      <c r="AC617" s="20"/>
    </row>
    <row r="618">
      <c r="A618" s="20"/>
      <c r="B618" s="20"/>
      <c r="C618" s="20"/>
      <c r="D618" s="20"/>
      <c r="E618" s="20"/>
      <c r="F618" s="20"/>
      <c r="G618" s="20"/>
      <c r="H618" s="121"/>
      <c r="I618" s="121"/>
      <c r="J618" s="121"/>
      <c r="K618" s="121"/>
      <c r="L618" s="121"/>
      <c r="M618" s="122"/>
      <c r="N618" s="122"/>
      <c r="O618" s="122"/>
      <c r="P618" s="123"/>
      <c r="Q618" s="123"/>
      <c r="R618" s="123"/>
      <c r="S618" s="20"/>
      <c r="T618" s="20"/>
      <c r="U618" s="20"/>
      <c r="V618" s="20"/>
      <c r="W618" s="20"/>
      <c r="X618" s="20"/>
      <c r="Y618" s="20"/>
      <c r="Z618" s="20"/>
      <c r="AA618" s="20"/>
      <c r="AB618" s="20"/>
      <c r="AC618" s="20"/>
    </row>
    <row r="619">
      <c r="A619" s="20"/>
      <c r="B619" s="20"/>
      <c r="C619" s="20"/>
      <c r="D619" s="20"/>
      <c r="E619" s="20"/>
      <c r="F619" s="20"/>
      <c r="G619" s="20"/>
      <c r="H619" s="121"/>
      <c r="I619" s="121"/>
      <c r="J619" s="121"/>
      <c r="K619" s="121"/>
      <c r="L619" s="121"/>
      <c r="M619" s="122"/>
      <c r="N619" s="122"/>
      <c r="O619" s="122"/>
      <c r="P619" s="123"/>
      <c r="Q619" s="123"/>
      <c r="R619" s="123"/>
      <c r="S619" s="20"/>
      <c r="T619" s="20"/>
      <c r="U619" s="20"/>
      <c r="V619" s="20"/>
      <c r="W619" s="20"/>
      <c r="X619" s="20"/>
      <c r="Y619" s="20"/>
      <c r="Z619" s="20"/>
      <c r="AA619" s="20"/>
      <c r="AB619" s="20"/>
      <c r="AC619" s="20"/>
    </row>
    <row r="620">
      <c r="A620" s="20"/>
      <c r="B620" s="20"/>
      <c r="C620" s="20"/>
      <c r="D620" s="20"/>
      <c r="E620" s="20"/>
      <c r="F620" s="20"/>
      <c r="G620" s="20"/>
      <c r="H620" s="121"/>
      <c r="I620" s="121"/>
      <c r="J620" s="121"/>
      <c r="K620" s="121"/>
      <c r="L620" s="121"/>
      <c r="M620" s="122"/>
      <c r="N620" s="122"/>
      <c r="O620" s="122"/>
      <c r="P620" s="123"/>
      <c r="Q620" s="123"/>
      <c r="R620" s="123"/>
      <c r="S620" s="20"/>
      <c r="T620" s="20"/>
      <c r="U620" s="20"/>
      <c r="V620" s="20"/>
      <c r="W620" s="20"/>
      <c r="X620" s="20"/>
      <c r="Y620" s="20"/>
      <c r="Z620" s="20"/>
      <c r="AA620" s="20"/>
      <c r="AB620" s="20"/>
      <c r="AC620" s="20"/>
    </row>
    <row r="621">
      <c r="A621" s="20"/>
      <c r="B621" s="20"/>
      <c r="C621" s="20"/>
      <c r="D621" s="20"/>
      <c r="E621" s="20"/>
      <c r="F621" s="20"/>
      <c r="G621" s="20"/>
      <c r="H621" s="121"/>
      <c r="I621" s="121"/>
      <c r="J621" s="121"/>
      <c r="K621" s="121"/>
      <c r="L621" s="121"/>
      <c r="M621" s="122"/>
      <c r="N621" s="122"/>
      <c r="O621" s="122"/>
      <c r="P621" s="123"/>
      <c r="Q621" s="123"/>
      <c r="R621" s="123"/>
      <c r="S621" s="20"/>
      <c r="T621" s="20"/>
      <c r="U621" s="20"/>
      <c r="V621" s="20"/>
      <c r="W621" s="20"/>
      <c r="X621" s="20"/>
      <c r="Y621" s="20"/>
      <c r="Z621" s="20"/>
      <c r="AA621" s="20"/>
      <c r="AB621" s="20"/>
      <c r="AC621" s="20"/>
    </row>
    <row r="622">
      <c r="A622" s="20"/>
      <c r="B622" s="20"/>
      <c r="C622" s="20"/>
      <c r="D622" s="20"/>
      <c r="E622" s="20"/>
      <c r="F622" s="20"/>
      <c r="G622" s="20"/>
      <c r="H622" s="121"/>
      <c r="I622" s="121"/>
      <c r="J622" s="121"/>
      <c r="K622" s="121"/>
      <c r="L622" s="121"/>
      <c r="M622" s="122"/>
      <c r="N622" s="122"/>
      <c r="O622" s="122"/>
      <c r="P622" s="123"/>
      <c r="Q622" s="123"/>
      <c r="R622" s="123"/>
      <c r="S622" s="20"/>
      <c r="T622" s="20"/>
      <c r="U622" s="20"/>
      <c r="V622" s="20"/>
      <c r="W622" s="20"/>
      <c r="X622" s="20"/>
      <c r="Y622" s="20"/>
      <c r="Z622" s="20"/>
      <c r="AA622" s="20"/>
      <c r="AB622" s="20"/>
      <c r="AC622" s="20"/>
    </row>
    <row r="623">
      <c r="A623" s="20"/>
      <c r="B623" s="20"/>
      <c r="C623" s="20"/>
      <c r="D623" s="20"/>
      <c r="E623" s="20"/>
      <c r="F623" s="20"/>
      <c r="G623" s="20"/>
      <c r="H623" s="121"/>
      <c r="I623" s="121"/>
      <c r="J623" s="121"/>
      <c r="K623" s="121"/>
      <c r="L623" s="121"/>
      <c r="M623" s="122"/>
      <c r="N623" s="122"/>
      <c r="O623" s="122"/>
      <c r="P623" s="123"/>
      <c r="Q623" s="123"/>
      <c r="R623" s="123"/>
      <c r="S623" s="20"/>
      <c r="T623" s="20"/>
      <c r="U623" s="20"/>
      <c r="V623" s="20"/>
      <c r="W623" s="20"/>
      <c r="X623" s="20"/>
      <c r="Y623" s="20"/>
      <c r="Z623" s="20"/>
      <c r="AA623" s="20"/>
      <c r="AB623" s="20"/>
      <c r="AC623" s="20"/>
    </row>
    <row r="624">
      <c r="A624" s="20"/>
      <c r="B624" s="20"/>
      <c r="C624" s="20"/>
      <c r="D624" s="20"/>
      <c r="E624" s="20"/>
      <c r="F624" s="20"/>
      <c r="G624" s="20"/>
      <c r="H624" s="121"/>
      <c r="I624" s="121"/>
      <c r="J624" s="121"/>
      <c r="K624" s="121"/>
      <c r="L624" s="121"/>
      <c r="M624" s="122"/>
      <c r="N624" s="122"/>
      <c r="O624" s="122"/>
      <c r="P624" s="123"/>
      <c r="Q624" s="123"/>
      <c r="R624" s="123"/>
      <c r="S624" s="20"/>
      <c r="T624" s="20"/>
      <c r="U624" s="20"/>
      <c r="V624" s="20"/>
      <c r="W624" s="20"/>
      <c r="X624" s="20"/>
      <c r="Y624" s="20"/>
      <c r="Z624" s="20"/>
      <c r="AA624" s="20"/>
      <c r="AB624" s="20"/>
      <c r="AC624" s="20"/>
    </row>
    <row r="625">
      <c r="A625" s="20"/>
      <c r="B625" s="20"/>
      <c r="C625" s="20"/>
      <c r="D625" s="20"/>
      <c r="E625" s="20"/>
      <c r="F625" s="20"/>
      <c r="G625" s="20"/>
      <c r="H625" s="121"/>
      <c r="I625" s="121"/>
      <c r="J625" s="121"/>
      <c r="K625" s="121"/>
      <c r="L625" s="121"/>
      <c r="M625" s="122"/>
      <c r="N625" s="122"/>
      <c r="O625" s="122"/>
      <c r="P625" s="123"/>
      <c r="Q625" s="123"/>
      <c r="R625" s="123"/>
      <c r="S625" s="20"/>
      <c r="T625" s="20"/>
      <c r="U625" s="20"/>
      <c r="V625" s="20"/>
      <c r="W625" s="20"/>
      <c r="X625" s="20"/>
      <c r="Y625" s="20"/>
      <c r="Z625" s="20"/>
      <c r="AA625" s="20"/>
      <c r="AB625" s="20"/>
      <c r="AC625" s="20"/>
    </row>
    <row r="626">
      <c r="A626" s="20"/>
      <c r="B626" s="20"/>
      <c r="C626" s="20"/>
      <c r="D626" s="20"/>
      <c r="E626" s="20"/>
      <c r="F626" s="20"/>
      <c r="G626" s="20"/>
      <c r="H626" s="121"/>
      <c r="I626" s="121"/>
      <c r="J626" s="121"/>
      <c r="K626" s="121"/>
      <c r="L626" s="121"/>
      <c r="M626" s="122"/>
      <c r="N626" s="122"/>
      <c r="O626" s="122"/>
      <c r="P626" s="123"/>
      <c r="Q626" s="123"/>
      <c r="R626" s="123"/>
      <c r="S626" s="20"/>
      <c r="T626" s="20"/>
      <c r="U626" s="20"/>
      <c r="V626" s="20"/>
      <c r="W626" s="20"/>
      <c r="X626" s="20"/>
      <c r="Y626" s="20"/>
      <c r="Z626" s="20"/>
      <c r="AA626" s="20"/>
      <c r="AB626" s="20"/>
      <c r="AC626" s="20"/>
    </row>
    <row r="627">
      <c r="A627" s="20"/>
      <c r="B627" s="20"/>
      <c r="C627" s="20"/>
      <c r="D627" s="20"/>
      <c r="E627" s="20"/>
      <c r="F627" s="20"/>
      <c r="G627" s="20"/>
      <c r="H627" s="121"/>
      <c r="I627" s="121"/>
      <c r="J627" s="121"/>
      <c r="K627" s="121"/>
      <c r="L627" s="121"/>
      <c r="M627" s="122"/>
      <c r="N627" s="122"/>
      <c r="O627" s="122"/>
      <c r="P627" s="123"/>
      <c r="Q627" s="123"/>
      <c r="R627" s="123"/>
      <c r="S627" s="20"/>
      <c r="T627" s="20"/>
      <c r="U627" s="20"/>
      <c r="V627" s="20"/>
      <c r="W627" s="20"/>
      <c r="X627" s="20"/>
      <c r="Y627" s="20"/>
      <c r="Z627" s="20"/>
      <c r="AA627" s="20"/>
      <c r="AB627" s="20"/>
      <c r="AC627" s="20"/>
    </row>
    <row r="628">
      <c r="A628" s="20"/>
      <c r="B628" s="20"/>
      <c r="C628" s="20"/>
      <c r="D628" s="20"/>
      <c r="E628" s="20"/>
      <c r="F628" s="20"/>
      <c r="G628" s="20"/>
      <c r="H628" s="121"/>
      <c r="I628" s="121"/>
      <c r="J628" s="121"/>
      <c r="K628" s="121"/>
      <c r="L628" s="121"/>
      <c r="M628" s="122"/>
      <c r="N628" s="122"/>
      <c r="O628" s="122"/>
      <c r="P628" s="123"/>
      <c r="Q628" s="123"/>
      <c r="R628" s="123"/>
      <c r="S628" s="20"/>
      <c r="T628" s="20"/>
      <c r="U628" s="20"/>
      <c r="V628" s="20"/>
      <c r="W628" s="20"/>
      <c r="X628" s="20"/>
      <c r="Y628" s="20"/>
      <c r="Z628" s="20"/>
      <c r="AA628" s="20"/>
      <c r="AB628" s="20"/>
      <c r="AC628" s="20"/>
    </row>
    <row r="629">
      <c r="A629" s="20"/>
      <c r="B629" s="20"/>
      <c r="C629" s="20"/>
      <c r="D629" s="20"/>
      <c r="E629" s="20"/>
      <c r="F629" s="20"/>
      <c r="G629" s="20"/>
      <c r="H629" s="121"/>
      <c r="I629" s="121"/>
      <c r="J629" s="121"/>
      <c r="K629" s="121"/>
      <c r="L629" s="121"/>
      <c r="M629" s="122"/>
      <c r="N629" s="122"/>
      <c r="O629" s="122"/>
      <c r="P629" s="123"/>
      <c r="Q629" s="123"/>
      <c r="R629" s="123"/>
      <c r="S629" s="20"/>
      <c r="T629" s="20"/>
      <c r="U629" s="20"/>
      <c r="V629" s="20"/>
      <c r="W629" s="20"/>
      <c r="X629" s="20"/>
      <c r="Y629" s="20"/>
      <c r="Z629" s="20"/>
      <c r="AA629" s="20"/>
      <c r="AB629" s="20"/>
      <c r="AC629" s="20"/>
    </row>
    <row r="630">
      <c r="A630" s="20"/>
      <c r="B630" s="20"/>
      <c r="C630" s="20"/>
      <c r="D630" s="20"/>
      <c r="E630" s="20"/>
      <c r="F630" s="20"/>
      <c r="G630" s="20"/>
      <c r="H630" s="121"/>
      <c r="I630" s="121"/>
      <c r="J630" s="121"/>
      <c r="K630" s="121"/>
      <c r="L630" s="121"/>
      <c r="M630" s="122"/>
      <c r="N630" s="122"/>
      <c r="O630" s="122"/>
      <c r="P630" s="123"/>
      <c r="Q630" s="123"/>
      <c r="R630" s="123"/>
      <c r="S630" s="20"/>
      <c r="T630" s="20"/>
      <c r="U630" s="20"/>
      <c r="V630" s="20"/>
      <c r="W630" s="20"/>
      <c r="X630" s="20"/>
      <c r="Y630" s="20"/>
      <c r="Z630" s="20"/>
      <c r="AA630" s="20"/>
      <c r="AB630" s="20"/>
      <c r="AC630" s="20"/>
    </row>
    <row r="631">
      <c r="A631" s="20"/>
      <c r="B631" s="20"/>
      <c r="C631" s="20"/>
      <c r="D631" s="20"/>
      <c r="E631" s="20"/>
      <c r="F631" s="20"/>
      <c r="G631" s="20"/>
      <c r="H631" s="121"/>
      <c r="I631" s="121"/>
      <c r="J631" s="121"/>
      <c r="K631" s="121"/>
      <c r="L631" s="121"/>
      <c r="M631" s="122"/>
      <c r="N631" s="122"/>
      <c r="O631" s="122"/>
      <c r="P631" s="123"/>
      <c r="Q631" s="123"/>
      <c r="R631" s="123"/>
      <c r="S631" s="20"/>
      <c r="T631" s="20"/>
      <c r="U631" s="20"/>
      <c r="V631" s="20"/>
      <c r="W631" s="20"/>
      <c r="X631" s="20"/>
      <c r="Y631" s="20"/>
      <c r="Z631" s="20"/>
      <c r="AA631" s="20"/>
      <c r="AB631" s="20"/>
      <c r="AC631" s="20"/>
    </row>
    <row r="632">
      <c r="A632" s="20"/>
      <c r="B632" s="20"/>
      <c r="C632" s="20"/>
      <c r="D632" s="20"/>
      <c r="E632" s="20"/>
      <c r="F632" s="20"/>
      <c r="G632" s="20"/>
      <c r="H632" s="121"/>
      <c r="I632" s="121"/>
      <c r="J632" s="121"/>
      <c r="K632" s="121"/>
      <c r="L632" s="121"/>
      <c r="M632" s="122"/>
      <c r="N632" s="122"/>
      <c r="O632" s="122"/>
      <c r="P632" s="123"/>
      <c r="Q632" s="123"/>
      <c r="R632" s="123"/>
      <c r="S632" s="20"/>
      <c r="T632" s="20"/>
      <c r="U632" s="20"/>
      <c r="V632" s="20"/>
      <c r="W632" s="20"/>
      <c r="X632" s="20"/>
      <c r="Y632" s="20"/>
      <c r="Z632" s="20"/>
      <c r="AA632" s="20"/>
      <c r="AB632" s="20"/>
      <c r="AC632" s="20"/>
    </row>
    <row r="633">
      <c r="A633" s="20"/>
      <c r="B633" s="20"/>
      <c r="C633" s="20"/>
      <c r="D633" s="20"/>
      <c r="E633" s="20"/>
      <c r="F633" s="20"/>
      <c r="G633" s="20"/>
      <c r="H633" s="121"/>
      <c r="I633" s="121"/>
      <c r="J633" s="121"/>
      <c r="K633" s="121"/>
      <c r="L633" s="121"/>
      <c r="M633" s="122"/>
      <c r="N633" s="122"/>
      <c r="O633" s="122"/>
      <c r="P633" s="123"/>
      <c r="Q633" s="123"/>
      <c r="R633" s="123"/>
      <c r="S633" s="20"/>
      <c r="T633" s="20"/>
      <c r="U633" s="20"/>
      <c r="V633" s="20"/>
      <c r="W633" s="20"/>
      <c r="X633" s="20"/>
      <c r="Y633" s="20"/>
      <c r="Z633" s="20"/>
      <c r="AA633" s="20"/>
      <c r="AB633" s="20"/>
      <c r="AC633" s="20"/>
    </row>
    <row r="634">
      <c r="A634" s="20"/>
      <c r="B634" s="20"/>
      <c r="C634" s="20"/>
      <c r="D634" s="20"/>
      <c r="E634" s="20"/>
      <c r="F634" s="20"/>
      <c r="G634" s="20"/>
      <c r="H634" s="121"/>
      <c r="I634" s="121"/>
      <c r="J634" s="121"/>
      <c r="K634" s="121"/>
      <c r="L634" s="121"/>
      <c r="M634" s="122"/>
      <c r="N634" s="122"/>
      <c r="O634" s="122"/>
      <c r="P634" s="123"/>
      <c r="Q634" s="123"/>
      <c r="R634" s="123"/>
      <c r="S634" s="20"/>
      <c r="T634" s="20"/>
      <c r="U634" s="20"/>
      <c r="V634" s="20"/>
      <c r="W634" s="20"/>
      <c r="X634" s="20"/>
      <c r="Y634" s="20"/>
      <c r="Z634" s="20"/>
      <c r="AA634" s="20"/>
      <c r="AB634" s="20"/>
      <c r="AC634" s="20"/>
    </row>
    <row r="635">
      <c r="A635" s="20"/>
      <c r="B635" s="20"/>
      <c r="C635" s="20"/>
      <c r="D635" s="20"/>
      <c r="E635" s="20"/>
      <c r="F635" s="20"/>
      <c r="G635" s="20"/>
      <c r="H635" s="121"/>
      <c r="I635" s="121"/>
      <c r="J635" s="121"/>
      <c r="K635" s="121"/>
      <c r="L635" s="121"/>
      <c r="M635" s="122"/>
      <c r="N635" s="122"/>
      <c r="O635" s="122"/>
      <c r="P635" s="123"/>
      <c r="Q635" s="123"/>
      <c r="R635" s="123"/>
      <c r="S635" s="20"/>
      <c r="T635" s="20"/>
      <c r="U635" s="20"/>
      <c r="V635" s="20"/>
      <c r="W635" s="20"/>
      <c r="X635" s="20"/>
      <c r="Y635" s="20"/>
      <c r="Z635" s="20"/>
      <c r="AA635" s="20"/>
      <c r="AB635" s="20"/>
      <c r="AC635" s="20"/>
    </row>
    <row r="636">
      <c r="A636" s="20"/>
      <c r="B636" s="20"/>
      <c r="C636" s="20"/>
      <c r="D636" s="20"/>
      <c r="E636" s="20"/>
      <c r="F636" s="20"/>
      <c r="G636" s="20"/>
      <c r="H636" s="121"/>
      <c r="I636" s="121"/>
      <c r="J636" s="121"/>
      <c r="K636" s="121"/>
      <c r="L636" s="121"/>
      <c r="M636" s="122"/>
      <c r="N636" s="122"/>
      <c r="O636" s="122"/>
      <c r="P636" s="123"/>
      <c r="Q636" s="123"/>
      <c r="R636" s="123"/>
      <c r="S636" s="20"/>
      <c r="T636" s="20"/>
      <c r="U636" s="20"/>
      <c r="V636" s="20"/>
      <c r="W636" s="20"/>
      <c r="X636" s="20"/>
      <c r="Y636" s="20"/>
      <c r="Z636" s="20"/>
      <c r="AA636" s="20"/>
      <c r="AB636" s="20"/>
      <c r="AC636" s="20"/>
    </row>
    <row r="637">
      <c r="A637" s="20"/>
      <c r="B637" s="20"/>
      <c r="C637" s="20"/>
      <c r="D637" s="20"/>
      <c r="E637" s="20"/>
      <c r="F637" s="20"/>
      <c r="G637" s="20"/>
      <c r="H637" s="121"/>
      <c r="I637" s="121"/>
      <c r="J637" s="121"/>
      <c r="K637" s="121"/>
      <c r="L637" s="121"/>
      <c r="M637" s="122"/>
      <c r="N637" s="122"/>
      <c r="O637" s="122"/>
      <c r="P637" s="123"/>
      <c r="Q637" s="123"/>
      <c r="R637" s="123"/>
      <c r="S637" s="20"/>
      <c r="T637" s="20"/>
      <c r="U637" s="20"/>
      <c r="V637" s="20"/>
      <c r="W637" s="20"/>
      <c r="X637" s="20"/>
      <c r="Y637" s="20"/>
      <c r="Z637" s="20"/>
      <c r="AA637" s="20"/>
      <c r="AB637" s="20"/>
      <c r="AC637" s="20"/>
    </row>
    <row r="638">
      <c r="A638" s="20"/>
      <c r="B638" s="20"/>
      <c r="C638" s="20"/>
      <c r="D638" s="20"/>
      <c r="E638" s="20"/>
      <c r="F638" s="20"/>
      <c r="G638" s="20"/>
      <c r="H638" s="121"/>
      <c r="I638" s="121"/>
      <c r="J638" s="121"/>
      <c r="K638" s="121"/>
      <c r="L638" s="121"/>
      <c r="M638" s="122"/>
      <c r="N638" s="122"/>
      <c r="O638" s="122"/>
      <c r="P638" s="123"/>
      <c r="Q638" s="123"/>
      <c r="R638" s="123"/>
      <c r="S638" s="20"/>
      <c r="T638" s="20"/>
      <c r="U638" s="20"/>
      <c r="V638" s="20"/>
      <c r="W638" s="20"/>
      <c r="X638" s="20"/>
      <c r="Y638" s="20"/>
      <c r="Z638" s="20"/>
      <c r="AA638" s="20"/>
      <c r="AB638" s="20"/>
      <c r="AC638" s="20"/>
    </row>
    <row r="639">
      <c r="A639" s="20"/>
      <c r="B639" s="20"/>
      <c r="C639" s="20"/>
      <c r="D639" s="20"/>
      <c r="E639" s="20"/>
      <c r="F639" s="20"/>
      <c r="G639" s="20"/>
      <c r="H639" s="121"/>
      <c r="I639" s="121"/>
      <c r="J639" s="121"/>
      <c r="K639" s="121"/>
      <c r="L639" s="121"/>
      <c r="M639" s="122"/>
      <c r="N639" s="122"/>
      <c r="O639" s="122"/>
      <c r="P639" s="123"/>
      <c r="Q639" s="123"/>
      <c r="R639" s="123"/>
      <c r="S639" s="20"/>
      <c r="T639" s="20"/>
      <c r="U639" s="20"/>
      <c r="V639" s="20"/>
      <c r="W639" s="20"/>
      <c r="X639" s="20"/>
      <c r="Y639" s="20"/>
      <c r="Z639" s="20"/>
      <c r="AA639" s="20"/>
      <c r="AB639" s="20"/>
      <c r="AC639" s="20"/>
    </row>
    <row r="640">
      <c r="A640" s="20"/>
      <c r="B640" s="20"/>
      <c r="C640" s="20"/>
      <c r="D640" s="20"/>
      <c r="E640" s="20"/>
      <c r="F640" s="20"/>
      <c r="G640" s="20"/>
      <c r="H640" s="121"/>
      <c r="I640" s="121"/>
      <c r="J640" s="121"/>
      <c r="K640" s="121"/>
      <c r="L640" s="121"/>
      <c r="M640" s="122"/>
      <c r="N640" s="122"/>
      <c r="O640" s="122"/>
      <c r="P640" s="123"/>
      <c r="Q640" s="123"/>
      <c r="R640" s="123"/>
      <c r="S640" s="20"/>
      <c r="T640" s="20"/>
      <c r="U640" s="20"/>
      <c r="V640" s="20"/>
      <c r="W640" s="20"/>
      <c r="X640" s="20"/>
      <c r="Y640" s="20"/>
      <c r="Z640" s="20"/>
      <c r="AA640" s="20"/>
      <c r="AB640" s="20"/>
      <c r="AC640" s="20"/>
    </row>
    <row r="641">
      <c r="A641" s="20"/>
      <c r="B641" s="20"/>
      <c r="C641" s="20"/>
      <c r="D641" s="20"/>
      <c r="E641" s="20"/>
      <c r="F641" s="20"/>
      <c r="G641" s="20"/>
      <c r="H641" s="121"/>
      <c r="I641" s="121"/>
      <c r="J641" s="121"/>
      <c r="K641" s="121"/>
      <c r="L641" s="121"/>
      <c r="M641" s="122"/>
      <c r="N641" s="122"/>
      <c r="O641" s="122"/>
      <c r="P641" s="123"/>
      <c r="Q641" s="123"/>
      <c r="R641" s="123"/>
      <c r="S641" s="20"/>
      <c r="T641" s="20"/>
      <c r="U641" s="20"/>
      <c r="V641" s="20"/>
      <c r="W641" s="20"/>
      <c r="X641" s="20"/>
      <c r="Y641" s="20"/>
      <c r="Z641" s="20"/>
      <c r="AA641" s="20"/>
      <c r="AB641" s="20"/>
      <c r="AC641" s="20"/>
    </row>
    <row r="642">
      <c r="A642" s="20"/>
      <c r="B642" s="20"/>
      <c r="C642" s="20"/>
      <c r="D642" s="20"/>
      <c r="E642" s="20"/>
      <c r="F642" s="20"/>
      <c r="G642" s="20"/>
      <c r="H642" s="121"/>
      <c r="I642" s="121"/>
      <c r="J642" s="121"/>
      <c r="K642" s="121"/>
      <c r="L642" s="121"/>
      <c r="M642" s="122"/>
      <c r="N642" s="122"/>
      <c r="O642" s="122"/>
      <c r="P642" s="123"/>
      <c r="Q642" s="123"/>
      <c r="R642" s="123"/>
      <c r="S642" s="20"/>
      <c r="T642" s="20"/>
      <c r="U642" s="20"/>
      <c r="V642" s="20"/>
      <c r="W642" s="20"/>
      <c r="X642" s="20"/>
      <c r="Y642" s="20"/>
      <c r="Z642" s="20"/>
      <c r="AA642" s="20"/>
      <c r="AB642" s="20"/>
      <c r="AC642" s="20"/>
    </row>
    <row r="643">
      <c r="A643" s="20"/>
      <c r="B643" s="20"/>
      <c r="C643" s="20"/>
      <c r="D643" s="20"/>
      <c r="E643" s="20"/>
      <c r="F643" s="20"/>
      <c r="G643" s="20"/>
      <c r="H643" s="121"/>
      <c r="I643" s="121"/>
      <c r="J643" s="121"/>
      <c r="K643" s="121"/>
      <c r="L643" s="121"/>
      <c r="M643" s="122"/>
      <c r="N643" s="122"/>
      <c r="O643" s="122"/>
      <c r="P643" s="123"/>
      <c r="Q643" s="123"/>
      <c r="R643" s="123"/>
      <c r="S643" s="20"/>
      <c r="T643" s="20"/>
      <c r="U643" s="20"/>
      <c r="V643" s="20"/>
      <c r="W643" s="20"/>
      <c r="X643" s="20"/>
      <c r="Y643" s="20"/>
      <c r="Z643" s="20"/>
      <c r="AA643" s="20"/>
      <c r="AB643" s="20"/>
      <c r="AC643" s="20"/>
    </row>
    <row r="644">
      <c r="A644" s="20"/>
      <c r="B644" s="20"/>
      <c r="C644" s="20"/>
      <c r="D644" s="20"/>
      <c r="E644" s="20"/>
      <c r="F644" s="20"/>
      <c r="G644" s="20"/>
      <c r="H644" s="121"/>
      <c r="I644" s="121"/>
      <c r="J644" s="121"/>
      <c r="K644" s="121"/>
      <c r="L644" s="121"/>
      <c r="M644" s="122"/>
      <c r="N644" s="122"/>
      <c r="O644" s="122"/>
      <c r="P644" s="123"/>
      <c r="Q644" s="123"/>
      <c r="R644" s="123"/>
      <c r="S644" s="20"/>
      <c r="T644" s="20"/>
      <c r="U644" s="20"/>
      <c r="V644" s="20"/>
      <c r="W644" s="20"/>
      <c r="X644" s="20"/>
      <c r="Y644" s="20"/>
      <c r="Z644" s="20"/>
      <c r="AA644" s="20"/>
      <c r="AB644" s="20"/>
      <c r="AC644" s="20"/>
    </row>
    <row r="645">
      <c r="A645" s="20"/>
      <c r="B645" s="20"/>
      <c r="C645" s="20"/>
      <c r="D645" s="20"/>
      <c r="E645" s="20"/>
      <c r="F645" s="20"/>
      <c r="G645" s="20"/>
      <c r="H645" s="121"/>
      <c r="I645" s="121"/>
      <c r="J645" s="121"/>
      <c r="K645" s="121"/>
      <c r="L645" s="121"/>
      <c r="M645" s="122"/>
      <c r="N645" s="122"/>
      <c r="O645" s="122"/>
      <c r="P645" s="123"/>
      <c r="Q645" s="123"/>
      <c r="R645" s="123"/>
      <c r="S645" s="20"/>
      <c r="T645" s="20"/>
      <c r="U645" s="20"/>
      <c r="V645" s="20"/>
      <c r="W645" s="20"/>
      <c r="X645" s="20"/>
      <c r="Y645" s="20"/>
      <c r="Z645" s="20"/>
      <c r="AA645" s="20"/>
      <c r="AB645" s="20"/>
      <c r="AC645" s="20"/>
    </row>
    <row r="646">
      <c r="A646" s="20"/>
      <c r="B646" s="20"/>
      <c r="C646" s="20"/>
      <c r="D646" s="20"/>
      <c r="E646" s="20"/>
      <c r="F646" s="20"/>
      <c r="G646" s="20"/>
      <c r="H646" s="121"/>
      <c r="I646" s="121"/>
      <c r="J646" s="121"/>
      <c r="K646" s="121"/>
      <c r="L646" s="121"/>
      <c r="M646" s="122"/>
      <c r="N646" s="122"/>
      <c r="O646" s="122"/>
      <c r="P646" s="123"/>
      <c r="Q646" s="123"/>
      <c r="R646" s="123"/>
      <c r="S646" s="20"/>
      <c r="T646" s="20"/>
      <c r="U646" s="20"/>
      <c r="V646" s="20"/>
      <c r="W646" s="20"/>
      <c r="X646" s="20"/>
      <c r="Y646" s="20"/>
      <c r="Z646" s="20"/>
      <c r="AA646" s="20"/>
      <c r="AB646" s="20"/>
      <c r="AC646" s="20"/>
    </row>
    <row r="647">
      <c r="A647" s="20"/>
      <c r="B647" s="20"/>
      <c r="C647" s="20"/>
      <c r="D647" s="20"/>
      <c r="E647" s="20"/>
      <c r="F647" s="20"/>
      <c r="G647" s="20"/>
      <c r="H647" s="121"/>
      <c r="I647" s="121"/>
      <c r="J647" s="121"/>
      <c r="K647" s="121"/>
      <c r="L647" s="121"/>
      <c r="M647" s="122"/>
      <c r="N647" s="122"/>
      <c r="O647" s="122"/>
      <c r="P647" s="123"/>
      <c r="Q647" s="123"/>
      <c r="R647" s="123"/>
      <c r="S647" s="20"/>
      <c r="T647" s="20"/>
      <c r="U647" s="20"/>
      <c r="V647" s="20"/>
      <c r="W647" s="20"/>
      <c r="X647" s="20"/>
      <c r="Y647" s="20"/>
      <c r="Z647" s="20"/>
      <c r="AA647" s="20"/>
      <c r="AB647" s="20"/>
      <c r="AC647" s="20"/>
    </row>
    <row r="648">
      <c r="A648" s="20"/>
      <c r="B648" s="20"/>
      <c r="C648" s="20"/>
      <c r="D648" s="20"/>
      <c r="E648" s="20"/>
      <c r="F648" s="20"/>
      <c r="G648" s="20"/>
      <c r="H648" s="121"/>
      <c r="I648" s="121"/>
      <c r="J648" s="121"/>
      <c r="K648" s="121"/>
      <c r="L648" s="121"/>
      <c r="M648" s="122"/>
      <c r="N648" s="122"/>
      <c r="O648" s="122"/>
      <c r="P648" s="123"/>
      <c r="Q648" s="123"/>
      <c r="R648" s="123"/>
      <c r="S648" s="20"/>
      <c r="T648" s="20"/>
      <c r="U648" s="20"/>
      <c r="V648" s="20"/>
      <c r="W648" s="20"/>
      <c r="X648" s="20"/>
      <c r="Y648" s="20"/>
      <c r="Z648" s="20"/>
      <c r="AA648" s="20"/>
      <c r="AB648" s="20"/>
      <c r="AC648" s="20"/>
    </row>
    <row r="649">
      <c r="A649" s="20"/>
      <c r="B649" s="20"/>
      <c r="C649" s="20"/>
      <c r="D649" s="20"/>
      <c r="E649" s="20"/>
      <c r="F649" s="20"/>
      <c r="G649" s="20"/>
      <c r="H649" s="121"/>
      <c r="I649" s="121"/>
      <c r="J649" s="121"/>
      <c r="K649" s="121"/>
      <c r="L649" s="121"/>
      <c r="M649" s="122"/>
      <c r="N649" s="122"/>
      <c r="O649" s="122"/>
      <c r="P649" s="123"/>
      <c r="Q649" s="123"/>
      <c r="R649" s="123"/>
      <c r="S649" s="20"/>
      <c r="T649" s="20"/>
      <c r="U649" s="20"/>
      <c r="V649" s="20"/>
      <c r="W649" s="20"/>
      <c r="X649" s="20"/>
      <c r="Y649" s="20"/>
      <c r="Z649" s="20"/>
      <c r="AA649" s="20"/>
      <c r="AB649" s="20"/>
      <c r="AC649" s="20"/>
    </row>
    <row r="650">
      <c r="A650" s="20"/>
      <c r="B650" s="20"/>
      <c r="C650" s="20"/>
      <c r="D650" s="20"/>
      <c r="E650" s="20"/>
      <c r="F650" s="20"/>
      <c r="G650" s="20"/>
      <c r="H650" s="121"/>
      <c r="I650" s="121"/>
      <c r="J650" s="121"/>
      <c r="K650" s="121"/>
      <c r="L650" s="121"/>
      <c r="M650" s="122"/>
      <c r="N650" s="122"/>
      <c r="O650" s="122"/>
      <c r="P650" s="123"/>
      <c r="Q650" s="123"/>
      <c r="R650" s="123"/>
      <c r="S650" s="20"/>
      <c r="T650" s="20"/>
      <c r="U650" s="20"/>
      <c r="V650" s="20"/>
      <c r="W650" s="20"/>
      <c r="X650" s="20"/>
      <c r="Y650" s="20"/>
      <c r="Z650" s="20"/>
      <c r="AA650" s="20"/>
      <c r="AB650" s="20"/>
      <c r="AC650" s="20"/>
    </row>
    <row r="651">
      <c r="A651" s="20"/>
      <c r="B651" s="20"/>
      <c r="C651" s="20"/>
      <c r="D651" s="20"/>
      <c r="E651" s="20"/>
      <c r="F651" s="20"/>
      <c r="G651" s="20"/>
      <c r="H651" s="121"/>
      <c r="I651" s="121"/>
      <c r="J651" s="121"/>
      <c r="K651" s="121"/>
      <c r="L651" s="121"/>
      <c r="M651" s="122"/>
      <c r="N651" s="122"/>
      <c r="O651" s="122"/>
      <c r="P651" s="123"/>
      <c r="Q651" s="123"/>
      <c r="R651" s="123"/>
      <c r="S651" s="20"/>
      <c r="T651" s="20"/>
      <c r="U651" s="20"/>
      <c r="V651" s="20"/>
      <c r="W651" s="20"/>
      <c r="X651" s="20"/>
      <c r="Y651" s="20"/>
      <c r="Z651" s="20"/>
      <c r="AA651" s="20"/>
      <c r="AB651" s="20"/>
      <c r="AC651" s="20"/>
    </row>
    <row r="652">
      <c r="A652" s="20"/>
      <c r="B652" s="20"/>
      <c r="C652" s="20"/>
      <c r="D652" s="20"/>
      <c r="E652" s="20"/>
      <c r="F652" s="20"/>
      <c r="G652" s="20"/>
      <c r="H652" s="121"/>
      <c r="I652" s="121"/>
      <c r="J652" s="121"/>
      <c r="K652" s="121"/>
      <c r="L652" s="121"/>
      <c r="M652" s="122"/>
      <c r="N652" s="122"/>
      <c r="O652" s="122"/>
      <c r="P652" s="123"/>
      <c r="Q652" s="123"/>
      <c r="R652" s="123"/>
      <c r="S652" s="20"/>
      <c r="T652" s="20"/>
      <c r="U652" s="20"/>
      <c r="V652" s="20"/>
      <c r="W652" s="20"/>
      <c r="X652" s="20"/>
      <c r="Y652" s="20"/>
      <c r="Z652" s="20"/>
      <c r="AA652" s="20"/>
      <c r="AB652" s="20"/>
      <c r="AC652" s="20"/>
    </row>
    <row r="653">
      <c r="A653" s="20"/>
      <c r="B653" s="20"/>
      <c r="C653" s="20"/>
      <c r="D653" s="20"/>
      <c r="E653" s="20"/>
      <c r="F653" s="20"/>
      <c r="G653" s="20"/>
      <c r="H653" s="121"/>
      <c r="I653" s="121"/>
      <c r="J653" s="121"/>
      <c r="K653" s="121"/>
      <c r="L653" s="121"/>
      <c r="M653" s="122"/>
      <c r="N653" s="122"/>
      <c r="O653" s="122"/>
      <c r="P653" s="123"/>
      <c r="Q653" s="123"/>
      <c r="R653" s="123"/>
      <c r="S653" s="20"/>
      <c r="T653" s="20"/>
      <c r="U653" s="20"/>
      <c r="V653" s="20"/>
      <c r="W653" s="20"/>
      <c r="X653" s="20"/>
      <c r="Y653" s="20"/>
      <c r="Z653" s="20"/>
      <c r="AA653" s="20"/>
      <c r="AB653" s="20"/>
      <c r="AC653" s="20"/>
    </row>
    <row r="654">
      <c r="A654" s="20"/>
      <c r="B654" s="20"/>
      <c r="C654" s="20"/>
      <c r="D654" s="20"/>
      <c r="E654" s="20"/>
      <c r="F654" s="20"/>
      <c r="G654" s="20"/>
      <c r="H654" s="121"/>
      <c r="I654" s="121"/>
      <c r="J654" s="121"/>
      <c r="K654" s="121"/>
      <c r="L654" s="121"/>
      <c r="M654" s="122"/>
      <c r="N654" s="122"/>
      <c r="O654" s="122"/>
      <c r="P654" s="123"/>
      <c r="Q654" s="123"/>
      <c r="R654" s="123"/>
      <c r="S654" s="20"/>
      <c r="T654" s="20"/>
      <c r="U654" s="20"/>
      <c r="V654" s="20"/>
      <c r="W654" s="20"/>
      <c r="X654" s="20"/>
      <c r="Y654" s="20"/>
      <c r="Z654" s="20"/>
      <c r="AA654" s="20"/>
      <c r="AB654" s="20"/>
      <c r="AC654" s="20"/>
    </row>
    <row r="655">
      <c r="A655" s="20"/>
      <c r="B655" s="20"/>
      <c r="C655" s="20"/>
      <c r="D655" s="20"/>
      <c r="E655" s="20"/>
      <c r="F655" s="20"/>
      <c r="G655" s="20"/>
      <c r="H655" s="121"/>
      <c r="I655" s="121"/>
      <c r="J655" s="121"/>
      <c r="K655" s="121"/>
      <c r="L655" s="121"/>
      <c r="M655" s="122"/>
      <c r="N655" s="122"/>
      <c r="O655" s="122"/>
      <c r="P655" s="123"/>
      <c r="Q655" s="123"/>
      <c r="R655" s="123"/>
      <c r="S655" s="20"/>
      <c r="T655" s="20"/>
      <c r="U655" s="20"/>
      <c r="V655" s="20"/>
      <c r="W655" s="20"/>
      <c r="X655" s="20"/>
      <c r="Y655" s="20"/>
      <c r="Z655" s="20"/>
      <c r="AA655" s="20"/>
      <c r="AB655" s="20"/>
      <c r="AC655" s="20"/>
    </row>
    <row r="656">
      <c r="A656" s="20"/>
      <c r="B656" s="20"/>
      <c r="C656" s="20"/>
      <c r="D656" s="20"/>
      <c r="E656" s="20"/>
      <c r="F656" s="20"/>
      <c r="G656" s="20"/>
      <c r="H656" s="121"/>
      <c r="I656" s="121"/>
      <c r="J656" s="121"/>
      <c r="K656" s="121"/>
      <c r="L656" s="121"/>
      <c r="M656" s="122"/>
      <c r="N656" s="122"/>
      <c r="O656" s="122"/>
      <c r="P656" s="123"/>
      <c r="Q656" s="123"/>
      <c r="R656" s="123"/>
      <c r="S656" s="20"/>
      <c r="T656" s="20"/>
      <c r="U656" s="20"/>
      <c r="V656" s="20"/>
      <c r="W656" s="20"/>
      <c r="X656" s="20"/>
      <c r="Y656" s="20"/>
      <c r="Z656" s="20"/>
      <c r="AA656" s="20"/>
      <c r="AB656" s="20"/>
      <c r="AC656" s="20"/>
    </row>
    <row r="657">
      <c r="A657" s="20"/>
      <c r="B657" s="20"/>
      <c r="C657" s="20"/>
      <c r="D657" s="20"/>
      <c r="E657" s="20"/>
      <c r="F657" s="20"/>
      <c r="G657" s="20"/>
      <c r="H657" s="121"/>
      <c r="I657" s="121"/>
      <c r="J657" s="121"/>
      <c r="K657" s="121"/>
      <c r="L657" s="121"/>
      <c r="M657" s="122"/>
      <c r="N657" s="122"/>
      <c r="O657" s="122"/>
      <c r="P657" s="123"/>
      <c r="Q657" s="123"/>
      <c r="R657" s="123"/>
      <c r="S657" s="20"/>
      <c r="T657" s="20"/>
      <c r="U657" s="20"/>
      <c r="V657" s="20"/>
      <c r="W657" s="20"/>
      <c r="X657" s="20"/>
      <c r="Y657" s="20"/>
      <c r="Z657" s="20"/>
      <c r="AA657" s="20"/>
      <c r="AB657" s="20"/>
      <c r="AC657" s="20"/>
    </row>
    <row r="658">
      <c r="A658" s="20"/>
      <c r="B658" s="20"/>
      <c r="C658" s="20"/>
      <c r="D658" s="20"/>
      <c r="E658" s="20"/>
      <c r="F658" s="20"/>
      <c r="G658" s="20"/>
      <c r="H658" s="121"/>
      <c r="I658" s="121"/>
      <c r="J658" s="121"/>
      <c r="K658" s="121"/>
      <c r="L658" s="121"/>
      <c r="M658" s="122"/>
      <c r="N658" s="122"/>
      <c r="O658" s="122"/>
      <c r="P658" s="123"/>
      <c r="Q658" s="123"/>
      <c r="R658" s="123"/>
      <c r="S658" s="20"/>
      <c r="T658" s="20"/>
      <c r="U658" s="20"/>
      <c r="V658" s="20"/>
      <c r="W658" s="20"/>
      <c r="X658" s="20"/>
      <c r="Y658" s="20"/>
      <c r="Z658" s="20"/>
      <c r="AA658" s="20"/>
      <c r="AB658" s="20"/>
      <c r="AC658" s="20"/>
    </row>
    <row r="659">
      <c r="A659" s="20"/>
      <c r="B659" s="20"/>
      <c r="C659" s="20"/>
      <c r="D659" s="20"/>
      <c r="E659" s="20"/>
      <c r="F659" s="20"/>
      <c r="G659" s="20"/>
      <c r="H659" s="121"/>
      <c r="I659" s="121"/>
      <c r="J659" s="121"/>
      <c r="K659" s="121"/>
      <c r="L659" s="121"/>
      <c r="M659" s="122"/>
      <c r="N659" s="122"/>
      <c r="O659" s="122"/>
      <c r="P659" s="123"/>
      <c r="Q659" s="123"/>
      <c r="R659" s="123"/>
      <c r="S659" s="20"/>
      <c r="T659" s="20"/>
      <c r="U659" s="20"/>
      <c r="V659" s="20"/>
      <c r="W659" s="20"/>
      <c r="X659" s="20"/>
      <c r="Y659" s="20"/>
      <c r="Z659" s="20"/>
      <c r="AA659" s="20"/>
      <c r="AB659" s="20"/>
      <c r="AC659" s="20"/>
    </row>
    <row r="660">
      <c r="A660" s="20"/>
      <c r="B660" s="20"/>
      <c r="C660" s="20"/>
      <c r="D660" s="20"/>
      <c r="E660" s="20"/>
      <c r="F660" s="20"/>
      <c r="G660" s="20"/>
      <c r="H660" s="121"/>
      <c r="I660" s="121"/>
      <c r="J660" s="121"/>
      <c r="K660" s="121"/>
      <c r="L660" s="121"/>
      <c r="M660" s="122"/>
      <c r="N660" s="122"/>
      <c r="O660" s="122"/>
      <c r="P660" s="123"/>
      <c r="Q660" s="123"/>
      <c r="R660" s="123"/>
      <c r="S660" s="20"/>
      <c r="T660" s="20"/>
      <c r="U660" s="20"/>
      <c r="V660" s="20"/>
      <c r="W660" s="20"/>
      <c r="X660" s="20"/>
      <c r="Y660" s="20"/>
      <c r="Z660" s="20"/>
      <c r="AA660" s="20"/>
      <c r="AB660" s="20"/>
      <c r="AC660" s="20"/>
    </row>
    <row r="661">
      <c r="A661" s="20"/>
      <c r="B661" s="20"/>
      <c r="C661" s="20"/>
      <c r="D661" s="20"/>
      <c r="E661" s="20"/>
      <c r="F661" s="20"/>
      <c r="G661" s="20"/>
      <c r="H661" s="121"/>
      <c r="I661" s="121"/>
      <c r="J661" s="121"/>
      <c r="K661" s="121"/>
      <c r="L661" s="121"/>
      <c r="M661" s="122"/>
      <c r="N661" s="122"/>
      <c r="O661" s="122"/>
      <c r="P661" s="123"/>
      <c r="Q661" s="123"/>
      <c r="R661" s="123"/>
      <c r="S661" s="20"/>
      <c r="T661" s="20"/>
      <c r="U661" s="20"/>
      <c r="V661" s="20"/>
      <c r="W661" s="20"/>
      <c r="X661" s="20"/>
      <c r="Y661" s="20"/>
      <c r="Z661" s="20"/>
      <c r="AA661" s="20"/>
      <c r="AB661" s="20"/>
      <c r="AC661" s="20"/>
    </row>
    <row r="662">
      <c r="A662" s="20"/>
      <c r="B662" s="20"/>
      <c r="C662" s="20"/>
      <c r="D662" s="20"/>
      <c r="E662" s="20"/>
      <c r="F662" s="20"/>
      <c r="G662" s="20"/>
      <c r="H662" s="121"/>
      <c r="I662" s="121"/>
      <c r="J662" s="121"/>
      <c r="K662" s="121"/>
      <c r="L662" s="121"/>
      <c r="M662" s="122"/>
      <c r="N662" s="122"/>
      <c r="O662" s="122"/>
      <c r="P662" s="123"/>
      <c r="Q662" s="123"/>
      <c r="R662" s="123"/>
      <c r="S662" s="20"/>
      <c r="T662" s="20"/>
      <c r="U662" s="20"/>
      <c r="V662" s="20"/>
      <c r="W662" s="20"/>
      <c r="X662" s="20"/>
      <c r="Y662" s="20"/>
      <c r="Z662" s="20"/>
      <c r="AA662" s="20"/>
      <c r="AB662" s="20"/>
      <c r="AC662" s="20"/>
    </row>
    <row r="663">
      <c r="A663" s="20"/>
      <c r="B663" s="20"/>
      <c r="C663" s="20"/>
      <c r="D663" s="20"/>
      <c r="E663" s="20"/>
      <c r="F663" s="20"/>
      <c r="G663" s="20"/>
      <c r="H663" s="121"/>
      <c r="I663" s="121"/>
      <c r="J663" s="121"/>
      <c r="K663" s="121"/>
      <c r="L663" s="121"/>
      <c r="M663" s="122"/>
      <c r="N663" s="122"/>
      <c r="O663" s="122"/>
      <c r="P663" s="123"/>
      <c r="Q663" s="123"/>
      <c r="R663" s="123"/>
      <c r="S663" s="20"/>
      <c r="T663" s="20"/>
      <c r="U663" s="20"/>
      <c r="V663" s="20"/>
      <c r="W663" s="20"/>
      <c r="X663" s="20"/>
      <c r="Y663" s="20"/>
      <c r="Z663" s="20"/>
      <c r="AA663" s="20"/>
      <c r="AB663" s="20"/>
      <c r="AC663" s="20"/>
    </row>
    <row r="664">
      <c r="A664" s="20"/>
      <c r="B664" s="20"/>
      <c r="C664" s="20"/>
      <c r="D664" s="20"/>
      <c r="E664" s="20"/>
      <c r="F664" s="20"/>
      <c r="G664" s="20"/>
      <c r="H664" s="121"/>
      <c r="I664" s="121"/>
      <c r="J664" s="121"/>
      <c r="K664" s="121"/>
      <c r="L664" s="121"/>
      <c r="M664" s="122"/>
      <c r="N664" s="122"/>
      <c r="O664" s="122"/>
      <c r="P664" s="123"/>
      <c r="Q664" s="123"/>
      <c r="R664" s="123"/>
      <c r="S664" s="20"/>
      <c r="T664" s="20"/>
      <c r="U664" s="20"/>
      <c r="V664" s="20"/>
      <c r="W664" s="20"/>
      <c r="X664" s="20"/>
      <c r="Y664" s="20"/>
      <c r="Z664" s="20"/>
      <c r="AA664" s="20"/>
      <c r="AB664" s="20"/>
      <c r="AC664" s="20"/>
    </row>
    <row r="665">
      <c r="A665" s="20"/>
      <c r="B665" s="20"/>
      <c r="C665" s="20"/>
      <c r="D665" s="20"/>
      <c r="E665" s="20"/>
      <c r="F665" s="20"/>
      <c r="G665" s="20"/>
      <c r="H665" s="121"/>
      <c r="I665" s="121"/>
      <c r="J665" s="121"/>
      <c r="K665" s="121"/>
      <c r="L665" s="121"/>
      <c r="M665" s="122"/>
      <c r="N665" s="122"/>
      <c r="O665" s="122"/>
      <c r="P665" s="123"/>
      <c r="Q665" s="123"/>
      <c r="R665" s="123"/>
      <c r="S665" s="20"/>
      <c r="T665" s="20"/>
      <c r="U665" s="20"/>
      <c r="V665" s="20"/>
      <c r="W665" s="20"/>
      <c r="X665" s="20"/>
      <c r="Y665" s="20"/>
      <c r="Z665" s="20"/>
      <c r="AA665" s="20"/>
      <c r="AB665" s="20"/>
      <c r="AC665" s="20"/>
    </row>
    <row r="666">
      <c r="A666" s="20"/>
      <c r="B666" s="20"/>
      <c r="C666" s="20"/>
      <c r="D666" s="20"/>
      <c r="E666" s="20"/>
      <c r="F666" s="20"/>
      <c r="G666" s="20"/>
      <c r="H666" s="121"/>
      <c r="I666" s="121"/>
      <c r="J666" s="121"/>
      <c r="K666" s="121"/>
      <c r="L666" s="121"/>
      <c r="M666" s="122"/>
      <c r="N666" s="122"/>
      <c r="O666" s="122"/>
      <c r="P666" s="123"/>
      <c r="Q666" s="123"/>
      <c r="R666" s="123"/>
      <c r="S666" s="20"/>
      <c r="T666" s="20"/>
      <c r="U666" s="20"/>
      <c r="V666" s="20"/>
      <c r="W666" s="20"/>
      <c r="X666" s="20"/>
      <c r="Y666" s="20"/>
      <c r="Z666" s="20"/>
      <c r="AA666" s="20"/>
      <c r="AB666" s="20"/>
      <c r="AC666" s="20"/>
    </row>
    <row r="667">
      <c r="A667" s="20"/>
      <c r="B667" s="20"/>
      <c r="C667" s="20"/>
      <c r="D667" s="20"/>
      <c r="E667" s="20"/>
      <c r="F667" s="20"/>
      <c r="G667" s="20"/>
      <c r="H667" s="121"/>
      <c r="I667" s="121"/>
      <c r="J667" s="121"/>
      <c r="K667" s="121"/>
      <c r="L667" s="121"/>
      <c r="M667" s="122"/>
      <c r="N667" s="122"/>
      <c r="O667" s="122"/>
      <c r="P667" s="123"/>
      <c r="Q667" s="123"/>
      <c r="R667" s="123"/>
      <c r="S667" s="20"/>
      <c r="T667" s="20"/>
      <c r="U667" s="20"/>
      <c r="V667" s="20"/>
      <c r="W667" s="20"/>
      <c r="X667" s="20"/>
      <c r="Y667" s="20"/>
      <c r="Z667" s="20"/>
      <c r="AA667" s="20"/>
      <c r="AB667" s="20"/>
      <c r="AC667" s="20"/>
    </row>
    <row r="668">
      <c r="A668" s="20"/>
      <c r="B668" s="20"/>
      <c r="C668" s="20"/>
      <c r="D668" s="20"/>
      <c r="E668" s="20"/>
      <c r="F668" s="20"/>
      <c r="G668" s="20"/>
      <c r="H668" s="121"/>
      <c r="I668" s="121"/>
      <c r="J668" s="121"/>
      <c r="K668" s="121"/>
      <c r="L668" s="121"/>
      <c r="M668" s="122"/>
      <c r="N668" s="122"/>
      <c r="O668" s="122"/>
      <c r="P668" s="123"/>
      <c r="Q668" s="123"/>
      <c r="R668" s="123"/>
      <c r="S668" s="20"/>
      <c r="T668" s="20"/>
      <c r="U668" s="20"/>
      <c r="V668" s="20"/>
      <c r="W668" s="20"/>
      <c r="X668" s="20"/>
      <c r="Y668" s="20"/>
      <c r="Z668" s="20"/>
      <c r="AA668" s="20"/>
      <c r="AB668" s="20"/>
      <c r="AC668" s="20"/>
    </row>
    <row r="669">
      <c r="A669" s="20"/>
      <c r="B669" s="20"/>
      <c r="C669" s="20"/>
      <c r="D669" s="20"/>
      <c r="E669" s="20"/>
      <c r="F669" s="20"/>
      <c r="G669" s="20"/>
      <c r="H669" s="121"/>
      <c r="I669" s="121"/>
      <c r="J669" s="121"/>
      <c r="K669" s="121"/>
      <c r="L669" s="121"/>
      <c r="M669" s="122"/>
      <c r="N669" s="122"/>
      <c r="O669" s="122"/>
      <c r="P669" s="123"/>
      <c r="Q669" s="123"/>
      <c r="R669" s="123"/>
      <c r="S669" s="20"/>
      <c r="T669" s="20"/>
      <c r="U669" s="20"/>
      <c r="V669" s="20"/>
      <c r="W669" s="20"/>
      <c r="X669" s="20"/>
      <c r="Y669" s="20"/>
      <c r="Z669" s="20"/>
      <c r="AA669" s="20"/>
      <c r="AB669" s="20"/>
      <c r="AC669" s="20"/>
    </row>
    <row r="670">
      <c r="A670" s="20"/>
      <c r="B670" s="20"/>
      <c r="C670" s="20"/>
      <c r="D670" s="20"/>
      <c r="E670" s="20"/>
      <c r="F670" s="20"/>
      <c r="G670" s="20"/>
      <c r="H670" s="121"/>
      <c r="I670" s="121"/>
      <c r="J670" s="121"/>
      <c r="K670" s="121"/>
      <c r="L670" s="121"/>
      <c r="M670" s="122"/>
      <c r="N670" s="122"/>
      <c r="O670" s="122"/>
      <c r="P670" s="123"/>
      <c r="Q670" s="123"/>
      <c r="R670" s="123"/>
      <c r="S670" s="20"/>
      <c r="T670" s="20"/>
      <c r="U670" s="20"/>
      <c r="V670" s="20"/>
      <c r="W670" s="20"/>
      <c r="X670" s="20"/>
      <c r="Y670" s="20"/>
      <c r="Z670" s="20"/>
      <c r="AA670" s="20"/>
      <c r="AB670" s="20"/>
      <c r="AC670" s="20"/>
    </row>
    <row r="671">
      <c r="A671" s="20"/>
      <c r="B671" s="20"/>
      <c r="C671" s="20"/>
      <c r="D671" s="20"/>
      <c r="E671" s="20"/>
      <c r="F671" s="20"/>
      <c r="G671" s="20"/>
      <c r="H671" s="121"/>
      <c r="I671" s="121"/>
      <c r="J671" s="121"/>
      <c r="K671" s="121"/>
      <c r="L671" s="121"/>
      <c r="M671" s="122"/>
      <c r="N671" s="122"/>
      <c r="O671" s="122"/>
      <c r="P671" s="123"/>
      <c r="Q671" s="123"/>
      <c r="R671" s="123"/>
      <c r="S671" s="20"/>
      <c r="T671" s="20"/>
      <c r="U671" s="20"/>
      <c r="V671" s="20"/>
      <c r="W671" s="20"/>
      <c r="X671" s="20"/>
      <c r="Y671" s="20"/>
      <c r="Z671" s="20"/>
      <c r="AA671" s="20"/>
      <c r="AB671" s="20"/>
      <c r="AC671" s="20"/>
    </row>
    <row r="672">
      <c r="A672" s="20"/>
      <c r="B672" s="20"/>
      <c r="C672" s="20"/>
      <c r="D672" s="20"/>
      <c r="E672" s="20"/>
      <c r="F672" s="20"/>
      <c r="G672" s="20"/>
      <c r="H672" s="121"/>
      <c r="I672" s="121"/>
      <c r="J672" s="121"/>
      <c r="K672" s="121"/>
      <c r="L672" s="121"/>
      <c r="M672" s="122"/>
      <c r="N672" s="122"/>
      <c r="O672" s="122"/>
      <c r="P672" s="123"/>
      <c r="Q672" s="123"/>
      <c r="R672" s="123"/>
      <c r="S672" s="20"/>
      <c r="T672" s="20"/>
      <c r="U672" s="20"/>
      <c r="V672" s="20"/>
      <c r="W672" s="20"/>
      <c r="X672" s="20"/>
      <c r="Y672" s="20"/>
      <c r="Z672" s="20"/>
      <c r="AA672" s="20"/>
      <c r="AB672" s="20"/>
      <c r="AC672" s="20"/>
    </row>
    <row r="673">
      <c r="A673" s="20"/>
      <c r="B673" s="20"/>
      <c r="C673" s="20"/>
      <c r="D673" s="20"/>
      <c r="E673" s="20"/>
      <c r="F673" s="20"/>
      <c r="G673" s="20"/>
      <c r="H673" s="121"/>
      <c r="I673" s="121"/>
      <c r="J673" s="121"/>
      <c r="K673" s="121"/>
      <c r="L673" s="121"/>
      <c r="M673" s="122"/>
      <c r="N673" s="122"/>
      <c r="O673" s="122"/>
      <c r="P673" s="123"/>
      <c r="Q673" s="123"/>
      <c r="R673" s="123"/>
      <c r="S673" s="20"/>
      <c r="T673" s="20"/>
      <c r="U673" s="20"/>
      <c r="V673" s="20"/>
      <c r="W673" s="20"/>
      <c r="X673" s="20"/>
      <c r="Y673" s="20"/>
      <c r="Z673" s="20"/>
      <c r="AA673" s="20"/>
      <c r="AB673" s="20"/>
      <c r="AC673" s="20"/>
    </row>
    <row r="674">
      <c r="A674" s="20"/>
      <c r="B674" s="20"/>
      <c r="C674" s="20"/>
      <c r="D674" s="20"/>
      <c r="E674" s="20"/>
      <c r="F674" s="20"/>
      <c r="G674" s="20"/>
      <c r="H674" s="121"/>
      <c r="I674" s="121"/>
      <c r="J674" s="121"/>
      <c r="K674" s="121"/>
      <c r="L674" s="121"/>
      <c r="M674" s="122"/>
      <c r="N674" s="122"/>
      <c r="O674" s="122"/>
      <c r="P674" s="123"/>
      <c r="Q674" s="123"/>
      <c r="R674" s="123"/>
      <c r="S674" s="20"/>
      <c r="T674" s="20"/>
      <c r="U674" s="20"/>
      <c r="V674" s="20"/>
      <c r="W674" s="20"/>
      <c r="X674" s="20"/>
      <c r="Y674" s="20"/>
      <c r="Z674" s="20"/>
      <c r="AA674" s="20"/>
      <c r="AB674" s="20"/>
      <c r="AC674" s="20"/>
    </row>
    <row r="675">
      <c r="A675" s="20"/>
      <c r="B675" s="20"/>
      <c r="C675" s="20"/>
      <c r="D675" s="20"/>
      <c r="E675" s="20"/>
      <c r="F675" s="20"/>
      <c r="G675" s="20"/>
      <c r="H675" s="121"/>
      <c r="I675" s="121"/>
      <c r="J675" s="121"/>
      <c r="K675" s="121"/>
      <c r="L675" s="121"/>
      <c r="M675" s="122"/>
      <c r="N675" s="122"/>
      <c r="O675" s="122"/>
      <c r="P675" s="123"/>
      <c r="Q675" s="123"/>
      <c r="R675" s="123"/>
      <c r="S675" s="20"/>
      <c r="T675" s="20"/>
      <c r="U675" s="20"/>
      <c r="V675" s="20"/>
      <c r="W675" s="20"/>
      <c r="X675" s="20"/>
      <c r="Y675" s="20"/>
      <c r="Z675" s="20"/>
      <c r="AA675" s="20"/>
      <c r="AB675" s="20"/>
      <c r="AC675" s="20"/>
    </row>
    <row r="676">
      <c r="A676" s="20"/>
      <c r="B676" s="20"/>
      <c r="C676" s="20"/>
      <c r="D676" s="20"/>
      <c r="E676" s="20"/>
      <c r="F676" s="20"/>
      <c r="G676" s="20"/>
      <c r="H676" s="121"/>
      <c r="I676" s="121"/>
      <c r="J676" s="121"/>
      <c r="K676" s="121"/>
      <c r="L676" s="121"/>
      <c r="M676" s="122"/>
      <c r="N676" s="122"/>
      <c r="O676" s="122"/>
      <c r="P676" s="123"/>
      <c r="Q676" s="123"/>
      <c r="R676" s="123"/>
      <c r="S676" s="20"/>
      <c r="T676" s="20"/>
      <c r="U676" s="20"/>
      <c r="V676" s="20"/>
      <c r="W676" s="20"/>
      <c r="X676" s="20"/>
      <c r="Y676" s="20"/>
      <c r="Z676" s="20"/>
      <c r="AA676" s="20"/>
      <c r="AB676" s="20"/>
      <c r="AC676" s="20"/>
    </row>
    <row r="677">
      <c r="A677" s="20"/>
      <c r="B677" s="20"/>
      <c r="C677" s="20"/>
      <c r="D677" s="20"/>
      <c r="E677" s="20"/>
      <c r="F677" s="20"/>
      <c r="G677" s="20"/>
      <c r="H677" s="121"/>
      <c r="I677" s="121"/>
      <c r="J677" s="121"/>
      <c r="K677" s="121"/>
      <c r="L677" s="121"/>
      <c r="M677" s="122"/>
      <c r="N677" s="122"/>
      <c r="O677" s="122"/>
      <c r="P677" s="123"/>
      <c r="Q677" s="123"/>
      <c r="R677" s="123"/>
      <c r="S677" s="20"/>
      <c r="T677" s="20"/>
      <c r="U677" s="20"/>
      <c r="V677" s="20"/>
      <c r="W677" s="20"/>
      <c r="X677" s="20"/>
      <c r="Y677" s="20"/>
      <c r="Z677" s="20"/>
      <c r="AA677" s="20"/>
      <c r="AB677" s="20"/>
      <c r="AC677" s="20"/>
    </row>
    <row r="678">
      <c r="A678" s="20"/>
      <c r="B678" s="20"/>
      <c r="C678" s="20"/>
      <c r="D678" s="20"/>
      <c r="E678" s="20"/>
      <c r="F678" s="20"/>
      <c r="G678" s="20"/>
      <c r="H678" s="121"/>
      <c r="I678" s="121"/>
      <c r="J678" s="121"/>
      <c r="K678" s="121"/>
      <c r="L678" s="121"/>
      <c r="M678" s="122"/>
      <c r="N678" s="122"/>
      <c r="O678" s="122"/>
      <c r="P678" s="123"/>
      <c r="Q678" s="123"/>
      <c r="R678" s="123"/>
      <c r="S678" s="20"/>
      <c r="T678" s="20"/>
      <c r="U678" s="20"/>
      <c r="V678" s="20"/>
      <c r="W678" s="20"/>
      <c r="X678" s="20"/>
      <c r="Y678" s="20"/>
      <c r="Z678" s="20"/>
      <c r="AA678" s="20"/>
      <c r="AB678" s="20"/>
      <c r="AC678" s="20"/>
    </row>
    <row r="679">
      <c r="A679" s="20"/>
      <c r="B679" s="20"/>
      <c r="C679" s="20"/>
      <c r="D679" s="20"/>
      <c r="E679" s="20"/>
      <c r="F679" s="20"/>
      <c r="G679" s="20"/>
      <c r="H679" s="121"/>
      <c r="I679" s="121"/>
      <c r="J679" s="121"/>
      <c r="K679" s="121"/>
      <c r="L679" s="121"/>
      <c r="M679" s="122"/>
      <c r="N679" s="122"/>
      <c r="O679" s="122"/>
      <c r="P679" s="123"/>
      <c r="Q679" s="123"/>
      <c r="R679" s="123"/>
      <c r="S679" s="20"/>
      <c r="T679" s="20"/>
      <c r="U679" s="20"/>
      <c r="V679" s="20"/>
      <c r="W679" s="20"/>
      <c r="X679" s="20"/>
      <c r="Y679" s="20"/>
      <c r="Z679" s="20"/>
      <c r="AA679" s="20"/>
      <c r="AB679" s="20"/>
      <c r="AC679" s="20"/>
    </row>
    <row r="680">
      <c r="A680" s="20"/>
      <c r="B680" s="20"/>
      <c r="C680" s="20"/>
      <c r="D680" s="20"/>
      <c r="E680" s="20"/>
      <c r="F680" s="20"/>
      <c r="G680" s="20"/>
      <c r="H680" s="121"/>
      <c r="I680" s="121"/>
      <c r="J680" s="121"/>
      <c r="K680" s="121"/>
      <c r="L680" s="121"/>
      <c r="M680" s="122"/>
      <c r="N680" s="122"/>
      <c r="O680" s="122"/>
      <c r="P680" s="123"/>
      <c r="Q680" s="123"/>
      <c r="R680" s="123"/>
      <c r="S680" s="20"/>
      <c r="T680" s="20"/>
      <c r="U680" s="20"/>
      <c r="V680" s="20"/>
      <c r="W680" s="20"/>
      <c r="X680" s="20"/>
      <c r="Y680" s="20"/>
      <c r="Z680" s="20"/>
      <c r="AA680" s="20"/>
      <c r="AB680" s="20"/>
      <c r="AC680" s="20"/>
    </row>
    <row r="681">
      <c r="A681" s="20"/>
      <c r="B681" s="20"/>
      <c r="C681" s="20"/>
      <c r="D681" s="20"/>
      <c r="E681" s="20"/>
      <c r="F681" s="20"/>
      <c r="G681" s="20"/>
      <c r="H681" s="121"/>
      <c r="I681" s="121"/>
      <c r="J681" s="121"/>
      <c r="K681" s="121"/>
      <c r="L681" s="121"/>
      <c r="M681" s="122"/>
      <c r="N681" s="122"/>
      <c r="O681" s="122"/>
      <c r="P681" s="123"/>
      <c r="Q681" s="123"/>
      <c r="R681" s="123"/>
      <c r="S681" s="20"/>
      <c r="T681" s="20"/>
      <c r="U681" s="20"/>
      <c r="V681" s="20"/>
      <c r="W681" s="20"/>
      <c r="X681" s="20"/>
      <c r="Y681" s="20"/>
      <c r="Z681" s="20"/>
      <c r="AA681" s="20"/>
      <c r="AB681" s="20"/>
      <c r="AC681" s="20"/>
    </row>
    <row r="682">
      <c r="A682" s="20"/>
      <c r="B682" s="20"/>
      <c r="C682" s="20"/>
      <c r="D682" s="20"/>
      <c r="E682" s="20"/>
      <c r="F682" s="20"/>
      <c r="G682" s="20"/>
      <c r="H682" s="121"/>
      <c r="I682" s="121"/>
      <c r="J682" s="121"/>
      <c r="K682" s="121"/>
      <c r="L682" s="121"/>
      <c r="M682" s="122"/>
      <c r="N682" s="122"/>
      <c r="O682" s="122"/>
      <c r="P682" s="123"/>
      <c r="Q682" s="123"/>
      <c r="R682" s="123"/>
      <c r="S682" s="20"/>
      <c r="T682" s="20"/>
      <c r="U682" s="20"/>
      <c r="V682" s="20"/>
      <c r="W682" s="20"/>
      <c r="X682" s="20"/>
      <c r="Y682" s="20"/>
      <c r="Z682" s="20"/>
      <c r="AA682" s="20"/>
      <c r="AB682" s="20"/>
      <c r="AC682" s="20"/>
    </row>
    <row r="683">
      <c r="A683" s="20"/>
      <c r="B683" s="20"/>
      <c r="C683" s="20"/>
      <c r="D683" s="20"/>
      <c r="E683" s="20"/>
      <c r="F683" s="20"/>
      <c r="G683" s="20"/>
      <c r="H683" s="121"/>
      <c r="I683" s="121"/>
      <c r="J683" s="121"/>
      <c r="K683" s="121"/>
      <c r="L683" s="121"/>
      <c r="M683" s="122"/>
      <c r="N683" s="122"/>
      <c r="O683" s="122"/>
      <c r="P683" s="123"/>
      <c r="Q683" s="123"/>
      <c r="R683" s="123"/>
      <c r="S683" s="20"/>
      <c r="T683" s="20"/>
      <c r="U683" s="20"/>
      <c r="V683" s="20"/>
      <c r="W683" s="20"/>
      <c r="X683" s="20"/>
      <c r="Y683" s="20"/>
      <c r="Z683" s="20"/>
      <c r="AA683" s="20"/>
      <c r="AB683" s="20"/>
      <c r="AC683" s="20"/>
    </row>
    <row r="684">
      <c r="A684" s="20"/>
      <c r="B684" s="20"/>
      <c r="C684" s="20"/>
      <c r="D684" s="20"/>
      <c r="E684" s="20"/>
      <c r="F684" s="20"/>
      <c r="G684" s="20"/>
      <c r="H684" s="121"/>
      <c r="I684" s="121"/>
      <c r="J684" s="121"/>
      <c r="K684" s="121"/>
      <c r="L684" s="121"/>
      <c r="M684" s="122"/>
      <c r="N684" s="122"/>
      <c r="O684" s="122"/>
      <c r="P684" s="123"/>
      <c r="Q684" s="123"/>
      <c r="R684" s="123"/>
      <c r="S684" s="20"/>
      <c r="T684" s="20"/>
      <c r="U684" s="20"/>
      <c r="V684" s="20"/>
      <c r="W684" s="20"/>
      <c r="X684" s="20"/>
      <c r="Y684" s="20"/>
      <c r="Z684" s="20"/>
      <c r="AA684" s="20"/>
      <c r="AB684" s="20"/>
      <c r="AC684" s="20"/>
    </row>
    <row r="685">
      <c r="A685" s="20"/>
      <c r="B685" s="20"/>
      <c r="C685" s="20"/>
      <c r="D685" s="20"/>
      <c r="E685" s="20"/>
      <c r="F685" s="20"/>
      <c r="G685" s="20"/>
      <c r="H685" s="121"/>
      <c r="I685" s="121"/>
      <c r="J685" s="121"/>
      <c r="K685" s="121"/>
      <c r="L685" s="121"/>
      <c r="M685" s="122"/>
      <c r="N685" s="122"/>
      <c r="O685" s="122"/>
      <c r="P685" s="123"/>
      <c r="Q685" s="123"/>
      <c r="R685" s="123"/>
      <c r="S685" s="20"/>
      <c r="T685" s="20"/>
      <c r="U685" s="20"/>
      <c r="V685" s="20"/>
      <c r="W685" s="20"/>
      <c r="X685" s="20"/>
      <c r="Y685" s="20"/>
      <c r="Z685" s="20"/>
      <c r="AA685" s="20"/>
      <c r="AB685" s="20"/>
      <c r="AC685" s="20"/>
    </row>
    <row r="686">
      <c r="A686" s="20"/>
      <c r="B686" s="20"/>
      <c r="C686" s="20"/>
      <c r="D686" s="20"/>
      <c r="E686" s="20"/>
      <c r="F686" s="20"/>
      <c r="G686" s="20"/>
      <c r="H686" s="121"/>
      <c r="I686" s="121"/>
      <c r="J686" s="121"/>
      <c r="K686" s="121"/>
      <c r="L686" s="121"/>
      <c r="M686" s="122"/>
      <c r="N686" s="122"/>
      <c r="O686" s="122"/>
      <c r="P686" s="123"/>
      <c r="Q686" s="123"/>
      <c r="R686" s="123"/>
      <c r="S686" s="20"/>
      <c r="T686" s="20"/>
      <c r="U686" s="20"/>
      <c r="V686" s="20"/>
      <c r="W686" s="20"/>
      <c r="X686" s="20"/>
      <c r="Y686" s="20"/>
      <c r="Z686" s="20"/>
      <c r="AA686" s="20"/>
      <c r="AB686" s="20"/>
      <c r="AC686" s="20"/>
    </row>
    <row r="687">
      <c r="A687" s="20"/>
      <c r="B687" s="20"/>
      <c r="C687" s="20"/>
      <c r="D687" s="20"/>
      <c r="E687" s="20"/>
      <c r="F687" s="20"/>
      <c r="G687" s="20"/>
      <c r="H687" s="121"/>
      <c r="I687" s="121"/>
      <c r="J687" s="121"/>
      <c r="K687" s="121"/>
      <c r="L687" s="121"/>
      <c r="M687" s="122"/>
      <c r="N687" s="122"/>
      <c r="O687" s="122"/>
      <c r="P687" s="123"/>
      <c r="Q687" s="123"/>
      <c r="R687" s="123"/>
      <c r="S687" s="20"/>
      <c r="T687" s="20"/>
      <c r="U687" s="20"/>
      <c r="V687" s="20"/>
      <c r="W687" s="20"/>
      <c r="X687" s="20"/>
      <c r="Y687" s="20"/>
      <c r="Z687" s="20"/>
      <c r="AA687" s="20"/>
      <c r="AB687" s="20"/>
      <c r="AC687" s="20"/>
    </row>
    <row r="688">
      <c r="A688" s="20"/>
      <c r="B688" s="20"/>
      <c r="C688" s="20"/>
      <c r="D688" s="20"/>
      <c r="E688" s="20"/>
      <c r="F688" s="20"/>
      <c r="G688" s="20"/>
      <c r="H688" s="121"/>
      <c r="I688" s="121"/>
      <c r="J688" s="121"/>
      <c r="K688" s="121"/>
      <c r="L688" s="121"/>
      <c r="M688" s="122"/>
      <c r="N688" s="122"/>
      <c r="O688" s="122"/>
      <c r="P688" s="123"/>
      <c r="Q688" s="123"/>
      <c r="R688" s="123"/>
      <c r="S688" s="20"/>
      <c r="T688" s="20"/>
      <c r="U688" s="20"/>
      <c r="V688" s="20"/>
      <c r="W688" s="20"/>
      <c r="X688" s="20"/>
      <c r="Y688" s="20"/>
      <c r="Z688" s="20"/>
      <c r="AA688" s="20"/>
      <c r="AB688" s="20"/>
      <c r="AC688" s="20"/>
    </row>
    <row r="689">
      <c r="A689" s="20"/>
      <c r="B689" s="20"/>
      <c r="C689" s="20"/>
      <c r="D689" s="20"/>
      <c r="E689" s="20"/>
      <c r="F689" s="20"/>
      <c r="G689" s="20"/>
      <c r="H689" s="121"/>
      <c r="I689" s="121"/>
      <c r="J689" s="121"/>
      <c r="K689" s="121"/>
      <c r="L689" s="121"/>
      <c r="M689" s="122"/>
      <c r="N689" s="122"/>
      <c r="O689" s="122"/>
      <c r="P689" s="123"/>
      <c r="Q689" s="123"/>
      <c r="R689" s="123"/>
      <c r="S689" s="20"/>
      <c r="T689" s="20"/>
      <c r="U689" s="20"/>
      <c r="V689" s="20"/>
      <c r="W689" s="20"/>
      <c r="X689" s="20"/>
      <c r="Y689" s="20"/>
      <c r="Z689" s="20"/>
      <c r="AA689" s="20"/>
      <c r="AB689" s="20"/>
      <c r="AC689" s="20"/>
    </row>
    <row r="690">
      <c r="A690" s="20"/>
      <c r="B690" s="20"/>
      <c r="C690" s="20"/>
      <c r="D690" s="20"/>
      <c r="E690" s="20"/>
      <c r="F690" s="20"/>
      <c r="G690" s="20"/>
      <c r="H690" s="121"/>
      <c r="I690" s="121"/>
      <c r="J690" s="121"/>
      <c r="K690" s="121"/>
      <c r="L690" s="121"/>
      <c r="M690" s="122"/>
      <c r="N690" s="122"/>
      <c r="O690" s="122"/>
      <c r="P690" s="123"/>
      <c r="Q690" s="123"/>
      <c r="R690" s="123"/>
      <c r="S690" s="20"/>
      <c r="T690" s="20"/>
      <c r="U690" s="20"/>
      <c r="V690" s="20"/>
      <c r="W690" s="20"/>
      <c r="X690" s="20"/>
      <c r="Y690" s="20"/>
      <c r="Z690" s="20"/>
      <c r="AA690" s="20"/>
      <c r="AB690" s="20"/>
      <c r="AC690" s="20"/>
    </row>
    <row r="691">
      <c r="A691" s="20"/>
      <c r="B691" s="20"/>
      <c r="C691" s="20"/>
      <c r="D691" s="20"/>
      <c r="E691" s="20"/>
      <c r="F691" s="20"/>
      <c r="G691" s="20"/>
      <c r="H691" s="121"/>
      <c r="I691" s="121"/>
      <c r="J691" s="121"/>
      <c r="K691" s="121"/>
      <c r="L691" s="121"/>
      <c r="M691" s="122"/>
      <c r="N691" s="122"/>
      <c r="O691" s="122"/>
      <c r="P691" s="123"/>
      <c r="Q691" s="123"/>
      <c r="R691" s="123"/>
      <c r="S691" s="20"/>
      <c r="T691" s="20"/>
      <c r="U691" s="20"/>
      <c r="V691" s="20"/>
      <c r="W691" s="20"/>
      <c r="X691" s="20"/>
      <c r="Y691" s="20"/>
      <c r="Z691" s="20"/>
      <c r="AA691" s="20"/>
      <c r="AB691" s="20"/>
      <c r="AC691" s="20"/>
    </row>
    <row r="692">
      <c r="A692" s="20"/>
      <c r="B692" s="20"/>
      <c r="C692" s="20"/>
      <c r="D692" s="20"/>
      <c r="E692" s="20"/>
      <c r="F692" s="20"/>
      <c r="G692" s="20"/>
      <c r="H692" s="121"/>
      <c r="I692" s="121"/>
      <c r="J692" s="121"/>
      <c r="K692" s="121"/>
      <c r="L692" s="121"/>
      <c r="M692" s="122"/>
      <c r="N692" s="122"/>
      <c r="O692" s="122"/>
      <c r="P692" s="123"/>
      <c r="Q692" s="123"/>
      <c r="R692" s="123"/>
      <c r="S692" s="20"/>
      <c r="T692" s="20"/>
      <c r="U692" s="20"/>
      <c r="V692" s="20"/>
      <c r="W692" s="20"/>
      <c r="X692" s="20"/>
      <c r="Y692" s="20"/>
      <c r="Z692" s="20"/>
      <c r="AA692" s="20"/>
      <c r="AB692" s="20"/>
      <c r="AC692" s="20"/>
    </row>
    <row r="693">
      <c r="A693" s="20"/>
      <c r="B693" s="20"/>
      <c r="C693" s="20"/>
      <c r="D693" s="20"/>
      <c r="E693" s="20"/>
      <c r="F693" s="20"/>
      <c r="G693" s="20"/>
      <c r="H693" s="121"/>
      <c r="I693" s="121"/>
      <c r="J693" s="121"/>
      <c r="K693" s="121"/>
      <c r="L693" s="121"/>
      <c r="M693" s="122"/>
      <c r="N693" s="122"/>
      <c r="O693" s="122"/>
      <c r="P693" s="123"/>
      <c r="Q693" s="123"/>
      <c r="R693" s="123"/>
      <c r="S693" s="20"/>
      <c r="T693" s="20"/>
      <c r="U693" s="20"/>
      <c r="V693" s="20"/>
      <c r="W693" s="20"/>
      <c r="X693" s="20"/>
      <c r="Y693" s="20"/>
      <c r="Z693" s="20"/>
      <c r="AA693" s="20"/>
      <c r="AB693" s="20"/>
      <c r="AC693" s="20"/>
    </row>
    <row r="694">
      <c r="A694" s="20"/>
      <c r="B694" s="20"/>
      <c r="C694" s="20"/>
      <c r="D694" s="20"/>
      <c r="E694" s="20"/>
      <c r="F694" s="20"/>
      <c r="G694" s="20"/>
      <c r="H694" s="121"/>
      <c r="I694" s="121"/>
      <c r="J694" s="121"/>
      <c r="K694" s="121"/>
      <c r="L694" s="121"/>
      <c r="M694" s="122"/>
      <c r="N694" s="122"/>
      <c r="O694" s="122"/>
      <c r="P694" s="123"/>
      <c r="Q694" s="123"/>
      <c r="R694" s="123"/>
      <c r="S694" s="20"/>
      <c r="T694" s="20"/>
      <c r="U694" s="20"/>
      <c r="V694" s="20"/>
      <c r="W694" s="20"/>
      <c r="X694" s="20"/>
      <c r="Y694" s="20"/>
      <c r="Z694" s="20"/>
      <c r="AA694" s="20"/>
      <c r="AB694" s="20"/>
      <c r="AC694" s="20"/>
    </row>
    <row r="695">
      <c r="A695" s="20"/>
      <c r="B695" s="20"/>
      <c r="C695" s="20"/>
      <c r="D695" s="20"/>
      <c r="E695" s="20"/>
      <c r="F695" s="20"/>
      <c r="G695" s="20"/>
      <c r="H695" s="121"/>
      <c r="I695" s="121"/>
      <c r="J695" s="121"/>
      <c r="K695" s="121"/>
      <c r="L695" s="121"/>
      <c r="M695" s="122"/>
      <c r="N695" s="122"/>
      <c r="O695" s="122"/>
      <c r="P695" s="123"/>
      <c r="Q695" s="123"/>
      <c r="R695" s="123"/>
      <c r="S695" s="20"/>
      <c r="T695" s="20"/>
      <c r="U695" s="20"/>
      <c r="V695" s="20"/>
      <c r="W695" s="20"/>
      <c r="X695" s="20"/>
      <c r="Y695" s="20"/>
      <c r="Z695" s="20"/>
      <c r="AA695" s="20"/>
      <c r="AB695" s="20"/>
      <c r="AC695" s="20"/>
    </row>
    <row r="696">
      <c r="A696" s="20"/>
      <c r="B696" s="20"/>
      <c r="C696" s="20"/>
      <c r="D696" s="20"/>
      <c r="E696" s="20"/>
      <c r="F696" s="20"/>
      <c r="G696" s="20"/>
      <c r="H696" s="121"/>
      <c r="I696" s="121"/>
      <c r="J696" s="121"/>
      <c r="K696" s="121"/>
      <c r="L696" s="121"/>
      <c r="M696" s="122"/>
      <c r="N696" s="122"/>
      <c r="O696" s="122"/>
      <c r="P696" s="123"/>
      <c r="Q696" s="123"/>
      <c r="R696" s="123"/>
      <c r="S696" s="20"/>
      <c r="T696" s="20"/>
      <c r="U696" s="20"/>
      <c r="V696" s="20"/>
      <c r="W696" s="20"/>
      <c r="X696" s="20"/>
      <c r="Y696" s="20"/>
      <c r="Z696" s="20"/>
      <c r="AA696" s="20"/>
      <c r="AB696" s="20"/>
      <c r="AC696" s="20"/>
    </row>
    <row r="697">
      <c r="A697" s="20"/>
      <c r="B697" s="20"/>
      <c r="C697" s="20"/>
      <c r="D697" s="20"/>
      <c r="E697" s="20"/>
      <c r="F697" s="20"/>
      <c r="G697" s="20"/>
      <c r="H697" s="121"/>
      <c r="I697" s="121"/>
      <c r="J697" s="121"/>
      <c r="K697" s="121"/>
      <c r="L697" s="121"/>
      <c r="M697" s="122"/>
      <c r="N697" s="122"/>
      <c r="O697" s="122"/>
      <c r="P697" s="123"/>
      <c r="Q697" s="123"/>
      <c r="R697" s="123"/>
      <c r="S697" s="20"/>
      <c r="T697" s="20"/>
      <c r="U697" s="20"/>
      <c r="V697" s="20"/>
      <c r="W697" s="20"/>
      <c r="X697" s="20"/>
      <c r="Y697" s="20"/>
      <c r="Z697" s="20"/>
      <c r="AA697" s="20"/>
      <c r="AB697" s="20"/>
      <c r="AC697" s="20"/>
    </row>
    <row r="698">
      <c r="A698" s="20"/>
      <c r="B698" s="20"/>
      <c r="C698" s="20"/>
      <c r="D698" s="20"/>
      <c r="E698" s="20"/>
      <c r="F698" s="20"/>
      <c r="G698" s="20"/>
      <c r="H698" s="121"/>
      <c r="I698" s="121"/>
      <c r="J698" s="121"/>
      <c r="K698" s="121"/>
      <c r="L698" s="121"/>
      <c r="M698" s="122"/>
      <c r="N698" s="122"/>
      <c r="O698" s="122"/>
      <c r="P698" s="123"/>
      <c r="Q698" s="123"/>
      <c r="R698" s="123"/>
      <c r="S698" s="20"/>
      <c r="T698" s="20"/>
      <c r="U698" s="20"/>
      <c r="V698" s="20"/>
      <c r="W698" s="20"/>
      <c r="X698" s="20"/>
      <c r="Y698" s="20"/>
      <c r="Z698" s="20"/>
      <c r="AA698" s="20"/>
      <c r="AB698" s="20"/>
      <c r="AC698" s="20"/>
    </row>
    <row r="699">
      <c r="A699" s="20"/>
      <c r="B699" s="20"/>
      <c r="C699" s="20"/>
      <c r="D699" s="20"/>
      <c r="E699" s="20"/>
      <c r="F699" s="20"/>
      <c r="G699" s="20"/>
      <c r="H699" s="121"/>
      <c r="I699" s="121"/>
      <c r="J699" s="121"/>
      <c r="K699" s="121"/>
      <c r="L699" s="121"/>
      <c r="M699" s="122"/>
      <c r="N699" s="122"/>
      <c r="O699" s="122"/>
      <c r="P699" s="123"/>
      <c r="Q699" s="123"/>
      <c r="R699" s="123"/>
      <c r="S699" s="20"/>
      <c r="T699" s="20"/>
      <c r="U699" s="20"/>
      <c r="V699" s="20"/>
      <c r="W699" s="20"/>
      <c r="X699" s="20"/>
      <c r="Y699" s="20"/>
      <c r="Z699" s="20"/>
      <c r="AA699" s="20"/>
      <c r="AB699" s="20"/>
      <c r="AC699" s="20"/>
    </row>
    <row r="700">
      <c r="A700" s="20"/>
      <c r="B700" s="20"/>
      <c r="C700" s="20"/>
      <c r="D700" s="20"/>
      <c r="E700" s="20"/>
      <c r="F700" s="20"/>
      <c r="G700" s="20"/>
      <c r="H700" s="121"/>
      <c r="I700" s="121"/>
      <c r="J700" s="121"/>
      <c r="K700" s="121"/>
      <c r="L700" s="121"/>
      <c r="M700" s="122"/>
      <c r="N700" s="122"/>
      <c r="O700" s="122"/>
      <c r="P700" s="123"/>
      <c r="Q700" s="123"/>
      <c r="R700" s="123"/>
      <c r="S700" s="20"/>
      <c r="T700" s="20"/>
      <c r="U700" s="20"/>
      <c r="V700" s="20"/>
      <c r="W700" s="20"/>
      <c r="X700" s="20"/>
      <c r="Y700" s="20"/>
      <c r="Z700" s="20"/>
      <c r="AA700" s="20"/>
      <c r="AB700" s="20"/>
      <c r="AC700" s="20"/>
    </row>
    <row r="701">
      <c r="A701" s="20"/>
      <c r="B701" s="20"/>
      <c r="C701" s="20"/>
      <c r="D701" s="20"/>
      <c r="E701" s="20"/>
      <c r="F701" s="20"/>
      <c r="G701" s="20"/>
      <c r="H701" s="121"/>
      <c r="I701" s="121"/>
      <c r="J701" s="121"/>
      <c r="K701" s="121"/>
      <c r="L701" s="121"/>
      <c r="M701" s="122"/>
      <c r="N701" s="122"/>
      <c r="O701" s="122"/>
      <c r="P701" s="123"/>
      <c r="Q701" s="123"/>
      <c r="R701" s="123"/>
      <c r="S701" s="20"/>
      <c r="T701" s="20"/>
      <c r="U701" s="20"/>
      <c r="V701" s="20"/>
      <c r="W701" s="20"/>
      <c r="X701" s="20"/>
      <c r="Y701" s="20"/>
      <c r="Z701" s="20"/>
      <c r="AA701" s="20"/>
      <c r="AB701" s="20"/>
      <c r="AC701" s="20"/>
    </row>
    <row r="702">
      <c r="A702" s="20"/>
      <c r="B702" s="20"/>
      <c r="C702" s="20"/>
      <c r="D702" s="20"/>
      <c r="E702" s="20"/>
      <c r="F702" s="20"/>
      <c r="G702" s="20"/>
      <c r="H702" s="121"/>
      <c r="I702" s="121"/>
      <c r="J702" s="121"/>
      <c r="K702" s="121"/>
      <c r="L702" s="121"/>
      <c r="M702" s="122"/>
      <c r="N702" s="122"/>
      <c r="O702" s="122"/>
      <c r="P702" s="123"/>
      <c r="Q702" s="123"/>
      <c r="R702" s="123"/>
      <c r="S702" s="20"/>
      <c r="T702" s="20"/>
      <c r="U702" s="20"/>
      <c r="V702" s="20"/>
      <c r="W702" s="20"/>
      <c r="X702" s="20"/>
      <c r="Y702" s="20"/>
      <c r="Z702" s="20"/>
      <c r="AA702" s="20"/>
      <c r="AB702" s="20"/>
      <c r="AC702" s="20"/>
    </row>
    <row r="703">
      <c r="A703" s="20"/>
      <c r="B703" s="20"/>
      <c r="C703" s="20"/>
      <c r="D703" s="20"/>
      <c r="E703" s="20"/>
      <c r="F703" s="20"/>
      <c r="G703" s="20"/>
      <c r="H703" s="121"/>
      <c r="I703" s="121"/>
      <c r="J703" s="121"/>
      <c r="K703" s="121"/>
      <c r="L703" s="121"/>
      <c r="M703" s="122"/>
      <c r="N703" s="122"/>
      <c r="O703" s="122"/>
      <c r="P703" s="123"/>
      <c r="Q703" s="123"/>
      <c r="R703" s="123"/>
      <c r="S703" s="20"/>
      <c r="T703" s="20"/>
      <c r="U703" s="20"/>
      <c r="V703" s="20"/>
      <c r="W703" s="20"/>
      <c r="X703" s="20"/>
      <c r="Y703" s="20"/>
      <c r="Z703" s="20"/>
      <c r="AA703" s="20"/>
      <c r="AB703" s="20"/>
      <c r="AC703" s="20"/>
    </row>
    <row r="704">
      <c r="A704" s="20"/>
      <c r="B704" s="20"/>
      <c r="C704" s="20"/>
      <c r="D704" s="20"/>
      <c r="E704" s="20"/>
      <c r="F704" s="20"/>
      <c r="G704" s="20"/>
      <c r="H704" s="121"/>
      <c r="I704" s="121"/>
      <c r="J704" s="121"/>
      <c r="K704" s="121"/>
      <c r="L704" s="121"/>
      <c r="M704" s="122"/>
      <c r="N704" s="122"/>
      <c r="O704" s="122"/>
      <c r="P704" s="123"/>
      <c r="Q704" s="123"/>
      <c r="R704" s="123"/>
      <c r="S704" s="20"/>
      <c r="T704" s="20"/>
      <c r="U704" s="20"/>
      <c r="V704" s="20"/>
      <c r="W704" s="20"/>
      <c r="X704" s="20"/>
      <c r="Y704" s="20"/>
      <c r="Z704" s="20"/>
      <c r="AA704" s="20"/>
      <c r="AB704" s="20"/>
      <c r="AC704" s="20"/>
    </row>
    <row r="705">
      <c r="A705" s="20"/>
      <c r="B705" s="20"/>
      <c r="C705" s="20"/>
      <c r="D705" s="20"/>
      <c r="E705" s="20"/>
      <c r="F705" s="20"/>
      <c r="G705" s="20"/>
      <c r="H705" s="121"/>
      <c r="I705" s="121"/>
      <c r="J705" s="121"/>
      <c r="K705" s="121"/>
      <c r="L705" s="121"/>
      <c r="M705" s="122"/>
      <c r="N705" s="122"/>
      <c r="O705" s="122"/>
      <c r="P705" s="123"/>
      <c r="Q705" s="123"/>
      <c r="R705" s="123"/>
      <c r="S705" s="20"/>
      <c r="T705" s="20"/>
      <c r="U705" s="20"/>
      <c r="V705" s="20"/>
      <c r="W705" s="20"/>
      <c r="X705" s="20"/>
      <c r="Y705" s="20"/>
      <c r="Z705" s="20"/>
      <c r="AA705" s="20"/>
      <c r="AB705" s="20"/>
      <c r="AC705" s="20"/>
    </row>
    <row r="706">
      <c r="A706" s="20"/>
      <c r="B706" s="20"/>
      <c r="C706" s="20"/>
      <c r="D706" s="20"/>
      <c r="E706" s="20"/>
      <c r="F706" s="20"/>
      <c r="G706" s="20"/>
      <c r="H706" s="121"/>
      <c r="I706" s="121"/>
      <c r="J706" s="121"/>
      <c r="K706" s="121"/>
      <c r="L706" s="121"/>
      <c r="M706" s="122"/>
      <c r="N706" s="122"/>
      <c r="O706" s="122"/>
      <c r="P706" s="123"/>
      <c r="Q706" s="123"/>
      <c r="R706" s="123"/>
      <c r="S706" s="20"/>
      <c r="T706" s="20"/>
      <c r="U706" s="20"/>
      <c r="V706" s="20"/>
      <c r="W706" s="20"/>
      <c r="X706" s="20"/>
      <c r="Y706" s="20"/>
      <c r="Z706" s="20"/>
      <c r="AA706" s="20"/>
      <c r="AB706" s="20"/>
      <c r="AC706" s="20"/>
    </row>
    <row r="707">
      <c r="A707" s="20"/>
      <c r="B707" s="20"/>
      <c r="C707" s="20"/>
      <c r="D707" s="20"/>
      <c r="E707" s="20"/>
      <c r="F707" s="20"/>
      <c r="G707" s="20"/>
      <c r="H707" s="121"/>
      <c r="I707" s="121"/>
      <c r="J707" s="121"/>
      <c r="K707" s="121"/>
      <c r="L707" s="121"/>
      <c r="M707" s="122"/>
      <c r="N707" s="122"/>
      <c r="O707" s="122"/>
      <c r="P707" s="123"/>
      <c r="Q707" s="123"/>
      <c r="R707" s="123"/>
      <c r="S707" s="20"/>
      <c r="T707" s="20"/>
      <c r="U707" s="20"/>
      <c r="V707" s="20"/>
      <c r="W707" s="20"/>
      <c r="X707" s="20"/>
      <c r="Y707" s="20"/>
      <c r="Z707" s="20"/>
      <c r="AA707" s="20"/>
      <c r="AB707" s="20"/>
      <c r="AC707" s="20"/>
    </row>
    <row r="708">
      <c r="A708" s="20"/>
      <c r="B708" s="20"/>
      <c r="C708" s="20"/>
      <c r="D708" s="20"/>
      <c r="E708" s="20"/>
      <c r="F708" s="20"/>
      <c r="G708" s="20"/>
      <c r="H708" s="121"/>
      <c r="I708" s="121"/>
      <c r="J708" s="121"/>
      <c r="K708" s="121"/>
      <c r="L708" s="121"/>
      <c r="M708" s="122"/>
      <c r="N708" s="122"/>
      <c r="O708" s="122"/>
      <c r="P708" s="123"/>
      <c r="Q708" s="123"/>
      <c r="R708" s="123"/>
      <c r="S708" s="20"/>
      <c r="T708" s="20"/>
      <c r="U708" s="20"/>
      <c r="V708" s="20"/>
      <c r="W708" s="20"/>
      <c r="X708" s="20"/>
      <c r="Y708" s="20"/>
      <c r="Z708" s="20"/>
      <c r="AA708" s="20"/>
      <c r="AB708" s="20"/>
      <c r="AC708" s="20"/>
    </row>
    <row r="709">
      <c r="A709" s="20"/>
      <c r="B709" s="20"/>
      <c r="C709" s="20"/>
      <c r="D709" s="20"/>
      <c r="E709" s="20"/>
      <c r="F709" s="20"/>
      <c r="G709" s="20"/>
      <c r="H709" s="121"/>
      <c r="I709" s="121"/>
      <c r="J709" s="121"/>
      <c r="K709" s="121"/>
      <c r="L709" s="121"/>
      <c r="M709" s="122"/>
      <c r="N709" s="122"/>
      <c r="O709" s="122"/>
      <c r="P709" s="123"/>
      <c r="Q709" s="123"/>
      <c r="R709" s="123"/>
      <c r="S709" s="20"/>
      <c r="T709" s="20"/>
      <c r="U709" s="20"/>
      <c r="V709" s="20"/>
      <c r="W709" s="20"/>
      <c r="X709" s="20"/>
      <c r="Y709" s="20"/>
      <c r="Z709" s="20"/>
      <c r="AA709" s="20"/>
      <c r="AB709" s="20"/>
      <c r="AC709" s="20"/>
    </row>
    <row r="710">
      <c r="A710" s="20"/>
      <c r="B710" s="20"/>
      <c r="C710" s="20"/>
      <c r="D710" s="20"/>
      <c r="E710" s="20"/>
      <c r="F710" s="20"/>
      <c r="G710" s="20"/>
      <c r="H710" s="121"/>
      <c r="I710" s="121"/>
      <c r="J710" s="121"/>
      <c r="K710" s="121"/>
      <c r="L710" s="121"/>
      <c r="M710" s="122"/>
      <c r="N710" s="122"/>
      <c r="O710" s="122"/>
      <c r="P710" s="123"/>
      <c r="Q710" s="123"/>
      <c r="R710" s="123"/>
      <c r="S710" s="20"/>
      <c r="T710" s="20"/>
      <c r="U710" s="20"/>
      <c r="V710" s="20"/>
      <c r="W710" s="20"/>
      <c r="X710" s="20"/>
      <c r="Y710" s="20"/>
      <c r="Z710" s="20"/>
      <c r="AA710" s="20"/>
      <c r="AB710" s="20"/>
      <c r="AC710" s="20"/>
    </row>
    <row r="711">
      <c r="A711" s="20"/>
      <c r="B711" s="20"/>
      <c r="C711" s="20"/>
      <c r="D711" s="20"/>
      <c r="E711" s="20"/>
      <c r="F711" s="20"/>
      <c r="G711" s="20"/>
      <c r="H711" s="121"/>
      <c r="I711" s="121"/>
      <c r="J711" s="121"/>
      <c r="K711" s="121"/>
      <c r="L711" s="121"/>
      <c r="M711" s="122"/>
      <c r="N711" s="122"/>
      <c r="O711" s="122"/>
      <c r="P711" s="123"/>
      <c r="Q711" s="123"/>
      <c r="R711" s="123"/>
      <c r="S711" s="20"/>
      <c r="T711" s="20"/>
      <c r="U711" s="20"/>
      <c r="V711" s="20"/>
      <c r="W711" s="20"/>
      <c r="X711" s="20"/>
      <c r="Y711" s="20"/>
      <c r="Z711" s="20"/>
      <c r="AA711" s="20"/>
      <c r="AB711" s="20"/>
      <c r="AC711" s="20"/>
    </row>
    <row r="712">
      <c r="A712" s="20"/>
      <c r="B712" s="20"/>
      <c r="C712" s="20"/>
      <c r="D712" s="20"/>
      <c r="E712" s="20"/>
      <c r="F712" s="20"/>
      <c r="G712" s="20"/>
      <c r="H712" s="121"/>
      <c r="I712" s="121"/>
      <c r="J712" s="121"/>
      <c r="K712" s="121"/>
      <c r="L712" s="121"/>
      <c r="M712" s="122"/>
      <c r="N712" s="122"/>
      <c r="O712" s="122"/>
      <c r="P712" s="123"/>
      <c r="Q712" s="123"/>
      <c r="R712" s="123"/>
      <c r="S712" s="20"/>
      <c r="T712" s="20"/>
      <c r="U712" s="20"/>
      <c r="V712" s="20"/>
      <c r="W712" s="20"/>
      <c r="X712" s="20"/>
      <c r="Y712" s="20"/>
      <c r="Z712" s="20"/>
      <c r="AA712" s="20"/>
      <c r="AB712" s="20"/>
      <c r="AC712" s="20"/>
    </row>
    <row r="713">
      <c r="A713" s="20"/>
      <c r="B713" s="20"/>
      <c r="C713" s="20"/>
      <c r="D713" s="20"/>
      <c r="E713" s="20"/>
      <c r="F713" s="20"/>
      <c r="G713" s="20"/>
      <c r="H713" s="121"/>
      <c r="I713" s="121"/>
      <c r="J713" s="121"/>
      <c r="K713" s="121"/>
      <c r="L713" s="121"/>
      <c r="M713" s="122"/>
      <c r="N713" s="122"/>
      <c r="O713" s="122"/>
      <c r="P713" s="123"/>
      <c r="Q713" s="123"/>
      <c r="R713" s="123"/>
      <c r="S713" s="20"/>
      <c r="T713" s="20"/>
      <c r="U713" s="20"/>
      <c r="V713" s="20"/>
      <c r="W713" s="20"/>
      <c r="X713" s="20"/>
      <c r="Y713" s="20"/>
      <c r="Z713" s="20"/>
      <c r="AA713" s="20"/>
      <c r="AB713" s="20"/>
      <c r="AC713" s="20"/>
    </row>
    <row r="714">
      <c r="A714" s="20"/>
      <c r="B714" s="20"/>
      <c r="C714" s="20"/>
      <c r="D714" s="20"/>
      <c r="E714" s="20"/>
      <c r="F714" s="20"/>
      <c r="G714" s="20"/>
      <c r="H714" s="121"/>
      <c r="I714" s="121"/>
      <c r="J714" s="121"/>
      <c r="K714" s="121"/>
      <c r="L714" s="121"/>
      <c r="M714" s="122"/>
      <c r="N714" s="122"/>
      <c r="O714" s="122"/>
      <c r="P714" s="123"/>
      <c r="Q714" s="123"/>
      <c r="R714" s="123"/>
      <c r="S714" s="20"/>
      <c r="T714" s="20"/>
      <c r="U714" s="20"/>
      <c r="V714" s="20"/>
      <c r="W714" s="20"/>
      <c r="X714" s="20"/>
      <c r="Y714" s="20"/>
      <c r="Z714" s="20"/>
      <c r="AA714" s="20"/>
      <c r="AB714" s="20"/>
      <c r="AC714" s="20"/>
    </row>
    <row r="715">
      <c r="A715" s="20"/>
      <c r="B715" s="20"/>
      <c r="C715" s="20"/>
      <c r="D715" s="20"/>
      <c r="E715" s="20"/>
      <c r="F715" s="20"/>
      <c r="G715" s="20"/>
      <c r="H715" s="121"/>
      <c r="I715" s="121"/>
      <c r="J715" s="121"/>
      <c r="K715" s="121"/>
      <c r="L715" s="121"/>
      <c r="M715" s="122"/>
      <c r="N715" s="122"/>
      <c r="O715" s="122"/>
      <c r="P715" s="123"/>
      <c r="Q715" s="123"/>
      <c r="R715" s="123"/>
      <c r="S715" s="20"/>
      <c r="T715" s="20"/>
      <c r="U715" s="20"/>
      <c r="V715" s="20"/>
      <c r="W715" s="20"/>
      <c r="X715" s="20"/>
      <c r="Y715" s="20"/>
      <c r="Z715" s="20"/>
      <c r="AA715" s="20"/>
      <c r="AB715" s="20"/>
      <c r="AC715" s="20"/>
    </row>
    <row r="716">
      <c r="A716" s="20"/>
      <c r="B716" s="20"/>
      <c r="C716" s="20"/>
      <c r="D716" s="20"/>
      <c r="E716" s="20"/>
      <c r="F716" s="20"/>
      <c r="G716" s="20"/>
      <c r="H716" s="121"/>
      <c r="I716" s="121"/>
      <c r="J716" s="121"/>
      <c r="K716" s="121"/>
      <c r="L716" s="121"/>
      <c r="M716" s="122"/>
      <c r="N716" s="122"/>
      <c r="O716" s="122"/>
      <c r="P716" s="123"/>
      <c r="Q716" s="123"/>
      <c r="R716" s="123"/>
      <c r="S716" s="20"/>
      <c r="T716" s="20"/>
      <c r="U716" s="20"/>
      <c r="V716" s="20"/>
      <c r="W716" s="20"/>
      <c r="X716" s="20"/>
      <c r="Y716" s="20"/>
      <c r="Z716" s="20"/>
      <c r="AA716" s="20"/>
      <c r="AB716" s="20"/>
      <c r="AC716" s="20"/>
    </row>
    <row r="717">
      <c r="A717" s="20"/>
      <c r="B717" s="20"/>
      <c r="C717" s="20"/>
      <c r="D717" s="20"/>
      <c r="E717" s="20"/>
      <c r="F717" s="20"/>
      <c r="G717" s="20"/>
      <c r="H717" s="121"/>
      <c r="I717" s="121"/>
      <c r="J717" s="121"/>
      <c r="K717" s="121"/>
      <c r="L717" s="121"/>
      <c r="M717" s="122"/>
      <c r="N717" s="122"/>
      <c r="O717" s="122"/>
      <c r="P717" s="123"/>
      <c r="Q717" s="123"/>
      <c r="R717" s="123"/>
      <c r="S717" s="20"/>
      <c r="T717" s="20"/>
      <c r="U717" s="20"/>
      <c r="V717" s="20"/>
      <c r="W717" s="20"/>
      <c r="X717" s="20"/>
      <c r="Y717" s="20"/>
      <c r="Z717" s="20"/>
      <c r="AA717" s="20"/>
      <c r="AB717" s="20"/>
      <c r="AC717" s="20"/>
    </row>
    <row r="718">
      <c r="A718" s="20"/>
      <c r="B718" s="20"/>
      <c r="C718" s="20"/>
      <c r="D718" s="20"/>
      <c r="E718" s="20"/>
      <c r="F718" s="20"/>
      <c r="G718" s="20"/>
      <c r="H718" s="121"/>
      <c r="I718" s="121"/>
      <c r="J718" s="121"/>
      <c r="K718" s="121"/>
      <c r="L718" s="121"/>
      <c r="M718" s="122"/>
      <c r="N718" s="122"/>
      <c r="O718" s="122"/>
      <c r="P718" s="123"/>
      <c r="Q718" s="123"/>
      <c r="R718" s="123"/>
      <c r="S718" s="20"/>
      <c r="T718" s="20"/>
      <c r="U718" s="20"/>
      <c r="V718" s="20"/>
      <c r="W718" s="20"/>
      <c r="X718" s="20"/>
      <c r="Y718" s="20"/>
      <c r="Z718" s="20"/>
      <c r="AA718" s="20"/>
      <c r="AB718" s="20"/>
      <c r="AC718" s="20"/>
    </row>
    <row r="719">
      <c r="A719" s="20"/>
      <c r="B719" s="20"/>
      <c r="C719" s="20"/>
      <c r="D719" s="20"/>
      <c r="E719" s="20"/>
      <c r="F719" s="20"/>
      <c r="G719" s="20"/>
      <c r="H719" s="121"/>
      <c r="I719" s="121"/>
      <c r="J719" s="121"/>
      <c r="K719" s="121"/>
      <c r="L719" s="121"/>
      <c r="M719" s="122"/>
      <c r="N719" s="122"/>
      <c r="O719" s="122"/>
      <c r="P719" s="123"/>
      <c r="Q719" s="123"/>
      <c r="R719" s="123"/>
      <c r="S719" s="20"/>
      <c r="T719" s="20"/>
      <c r="U719" s="20"/>
      <c r="V719" s="20"/>
      <c r="W719" s="20"/>
      <c r="X719" s="20"/>
      <c r="Y719" s="20"/>
      <c r="Z719" s="20"/>
      <c r="AA719" s="20"/>
      <c r="AB719" s="20"/>
      <c r="AC719" s="20"/>
    </row>
    <row r="720">
      <c r="A720" s="20"/>
      <c r="B720" s="20"/>
      <c r="C720" s="20"/>
      <c r="D720" s="20"/>
      <c r="E720" s="20"/>
      <c r="F720" s="20"/>
      <c r="G720" s="20"/>
      <c r="H720" s="121"/>
      <c r="I720" s="121"/>
      <c r="J720" s="121"/>
      <c r="K720" s="121"/>
      <c r="L720" s="121"/>
      <c r="M720" s="122"/>
      <c r="N720" s="122"/>
      <c r="O720" s="122"/>
      <c r="P720" s="123"/>
      <c r="Q720" s="123"/>
      <c r="R720" s="123"/>
      <c r="S720" s="20"/>
      <c r="T720" s="20"/>
      <c r="U720" s="20"/>
      <c r="V720" s="20"/>
      <c r="W720" s="20"/>
      <c r="X720" s="20"/>
      <c r="Y720" s="20"/>
      <c r="Z720" s="20"/>
      <c r="AA720" s="20"/>
      <c r="AB720" s="20"/>
      <c r="AC720" s="20"/>
    </row>
    <row r="721">
      <c r="A721" s="20"/>
      <c r="B721" s="20"/>
      <c r="C721" s="20"/>
      <c r="D721" s="20"/>
      <c r="E721" s="20"/>
      <c r="F721" s="20"/>
      <c r="G721" s="20"/>
      <c r="H721" s="121"/>
      <c r="I721" s="121"/>
      <c r="J721" s="121"/>
      <c r="K721" s="121"/>
      <c r="L721" s="121"/>
      <c r="M721" s="122"/>
      <c r="N721" s="122"/>
      <c r="O721" s="122"/>
      <c r="P721" s="123"/>
      <c r="Q721" s="123"/>
      <c r="R721" s="123"/>
      <c r="S721" s="20"/>
      <c r="T721" s="20"/>
      <c r="U721" s="20"/>
      <c r="V721" s="20"/>
      <c r="W721" s="20"/>
      <c r="X721" s="20"/>
      <c r="Y721" s="20"/>
      <c r="Z721" s="20"/>
      <c r="AA721" s="20"/>
      <c r="AB721" s="20"/>
      <c r="AC721" s="20"/>
    </row>
    <row r="722">
      <c r="A722" s="20"/>
      <c r="B722" s="20"/>
      <c r="C722" s="20"/>
      <c r="D722" s="20"/>
      <c r="E722" s="20"/>
      <c r="F722" s="20"/>
      <c r="G722" s="20"/>
      <c r="H722" s="121"/>
      <c r="I722" s="121"/>
      <c r="J722" s="121"/>
      <c r="K722" s="121"/>
      <c r="L722" s="121"/>
      <c r="M722" s="122"/>
      <c r="N722" s="122"/>
      <c r="O722" s="122"/>
      <c r="P722" s="123"/>
      <c r="Q722" s="123"/>
      <c r="R722" s="123"/>
      <c r="S722" s="20"/>
      <c r="T722" s="20"/>
      <c r="U722" s="20"/>
      <c r="V722" s="20"/>
      <c r="W722" s="20"/>
      <c r="X722" s="20"/>
      <c r="Y722" s="20"/>
      <c r="Z722" s="20"/>
      <c r="AA722" s="20"/>
      <c r="AB722" s="20"/>
      <c r="AC722" s="20"/>
    </row>
    <row r="723">
      <c r="A723" s="20"/>
      <c r="B723" s="20"/>
      <c r="C723" s="20"/>
      <c r="D723" s="20"/>
      <c r="E723" s="20"/>
      <c r="F723" s="20"/>
      <c r="G723" s="20"/>
      <c r="H723" s="121"/>
      <c r="I723" s="121"/>
      <c r="J723" s="121"/>
      <c r="K723" s="121"/>
      <c r="L723" s="121"/>
      <c r="M723" s="122"/>
      <c r="N723" s="122"/>
      <c r="O723" s="122"/>
      <c r="P723" s="123"/>
      <c r="Q723" s="123"/>
      <c r="R723" s="123"/>
      <c r="S723" s="20"/>
      <c r="T723" s="20"/>
      <c r="U723" s="20"/>
      <c r="V723" s="20"/>
      <c r="W723" s="20"/>
      <c r="X723" s="20"/>
      <c r="Y723" s="20"/>
      <c r="Z723" s="20"/>
      <c r="AA723" s="20"/>
      <c r="AB723" s="20"/>
      <c r="AC723" s="20"/>
    </row>
    <row r="724">
      <c r="A724" s="20"/>
      <c r="B724" s="20"/>
      <c r="C724" s="20"/>
      <c r="D724" s="20"/>
      <c r="E724" s="20"/>
      <c r="F724" s="20"/>
      <c r="G724" s="20"/>
      <c r="H724" s="121"/>
      <c r="I724" s="121"/>
      <c r="J724" s="121"/>
      <c r="K724" s="121"/>
      <c r="L724" s="121"/>
      <c r="M724" s="122"/>
      <c r="N724" s="122"/>
      <c r="O724" s="122"/>
      <c r="P724" s="123"/>
      <c r="Q724" s="123"/>
      <c r="R724" s="123"/>
      <c r="S724" s="20"/>
      <c r="T724" s="20"/>
      <c r="U724" s="20"/>
      <c r="V724" s="20"/>
      <c r="W724" s="20"/>
      <c r="X724" s="20"/>
      <c r="Y724" s="20"/>
      <c r="Z724" s="20"/>
      <c r="AA724" s="20"/>
      <c r="AB724" s="20"/>
      <c r="AC724" s="20"/>
    </row>
    <row r="725">
      <c r="A725" s="20"/>
      <c r="B725" s="20"/>
      <c r="C725" s="20"/>
      <c r="D725" s="20"/>
      <c r="E725" s="20"/>
      <c r="F725" s="20"/>
      <c r="G725" s="20"/>
      <c r="H725" s="121"/>
      <c r="I725" s="121"/>
      <c r="J725" s="121"/>
      <c r="K725" s="121"/>
      <c r="L725" s="121"/>
      <c r="M725" s="122"/>
      <c r="N725" s="122"/>
      <c r="O725" s="122"/>
      <c r="P725" s="123"/>
      <c r="Q725" s="123"/>
      <c r="R725" s="123"/>
      <c r="S725" s="20"/>
      <c r="T725" s="20"/>
      <c r="U725" s="20"/>
      <c r="V725" s="20"/>
      <c r="W725" s="20"/>
      <c r="X725" s="20"/>
      <c r="Y725" s="20"/>
      <c r="Z725" s="20"/>
      <c r="AA725" s="20"/>
      <c r="AB725" s="20"/>
      <c r="AC725" s="20"/>
    </row>
    <row r="726">
      <c r="A726" s="20"/>
      <c r="B726" s="20"/>
      <c r="C726" s="20"/>
      <c r="D726" s="20"/>
      <c r="E726" s="20"/>
      <c r="F726" s="20"/>
      <c r="G726" s="20"/>
      <c r="H726" s="121"/>
      <c r="I726" s="121"/>
      <c r="J726" s="121"/>
      <c r="K726" s="121"/>
      <c r="L726" s="121"/>
      <c r="M726" s="122"/>
      <c r="N726" s="122"/>
      <c r="O726" s="122"/>
      <c r="P726" s="123"/>
      <c r="Q726" s="123"/>
      <c r="R726" s="123"/>
      <c r="S726" s="20"/>
      <c r="T726" s="20"/>
      <c r="U726" s="20"/>
      <c r="V726" s="20"/>
      <c r="W726" s="20"/>
      <c r="X726" s="20"/>
      <c r="Y726" s="20"/>
      <c r="Z726" s="20"/>
      <c r="AA726" s="20"/>
      <c r="AB726" s="20"/>
      <c r="AC726" s="20"/>
    </row>
    <row r="727">
      <c r="A727" s="20"/>
      <c r="B727" s="20"/>
      <c r="C727" s="20"/>
      <c r="D727" s="20"/>
      <c r="E727" s="20"/>
      <c r="F727" s="20"/>
      <c r="G727" s="20"/>
      <c r="H727" s="121"/>
      <c r="I727" s="121"/>
      <c r="J727" s="121"/>
      <c r="K727" s="121"/>
      <c r="L727" s="121"/>
      <c r="M727" s="122"/>
      <c r="N727" s="122"/>
      <c r="O727" s="122"/>
      <c r="P727" s="123"/>
      <c r="Q727" s="123"/>
      <c r="R727" s="123"/>
      <c r="S727" s="20"/>
      <c r="T727" s="20"/>
      <c r="U727" s="20"/>
      <c r="V727" s="20"/>
      <c r="W727" s="20"/>
      <c r="X727" s="20"/>
      <c r="Y727" s="20"/>
      <c r="Z727" s="20"/>
      <c r="AA727" s="20"/>
      <c r="AB727" s="20"/>
      <c r="AC727" s="20"/>
    </row>
    <row r="728">
      <c r="A728" s="20"/>
      <c r="B728" s="20"/>
      <c r="C728" s="20"/>
      <c r="D728" s="20"/>
      <c r="E728" s="20"/>
      <c r="F728" s="20"/>
      <c r="G728" s="20"/>
      <c r="H728" s="121"/>
      <c r="I728" s="121"/>
      <c r="J728" s="121"/>
      <c r="K728" s="121"/>
      <c r="L728" s="121"/>
      <c r="M728" s="122"/>
      <c r="N728" s="122"/>
      <c r="O728" s="122"/>
      <c r="P728" s="123"/>
      <c r="Q728" s="123"/>
      <c r="R728" s="123"/>
      <c r="S728" s="20"/>
      <c r="T728" s="20"/>
      <c r="U728" s="20"/>
      <c r="V728" s="20"/>
      <c r="W728" s="20"/>
      <c r="X728" s="20"/>
      <c r="Y728" s="20"/>
      <c r="Z728" s="20"/>
      <c r="AA728" s="20"/>
      <c r="AB728" s="20"/>
      <c r="AC728" s="20"/>
    </row>
    <row r="729">
      <c r="A729" s="20"/>
      <c r="B729" s="20"/>
      <c r="C729" s="20"/>
      <c r="D729" s="20"/>
      <c r="E729" s="20"/>
      <c r="F729" s="20"/>
      <c r="G729" s="20"/>
      <c r="H729" s="121"/>
      <c r="I729" s="121"/>
      <c r="J729" s="121"/>
      <c r="K729" s="121"/>
      <c r="L729" s="121"/>
      <c r="M729" s="122"/>
      <c r="N729" s="122"/>
      <c r="O729" s="122"/>
      <c r="P729" s="123"/>
      <c r="Q729" s="123"/>
      <c r="R729" s="123"/>
      <c r="S729" s="20"/>
      <c r="T729" s="20"/>
      <c r="U729" s="20"/>
      <c r="V729" s="20"/>
      <c r="W729" s="20"/>
      <c r="X729" s="20"/>
      <c r="Y729" s="20"/>
      <c r="Z729" s="20"/>
      <c r="AA729" s="20"/>
      <c r="AB729" s="20"/>
      <c r="AC729" s="20"/>
    </row>
    <row r="730">
      <c r="A730" s="20"/>
      <c r="B730" s="20"/>
      <c r="C730" s="20"/>
      <c r="D730" s="20"/>
      <c r="E730" s="20"/>
      <c r="F730" s="20"/>
      <c r="G730" s="20"/>
      <c r="H730" s="121"/>
      <c r="I730" s="121"/>
      <c r="J730" s="121"/>
      <c r="K730" s="121"/>
      <c r="L730" s="121"/>
      <c r="M730" s="122"/>
      <c r="N730" s="122"/>
      <c r="O730" s="122"/>
      <c r="P730" s="123"/>
      <c r="Q730" s="123"/>
      <c r="R730" s="123"/>
      <c r="S730" s="20"/>
      <c r="T730" s="20"/>
      <c r="U730" s="20"/>
      <c r="V730" s="20"/>
      <c r="W730" s="20"/>
      <c r="X730" s="20"/>
      <c r="Y730" s="20"/>
      <c r="Z730" s="20"/>
      <c r="AA730" s="20"/>
      <c r="AB730" s="20"/>
      <c r="AC730" s="20"/>
    </row>
    <row r="731">
      <c r="A731" s="20"/>
      <c r="B731" s="20"/>
      <c r="C731" s="20"/>
      <c r="D731" s="20"/>
      <c r="E731" s="20"/>
      <c r="F731" s="20"/>
      <c r="G731" s="20"/>
      <c r="H731" s="121"/>
      <c r="I731" s="121"/>
      <c r="J731" s="121"/>
      <c r="K731" s="121"/>
      <c r="L731" s="121"/>
      <c r="M731" s="122"/>
      <c r="N731" s="122"/>
      <c r="O731" s="122"/>
      <c r="P731" s="123"/>
      <c r="Q731" s="123"/>
      <c r="R731" s="123"/>
      <c r="S731" s="20"/>
      <c r="T731" s="20"/>
      <c r="U731" s="20"/>
      <c r="V731" s="20"/>
      <c r="W731" s="20"/>
      <c r="X731" s="20"/>
      <c r="Y731" s="20"/>
      <c r="Z731" s="20"/>
      <c r="AA731" s="20"/>
      <c r="AB731" s="20"/>
      <c r="AC731" s="20"/>
    </row>
    <row r="732">
      <c r="A732" s="20"/>
      <c r="B732" s="20"/>
      <c r="C732" s="20"/>
      <c r="D732" s="20"/>
      <c r="E732" s="20"/>
      <c r="F732" s="20"/>
      <c r="G732" s="20"/>
      <c r="H732" s="121"/>
      <c r="I732" s="121"/>
      <c r="J732" s="121"/>
      <c r="K732" s="121"/>
      <c r="L732" s="121"/>
      <c r="M732" s="122"/>
      <c r="N732" s="122"/>
      <c r="O732" s="122"/>
      <c r="P732" s="123"/>
      <c r="Q732" s="123"/>
      <c r="R732" s="123"/>
      <c r="S732" s="20"/>
      <c r="T732" s="20"/>
      <c r="U732" s="20"/>
      <c r="V732" s="20"/>
      <c r="W732" s="20"/>
      <c r="X732" s="20"/>
      <c r="Y732" s="20"/>
      <c r="Z732" s="20"/>
      <c r="AA732" s="20"/>
      <c r="AB732" s="20"/>
      <c r="AC732" s="20"/>
    </row>
    <row r="733">
      <c r="A733" s="20"/>
      <c r="B733" s="20"/>
      <c r="C733" s="20"/>
      <c r="D733" s="20"/>
      <c r="E733" s="20"/>
      <c r="F733" s="20"/>
      <c r="G733" s="20"/>
      <c r="H733" s="121"/>
      <c r="I733" s="121"/>
      <c r="J733" s="121"/>
      <c r="K733" s="121"/>
      <c r="L733" s="121"/>
      <c r="M733" s="122"/>
      <c r="N733" s="122"/>
      <c r="O733" s="122"/>
      <c r="P733" s="123"/>
      <c r="Q733" s="123"/>
      <c r="R733" s="123"/>
      <c r="S733" s="20"/>
      <c r="T733" s="20"/>
      <c r="U733" s="20"/>
      <c r="V733" s="20"/>
      <c r="W733" s="20"/>
      <c r="X733" s="20"/>
      <c r="Y733" s="20"/>
      <c r="Z733" s="20"/>
      <c r="AA733" s="20"/>
      <c r="AB733" s="20"/>
      <c r="AC733" s="20"/>
    </row>
    <row r="734">
      <c r="A734" s="20"/>
      <c r="B734" s="20"/>
      <c r="C734" s="20"/>
      <c r="D734" s="20"/>
      <c r="E734" s="20"/>
      <c r="F734" s="20"/>
      <c r="G734" s="20"/>
      <c r="H734" s="121"/>
      <c r="I734" s="121"/>
      <c r="J734" s="121"/>
      <c r="K734" s="121"/>
      <c r="L734" s="121"/>
      <c r="M734" s="122"/>
      <c r="N734" s="122"/>
      <c r="O734" s="122"/>
      <c r="P734" s="123"/>
      <c r="Q734" s="123"/>
      <c r="R734" s="123"/>
      <c r="S734" s="20"/>
      <c r="T734" s="20"/>
      <c r="U734" s="20"/>
      <c r="V734" s="20"/>
      <c r="W734" s="20"/>
      <c r="X734" s="20"/>
      <c r="Y734" s="20"/>
      <c r="Z734" s="20"/>
      <c r="AA734" s="20"/>
      <c r="AB734" s="20"/>
      <c r="AC734" s="20"/>
    </row>
    <row r="735">
      <c r="A735" s="20"/>
      <c r="B735" s="20"/>
      <c r="C735" s="20"/>
      <c r="D735" s="20"/>
      <c r="E735" s="20"/>
      <c r="F735" s="20"/>
      <c r="G735" s="20"/>
      <c r="H735" s="121"/>
      <c r="I735" s="121"/>
      <c r="J735" s="121"/>
      <c r="K735" s="121"/>
      <c r="L735" s="121"/>
      <c r="M735" s="122"/>
      <c r="N735" s="122"/>
      <c r="O735" s="122"/>
      <c r="P735" s="123"/>
      <c r="Q735" s="123"/>
      <c r="R735" s="123"/>
      <c r="S735" s="20"/>
      <c r="T735" s="20"/>
      <c r="U735" s="20"/>
      <c r="V735" s="20"/>
      <c r="W735" s="20"/>
      <c r="X735" s="20"/>
      <c r="Y735" s="20"/>
      <c r="Z735" s="20"/>
      <c r="AA735" s="20"/>
      <c r="AB735" s="20"/>
      <c r="AC735" s="20"/>
    </row>
    <row r="736">
      <c r="A736" s="20"/>
      <c r="B736" s="20"/>
      <c r="C736" s="20"/>
      <c r="D736" s="20"/>
      <c r="E736" s="20"/>
      <c r="F736" s="20"/>
      <c r="G736" s="20"/>
      <c r="H736" s="121"/>
      <c r="I736" s="121"/>
      <c r="J736" s="121"/>
      <c r="K736" s="121"/>
      <c r="L736" s="121"/>
      <c r="M736" s="122"/>
      <c r="N736" s="122"/>
      <c r="O736" s="122"/>
      <c r="P736" s="123"/>
      <c r="Q736" s="123"/>
      <c r="R736" s="123"/>
      <c r="S736" s="20"/>
      <c r="T736" s="20"/>
      <c r="U736" s="20"/>
      <c r="V736" s="20"/>
      <c r="W736" s="20"/>
      <c r="X736" s="20"/>
      <c r="Y736" s="20"/>
      <c r="Z736" s="20"/>
      <c r="AA736" s="20"/>
      <c r="AB736" s="20"/>
      <c r="AC736" s="20"/>
    </row>
    <row r="737">
      <c r="A737" s="20"/>
      <c r="B737" s="20"/>
      <c r="C737" s="20"/>
      <c r="D737" s="20"/>
      <c r="E737" s="20"/>
      <c r="F737" s="20"/>
      <c r="G737" s="20"/>
      <c r="H737" s="121"/>
      <c r="I737" s="121"/>
      <c r="J737" s="121"/>
      <c r="K737" s="121"/>
      <c r="L737" s="121"/>
      <c r="M737" s="122"/>
      <c r="N737" s="122"/>
      <c r="O737" s="122"/>
      <c r="P737" s="123"/>
      <c r="Q737" s="123"/>
      <c r="R737" s="123"/>
      <c r="S737" s="20"/>
      <c r="T737" s="20"/>
      <c r="U737" s="20"/>
      <c r="V737" s="20"/>
      <c r="W737" s="20"/>
      <c r="X737" s="20"/>
      <c r="Y737" s="20"/>
      <c r="Z737" s="20"/>
      <c r="AA737" s="20"/>
      <c r="AB737" s="20"/>
      <c r="AC737" s="20"/>
    </row>
    <row r="738">
      <c r="A738" s="20"/>
      <c r="B738" s="20"/>
      <c r="C738" s="20"/>
      <c r="D738" s="20"/>
      <c r="E738" s="20"/>
      <c r="F738" s="20"/>
      <c r="G738" s="20"/>
      <c r="H738" s="121"/>
      <c r="I738" s="121"/>
      <c r="J738" s="121"/>
      <c r="K738" s="121"/>
      <c r="L738" s="121"/>
      <c r="M738" s="122"/>
      <c r="N738" s="122"/>
      <c r="O738" s="122"/>
      <c r="P738" s="123"/>
      <c r="Q738" s="123"/>
      <c r="R738" s="123"/>
      <c r="S738" s="20"/>
      <c r="T738" s="20"/>
      <c r="U738" s="20"/>
      <c r="V738" s="20"/>
      <c r="W738" s="20"/>
      <c r="X738" s="20"/>
      <c r="Y738" s="20"/>
      <c r="Z738" s="20"/>
      <c r="AA738" s="20"/>
      <c r="AB738" s="20"/>
      <c r="AC738" s="20"/>
    </row>
    <row r="739">
      <c r="A739" s="20"/>
      <c r="B739" s="20"/>
      <c r="C739" s="20"/>
      <c r="D739" s="20"/>
      <c r="E739" s="20"/>
      <c r="F739" s="20"/>
      <c r="G739" s="20"/>
      <c r="H739" s="121"/>
      <c r="I739" s="121"/>
      <c r="J739" s="121"/>
      <c r="K739" s="121"/>
      <c r="L739" s="121"/>
      <c r="M739" s="122"/>
      <c r="N739" s="122"/>
      <c r="O739" s="122"/>
      <c r="P739" s="123"/>
      <c r="Q739" s="123"/>
      <c r="R739" s="123"/>
      <c r="S739" s="20"/>
      <c r="T739" s="20"/>
      <c r="U739" s="20"/>
      <c r="V739" s="20"/>
      <c r="W739" s="20"/>
      <c r="X739" s="20"/>
      <c r="Y739" s="20"/>
      <c r="Z739" s="20"/>
      <c r="AA739" s="20"/>
      <c r="AB739" s="20"/>
      <c r="AC739" s="20"/>
    </row>
    <row r="740">
      <c r="A740" s="20"/>
      <c r="B740" s="20"/>
      <c r="C740" s="20"/>
      <c r="D740" s="20"/>
      <c r="E740" s="20"/>
      <c r="F740" s="20"/>
      <c r="G740" s="20"/>
      <c r="H740" s="121"/>
      <c r="I740" s="121"/>
      <c r="J740" s="121"/>
      <c r="K740" s="121"/>
      <c r="L740" s="121"/>
      <c r="M740" s="122"/>
      <c r="N740" s="122"/>
      <c r="O740" s="122"/>
      <c r="P740" s="123"/>
      <c r="Q740" s="123"/>
      <c r="R740" s="123"/>
      <c r="S740" s="20"/>
      <c r="T740" s="20"/>
      <c r="U740" s="20"/>
      <c r="V740" s="20"/>
      <c r="W740" s="20"/>
      <c r="X740" s="20"/>
      <c r="Y740" s="20"/>
      <c r="Z740" s="20"/>
      <c r="AA740" s="20"/>
      <c r="AB740" s="20"/>
      <c r="AC740" s="20"/>
    </row>
    <row r="741">
      <c r="A741" s="20"/>
      <c r="B741" s="20"/>
      <c r="C741" s="20"/>
      <c r="D741" s="20"/>
      <c r="E741" s="20"/>
      <c r="F741" s="20"/>
      <c r="G741" s="20"/>
      <c r="H741" s="121"/>
      <c r="I741" s="121"/>
      <c r="J741" s="121"/>
      <c r="K741" s="121"/>
      <c r="L741" s="121"/>
      <c r="M741" s="122"/>
      <c r="N741" s="122"/>
      <c r="O741" s="122"/>
      <c r="P741" s="123"/>
      <c r="Q741" s="123"/>
      <c r="R741" s="123"/>
      <c r="S741" s="20"/>
      <c r="T741" s="20"/>
      <c r="U741" s="20"/>
      <c r="V741" s="20"/>
      <c r="W741" s="20"/>
      <c r="X741" s="20"/>
      <c r="Y741" s="20"/>
      <c r="Z741" s="20"/>
      <c r="AA741" s="20"/>
      <c r="AB741" s="20"/>
      <c r="AC741" s="20"/>
    </row>
    <row r="742">
      <c r="A742" s="20"/>
      <c r="B742" s="20"/>
      <c r="C742" s="20"/>
      <c r="D742" s="20"/>
      <c r="E742" s="20"/>
      <c r="F742" s="20"/>
      <c r="G742" s="20"/>
      <c r="H742" s="121"/>
      <c r="I742" s="121"/>
      <c r="J742" s="121"/>
      <c r="K742" s="121"/>
      <c r="L742" s="121"/>
      <c r="M742" s="122"/>
      <c r="N742" s="122"/>
      <c r="O742" s="122"/>
      <c r="P742" s="123"/>
      <c r="Q742" s="123"/>
      <c r="R742" s="123"/>
      <c r="S742" s="20"/>
      <c r="T742" s="20"/>
      <c r="U742" s="20"/>
      <c r="V742" s="20"/>
      <c r="W742" s="20"/>
      <c r="X742" s="20"/>
      <c r="Y742" s="20"/>
      <c r="Z742" s="20"/>
      <c r="AA742" s="20"/>
      <c r="AB742" s="20"/>
      <c r="AC742" s="20"/>
    </row>
    <row r="743">
      <c r="A743" s="20"/>
      <c r="B743" s="20"/>
      <c r="C743" s="20"/>
      <c r="D743" s="20"/>
      <c r="E743" s="20"/>
      <c r="F743" s="20"/>
      <c r="G743" s="20"/>
      <c r="H743" s="121"/>
      <c r="I743" s="121"/>
      <c r="J743" s="121"/>
      <c r="K743" s="121"/>
      <c r="L743" s="121"/>
      <c r="M743" s="122"/>
      <c r="N743" s="122"/>
      <c r="O743" s="122"/>
      <c r="P743" s="123"/>
      <c r="Q743" s="123"/>
      <c r="R743" s="123"/>
      <c r="S743" s="20"/>
      <c r="T743" s="20"/>
      <c r="U743" s="20"/>
      <c r="V743" s="20"/>
      <c r="W743" s="20"/>
      <c r="X743" s="20"/>
      <c r="Y743" s="20"/>
      <c r="Z743" s="20"/>
      <c r="AA743" s="20"/>
      <c r="AB743" s="20"/>
      <c r="AC743" s="20"/>
    </row>
    <row r="744">
      <c r="A744" s="20"/>
      <c r="B744" s="20"/>
      <c r="C744" s="20"/>
      <c r="D744" s="20"/>
      <c r="E744" s="20"/>
      <c r="F744" s="20"/>
      <c r="G744" s="20"/>
      <c r="H744" s="121"/>
      <c r="I744" s="121"/>
      <c r="J744" s="121"/>
      <c r="K744" s="121"/>
      <c r="L744" s="121"/>
      <c r="M744" s="122"/>
      <c r="N744" s="122"/>
      <c r="O744" s="122"/>
      <c r="P744" s="123"/>
      <c r="Q744" s="123"/>
      <c r="R744" s="123"/>
      <c r="S744" s="20"/>
      <c r="T744" s="20"/>
      <c r="U744" s="20"/>
      <c r="V744" s="20"/>
      <c r="W744" s="20"/>
      <c r="X744" s="20"/>
      <c r="Y744" s="20"/>
      <c r="Z744" s="20"/>
      <c r="AA744" s="20"/>
      <c r="AB744" s="20"/>
      <c r="AC744" s="20"/>
    </row>
    <row r="745">
      <c r="A745" s="20"/>
      <c r="B745" s="20"/>
      <c r="C745" s="20"/>
      <c r="D745" s="20"/>
      <c r="E745" s="20"/>
      <c r="F745" s="20"/>
      <c r="G745" s="20"/>
      <c r="H745" s="121"/>
      <c r="I745" s="121"/>
      <c r="J745" s="121"/>
      <c r="K745" s="121"/>
      <c r="L745" s="121"/>
      <c r="M745" s="122"/>
      <c r="N745" s="122"/>
      <c r="O745" s="122"/>
      <c r="P745" s="123"/>
      <c r="Q745" s="123"/>
      <c r="R745" s="123"/>
      <c r="S745" s="20"/>
      <c r="T745" s="20"/>
      <c r="U745" s="20"/>
      <c r="V745" s="20"/>
      <c r="W745" s="20"/>
      <c r="X745" s="20"/>
      <c r="Y745" s="20"/>
      <c r="Z745" s="20"/>
      <c r="AA745" s="20"/>
      <c r="AB745" s="20"/>
      <c r="AC745" s="20"/>
    </row>
    <row r="746">
      <c r="A746" s="20"/>
      <c r="B746" s="20"/>
      <c r="C746" s="20"/>
      <c r="D746" s="20"/>
      <c r="E746" s="20"/>
      <c r="F746" s="20"/>
      <c r="G746" s="20"/>
      <c r="H746" s="121"/>
      <c r="I746" s="121"/>
      <c r="J746" s="121"/>
      <c r="K746" s="121"/>
      <c r="L746" s="121"/>
      <c r="M746" s="122"/>
      <c r="N746" s="122"/>
      <c r="O746" s="122"/>
      <c r="P746" s="123"/>
      <c r="Q746" s="123"/>
      <c r="R746" s="123"/>
      <c r="S746" s="20"/>
      <c r="T746" s="20"/>
      <c r="U746" s="20"/>
      <c r="V746" s="20"/>
      <c r="W746" s="20"/>
      <c r="X746" s="20"/>
      <c r="Y746" s="20"/>
      <c r="Z746" s="20"/>
      <c r="AA746" s="20"/>
      <c r="AB746" s="20"/>
      <c r="AC746" s="20"/>
    </row>
    <row r="747">
      <c r="A747" s="20"/>
      <c r="B747" s="20"/>
      <c r="C747" s="20"/>
      <c r="D747" s="20"/>
      <c r="E747" s="20"/>
      <c r="F747" s="20"/>
      <c r="G747" s="20"/>
      <c r="H747" s="121"/>
      <c r="I747" s="121"/>
      <c r="J747" s="121"/>
      <c r="K747" s="121"/>
      <c r="L747" s="121"/>
      <c r="M747" s="122"/>
      <c r="N747" s="122"/>
      <c r="O747" s="122"/>
      <c r="P747" s="123"/>
      <c r="Q747" s="123"/>
      <c r="R747" s="123"/>
      <c r="S747" s="20"/>
      <c r="T747" s="20"/>
      <c r="U747" s="20"/>
      <c r="V747" s="20"/>
      <c r="W747" s="20"/>
      <c r="X747" s="20"/>
      <c r="Y747" s="20"/>
      <c r="Z747" s="20"/>
      <c r="AA747" s="20"/>
      <c r="AB747" s="20"/>
      <c r="AC747" s="20"/>
    </row>
    <row r="748">
      <c r="A748" s="20"/>
      <c r="B748" s="20"/>
      <c r="C748" s="20"/>
      <c r="D748" s="20"/>
      <c r="E748" s="20"/>
      <c r="F748" s="20"/>
      <c r="G748" s="20"/>
      <c r="H748" s="121"/>
      <c r="I748" s="121"/>
      <c r="J748" s="121"/>
      <c r="K748" s="121"/>
      <c r="L748" s="121"/>
      <c r="M748" s="122"/>
      <c r="N748" s="122"/>
      <c r="O748" s="122"/>
      <c r="P748" s="123"/>
      <c r="Q748" s="123"/>
      <c r="R748" s="123"/>
      <c r="S748" s="20"/>
      <c r="T748" s="20"/>
      <c r="U748" s="20"/>
      <c r="V748" s="20"/>
      <c r="W748" s="20"/>
      <c r="X748" s="20"/>
      <c r="Y748" s="20"/>
      <c r="Z748" s="20"/>
      <c r="AA748" s="20"/>
      <c r="AB748" s="20"/>
      <c r="AC748" s="20"/>
    </row>
    <row r="749">
      <c r="A749" s="20"/>
      <c r="B749" s="20"/>
      <c r="C749" s="20"/>
      <c r="D749" s="20"/>
      <c r="E749" s="20"/>
      <c r="F749" s="20"/>
      <c r="G749" s="20"/>
      <c r="H749" s="121"/>
      <c r="I749" s="121"/>
      <c r="J749" s="121"/>
      <c r="K749" s="121"/>
      <c r="L749" s="121"/>
      <c r="M749" s="122"/>
      <c r="N749" s="122"/>
      <c r="O749" s="122"/>
      <c r="P749" s="123"/>
      <c r="Q749" s="123"/>
      <c r="R749" s="123"/>
      <c r="S749" s="20"/>
      <c r="T749" s="20"/>
      <c r="U749" s="20"/>
      <c r="V749" s="20"/>
      <c r="W749" s="20"/>
      <c r="X749" s="20"/>
      <c r="Y749" s="20"/>
      <c r="Z749" s="20"/>
      <c r="AA749" s="20"/>
      <c r="AB749" s="20"/>
      <c r="AC749" s="20"/>
    </row>
    <row r="750">
      <c r="A750" s="20"/>
      <c r="B750" s="20"/>
      <c r="C750" s="20"/>
      <c r="D750" s="20"/>
      <c r="E750" s="20"/>
      <c r="F750" s="20"/>
      <c r="G750" s="20"/>
      <c r="H750" s="121"/>
      <c r="I750" s="121"/>
      <c r="J750" s="121"/>
      <c r="K750" s="121"/>
      <c r="L750" s="121"/>
      <c r="M750" s="122"/>
      <c r="N750" s="122"/>
      <c r="O750" s="122"/>
      <c r="P750" s="123"/>
      <c r="Q750" s="123"/>
      <c r="R750" s="123"/>
      <c r="S750" s="20"/>
      <c r="T750" s="20"/>
      <c r="U750" s="20"/>
      <c r="V750" s="20"/>
      <c r="W750" s="20"/>
      <c r="X750" s="20"/>
      <c r="Y750" s="20"/>
      <c r="Z750" s="20"/>
      <c r="AA750" s="20"/>
      <c r="AB750" s="20"/>
      <c r="AC750" s="20"/>
    </row>
    <row r="751">
      <c r="A751" s="20"/>
      <c r="B751" s="20"/>
      <c r="C751" s="20"/>
      <c r="D751" s="20"/>
      <c r="E751" s="20"/>
      <c r="F751" s="20"/>
      <c r="G751" s="20"/>
      <c r="H751" s="121"/>
      <c r="I751" s="121"/>
      <c r="J751" s="121"/>
      <c r="K751" s="121"/>
      <c r="L751" s="121"/>
      <c r="M751" s="122"/>
      <c r="N751" s="122"/>
      <c r="O751" s="122"/>
      <c r="P751" s="123"/>
      <c r="Q751" s="123"/>
      <c r="R751" s="123"/>
      <c r="S751" s="20"/>
      <c r="T751" s="20"/>
      <c r="U751" s="20"/>
      <c r="V751" s="20"/>
      <c r="W751" s="20"/>
      <c r="X751" s="20"/>
      <c r="Y751" s="20"/>
      <c r="Z751" s="20"/>
      <c r="AA751" s="20"/>
      <c r="AB751" s="20"/>
      <c r="AC751" s="20"/>
    </row>
    <row r="752">
      <c r="A752" s="20"/>
      <c r="B752" s="20"/>
      <c r="C752" s="20"/>
      <c r="D752" s="20"/>
      <c r="E752" s="20"/>
      <c r="F752" s="20"/>
      <c r="G752" s="20"/>
      <c r="H752" s="121"/>
      <c r="I752" s="121"/>
      <c r="J752" s="121"/>
      <c r="K752" s="121"/>
      <c r="L752" s="121"/>
      <c r="M752" s="122"/>
      <c r="N752" s="122"/>
      <c r="O752" s="122"/>
      <c r="P752" s="123"/>
      <c r="Q752" s="123"/>
      <c r="R752" s="123"/>
      <c r="S752" s="20"/>
      <c r="T752" s="20"/>
      <c r="U752" s="20"/>
      <c r="V752" s="20"/>
      <c r="W752" s="20"/>
      <c r="X752" s="20"/>
      <c r="Y752" s="20"/>
      <c r="Z752" s="20"/>
      <c r="AA752" s="20"/>
      <c r="AB752" s="20"/>
      <c r="AC752" s="20"/>
    </row>
    <row r="753">
      <c r="A753" s="20"/>
      <c r="B753" s="20"/>
      <c r="C753" s="20"/>
      <c r="D753" s="20"/>
      <c r="E753" s="20"/>
      <c r="F753" s="20"/>
      <c r="G753" s="20"/>
      <c r="H753" s="121"/>
      <c r="I753" s="121"/>
      <c r="J753" s="121"/>
      <c r="K753" s="121"/>
      <c r="L753" s="121"/>
      <c r="M753" s="122"/>
      <c r="N753" s="122"/>
      <c r="O753" s="122"/>
      <c r="P753" s="123"/>
      <c r="Q753" s="123"/>
      <c r="R753" s="123"/>
      <c r="S753" s="20"/>
      <c r="T753" s="20"/>
      <c r="U753" s="20"/>
      <c r="V753" s="20"/>
      <c r="W753" s="20"/>
      <c r="X753" s="20"/>
      <c r="Y753" s="20"/>
      <c r="Z753" s="20"/>
      <c r="AA753" s="20"/>
      <c r="AB753" s="20"/>
      <c r="AC753" s="20"/>
    </row>
    <row r="754">
      <c r="A754" s="20"/>
      <c r="B754" s="20"/>
      <c r="C754" s="20"/>
      <c r="D754" s="20"/>
      <c r="E754" s="20"/>
      <c r="F754" s="20"/>
      <c r="G754" s="20"/>
      <c r="H754" s="121"/>
      <c r="I754" s="121"/>
      <c r="J754" s="121"/>
      <c r="K754" s="121"/>
      <c r="L754" s="121"/>
      <c r="M754" s="122"/>
      <c r="N754" s="122"/>
      <c r="O754" s="122"/>
      <c r="P754" s="123"/>
      <c r="Q754" s="123"/>
      <c r="R754" s="123"/>
      <c r="S754" s="20"/>
      <c r="T754" s="20"/>
      <c r="U754" s="20"/>
      <c r="V754" s="20"/>
      <c r="W754" s="20"/>
      <c r="X754" s="20"/>
      <c r="Y754" s="20"/>
      <c r="Z754" s="20"/>
      <c r="AA754" s="20"/>
      <c r="AB754" s="20"/>
      <c r="AC754" s="20"/>
    </row>
    <row r="755">
      <c r="A755" s="20"/>
      <c r="B755" s="20"/>
      <c r="C755" s="20"/>
      <c r="D755" s="20"/>
      <c r="E755" s="20"/>
      <c r="F755" s="20"/>
      <c r="G755" s="20"/>
      <c r="H755" s="121"/>
      <c r="I755" s="121"/>
      <c r="J755" s="121"/>
      <c r="K755" s="121"/>
      <c r="L755" s="121"/>
      <c r="M755" s="122"/>
      <c r="N755" s="122"/>
      <c r="O755" s="122"/>
      <c r="P755" s="123"/>
      <c r="Q755" s="123"/>
      <c r="R755" s="123"/>
      <c r="S755" s="20"/>
      <c r="T755" s="20"/>
      <c r="U755" s="20"/>
      <c r="V755" s="20"/>
      <c r="W755" s="20"/>
      <c r="X755" s="20"/>
      <c r="Y755" s="20"/>
      <c r="Z755" s="20"/>
      <c r="AA755" s="20"/>
      <c r="AB755" s="20"/>
      <c r="AC755" s="20"/>
    </row>
    <row r="756">
      <c r="A756" s="20"/>
      <c r="B756" s="20"/>
      <c r="C756" s="20"/>
      <c r="D756" s="20"/>
      <c r="E756" s="20"/>
      <c r="F756" s="20"/>
      <c r="G756" s="20"/>
      <c r="H756" s="121"/>
      <c r="I756" s="121"/>
      <c r="J756" s="121"/>
      <c r="K756" s="121"/>
      <c r="L756" s="121"/>
      <c r="M756" s="122"/>
      <c r="N756" s="122"/>
      <c r="O756" s="122"/>
      <c r="P756" s="123"/>
      <c r="Q756" s="123"/>
      <c r="R756" s="123"/>
      <c r="S756" s="20"/>
      <c r="T756" s="20"/>
      <c r="U756" s="20"/>
      <c r="V756" s="20"/>
      <c r="W756" s="20"/>
      <c r="X756" s="20"/>
      <c r="Y756" s="20"/>
      <c r="Z756" s="20"/>
      <c r="AA756" s="20"/>
      <c r="AB756" s="20"/>
      <c r="AC756" s="20"/>
    </row>
    <row r="757">
      <c r="A757" s="20"/>
      <c r="B757" s="20"/>
      <c r="C757" s="20"/>
      <c r="D757" s="20"/>
      <c r="E757" s="20"/>
      <c r="F757" s="20"/>
      <c r="G757" s="20"/>
      <c r="H757" s="121"/>
      <c r="I757" s="121"/>
      <c r="J757" s="121"/>
      <c r="K757" s="121"/>
      <c r="L757" s="121"/>
      <c r="M757" s="122"/>
      <c r="N757" s="122"/>
      <c r="O757" s="122"/>
      <c r="P757" s="123"/>
      <c r="Q757" s="123"/>
      <c r="R757" s="123"/>
      <c r="S757" s="20"/>
      <c r="T757" s="20"/>
      <c r="U757" s="20"/>
      <c r="V757" s="20"/>
      <c r="W757" s="20"/>
      <c r="X757" s="20"/>
      <c r="Y757" s="20"/>
      <c r="Z757" s="20"/>
      <c r="AA757" s="20"/>
      <c r="AB757" s="20"/>
      <c r="AC757" s="20"/>
    </row>
    <row r="758">
      <c r="A758" s="20"/>
      <c r="B758" s="20"/>
      <c r="C758" s="20"/>
      <c r="D758" s="20"/>
      <c r="E758" s="20"/>
      <c r="F758" s="20"/>
      <c r="G758" s="20"/>
      <c r="H758" s="121"/>
      <c r="I758" s="121"/>
      <c r="J758" s="121"/>
      <c r="K758" s="121"/>
      <c r="L758" s="121"/>
      <c r="M758" s="122"/>
      <c r="N758" s="122"/>
      <c r="O758" s="122"/>
      <c r="P758" s="123"/>
      <c r="Q758" s="123"/>
      <c r="R758" s="123"/>
      <c r="S758" s="20"/>
      <c r="T758" s="20"/>
      <c r="U758" s="20"/>
      <c r="V758" s="20"/>
      <c r="W758" s="20"/>
      <c r="X758" s="20"/>
      <c r="Y758" s="20"/>
      <c r="Z758" s="20"/>
      <c r="AA758" s="20"/>
      <c r="AB758" s="20"/>
      <c r="AC758" s="20"/>
    </row>
    <row r="759">
      <c r="A759" s="20"/>
      <c r="B759" s="20"/>
      <c r="C759" s="20"/>
      <c r="D759" s="20"/>
      <c r="E759" s="20"/>
      <c r="F759" s="20"/>
      <c r="G759" s="20"/>
      <c r="H759" s="121"/>
      <c r="I759" s="121"/>
      <c r="J759" s="121"/>
      <c r="K759" s="121"/>
      <c r="L759" s="121"/>
      <c r="M759" s="122"/>
      <c r="N759" s="122"/>
      <c r="O759" s="122"/>
      <c r="P759" s="123"/>
      <c r="Q759" s="123"/>
      <c r="R759" s="123"/>
      <c r="S759" s="20"/>
      <c r="T759" s="20"/>
      <c r="U759" s="20"/>
      <c r="V759" s="20"/>
      <c r="W759" s="20"/>
      <c r="X759" s="20"/>
      <c r="Y759" s="20"/>
      <c r="Z759" s="20"/>
      <c r="AA759" s="20"/>
      <c r="AB759" s="20"/>
      <c r="AC759" s="20"/>
    </row>
    <row r="760">
      <c r="A760" s="20"/>
      <c r="B760" s="20"/>
      <c r="C760" s="20"/>
      <c r="D760" s="20"/>
      <c r="E760" s="20"/>
      <c r="F760" s="20"/>
      <c r="G760" s="20"/>
      <c r="H760" s="121"/>
      <c r="I760" s="121"/>
      <c r="J760" s="121"/>
      <c r="K760" s="121"/>
      <c r="L760" s="121"/>
      <c r="M760" s="122"/>
      <c r="N760" s="122"/>
      <c r="O760" s="122"/>
      <c r="P760" s="123"/>
      <c r="Q760" s="123"/>
      <c r="R760" s="123"/>
      <c r="S760" s="20"/>
      <c r="T760" s="20"/>
      <c r="U760" s="20"/>
      <c r="V760" s="20"/>
      <c r="W760" s="20"/>
      <c r="X760" s="20"/>
      <c r="Y760" s="20"/>
      <c r="Z760" s="20"/>
      <c r="AA760" s="20"/>
      <c r="AB760" s="20"/>
      <c r="AC760" s="20"/>
    </row>
    <row r="761">
      <c r="A761" s="20"/>
      <c r="B761" s="20"/>
      <c r="C761" s="20"/>
      <c r="D761" s="20"/>
      <c r="E761" s="20"/>
      <c r="F761" s="20"/>
      <c r="G761" s="20"/>
      <c r="H761" s="121"/>
      <c r="I761" s="121"/>
      <c r="J761" s="121"/>
      <c r="K761" s="121"/>
      <c r="L761" s="121"/>
      <c r="M761" s="122"/>
      <c r="N761" s="122"/>
      <c r="O761" s="122"/>
      <c r="P761" s="123"/>
      <c r="Q761" s="123"/>
      <c r="R761" s="123"/>
      <c r="S761" s="20"/>
      <c r="T761" s="20"/>
      <c r="U761" s="20"/>
      <c r="V761" s="20"/>
      <c r="W761" s="20"/>
      <c r="X761" s="20"/>
      <c r="Y761" s="20"/>
      <c r="Z761" s="20"/>
      <c r="AA761" s="20"/>
      <c r="AB761" s="20"/>
      <c r="AC761" s="20"/>
    </row>
    <row r="762">
      <c r="A762" s="20"/>
      <c r="B762" s="20"/>
      <c r="C762" s="20"/>
      <c r="D762" s="20"/>
      <c r="E762" s="20"/>
      <c r="F762" s="20"/>
      <c r="G762" s="20"/>
      <c r="H762" s="121"/>
      <c r="I762" s="121"/>
      <c r="J762" s="121"/>
      <c r="K762" s="121"/>
      <c r="L762" s="121"/>
      <c r="M762" s="122"/>
      <c r="N762" s="122"/>
      <c r="O762" s="122"/>
      <c r="P762" s="123"/>
      <c r="Q762" s="123"/>
      <c r="R762" s="123"/>
      <c r="S762" s="20"/>
      <c r="T762" s="20"/>
      <c r="U762" s="20"/>
      <c r="V762" s="20"/>
      <c r="W762" s="20"/>
      <c r="X762" s="20"/>
      <c r="Y762" s="20"/>
      <c r="Z762" s="20"/>
      <c r="AA762" s="20"/>
      <c r="AB762" s="20"/>
      <c r="AC762" s="20"/>
    </row>
    <row r="763">
      <c r="A763" s="20"/>
      <c r="B763" s="20"/>
      <c r="C763" s="20"/>
      <c r="D763" s="20"/>
      <c r="E763" s="20"/>
      <c r="F763" s="20"/>
      <c r="G763" s="20"/>
      <c r="H763" s="121"/>
      <c r="I763" s="121"/>
      <c r="J763" s="121"/>
      <c r="K763" s="121"/>
      <c r="L763" s="121"/>
      <c r="M763" s="122"/>
      <c r="N763" s="122"/>
      <c r="O763" s="122"/>
      <c r="P763" s="123"/>
      <c r="Q763" s="123"/>
      <c r="R763" s="123"/>
      <c r="S763" s="20"/>
      <c r="T763" s="20"/>
      <c r="U763" s="20"/>
      <c r="V763" s="20"/>
      <c r="W763" s="20"/>
      <c r="X763" s="20"/>
      <c r="Y763" s="20"/>
      <c r="Z763" s="20"/>
      <c r="AA763" s="20"/>
      <c r="AB763" s="20"/>
      <c r="AC763" s="20"/>
    </row>
    <row r="764">
      <c r="A764" s="20"/>
      <c r="B764" s="20"/>
      <c r="C764" s="20"/>
      <c r="D764" s="20"/>
      <c r="E764" s="20"/>
      <c r="F764" s="20"/>
      <c r="G764" s="20"/>
      <c r="H764" s="121"/>
      <c r="I764" s="121"/>
      <c r="J764" s="121"/>
      <c r="K764" s="121"/>
      <c r="L764" s="121"/>
      <c r="M764" s="122"/>
      <c r="N764" s="122"/>
      <c r="O764" s="122"/>
      <c r="P764" s="123"/>
      <c r="Q764" s="123"/>
      <c r="R764" s="123"/>
      <c r="S764" s="20"/>
      <c r="T764" s="20"/>
      <c r="U764" s="20"/>
      <c r="V764" s="20"/>
      <c r="W764" s="20"/>
      <c r="X764" s="20"/>
      <c r="Y764" s="20"/>
      <c r="Z764" s="20"/>
      <c r="AA764" s="20"/>
      <c r="AB764" s="20"/>
      <c r="AC764" s="20"/>
    </row>
    <row r="765">
      <c r="A765" s="20"/>
      <c r="B765" s="20"/>
      <c r="C765" s="20"/>
      <c r="D765" s="20"/>
      <c r="E765" s="20"/>
      <c r="F765" s="20"/>
      <c r="G765" s="20"/>
      <c r="H765" s="121"/>
      <c r="I765" s="121"/>
      <c r="J765" s="121"/>
      <c r="K765" s="121"/>
      <c r="L765" s="121"/>
      <c r="M765" s="122"/>
      <c r="N765" s="122"/>
      <c r="O765" s="122"/>
      <c r="P765" s="123"/>
      <c r="Q765" s="123"/>
      <c r="R765" s="123"/>
      <c r="S765" s="20"/>
      <c r="T765" s="20"/>
      <c r="U765" s="20"/>
      <c r="V765" s="20"/>
      <c r="W765" s="20"/>
      <c r="X765" s="20"/>
      <c r="Y765" s="20"/>
      <c r="Z765" s="20"/>
      <c r="AA765" s="20"/>
      <c r="AB765" s="20"/>
      <c r="AC765" s="20"/>
    </row>
    <row r="766">
      <c r="A766" s="20"/>
      <c r="B766" s="20"/>
      <c r="C766" s="20"/>
      <c r="D766" s="20"/>
      <c r="E766" s="20"/>
      <c r="F766" s="20"/>
      <c r="G766" s="20"/>
      <c r="H766" s="121"/>
      <c r="I766" s="121"/>
      <c r="J766" s="121"/>
      <c r="K766" s="121"/>
      <c r="L766" s="121"/>
      <c r="M766" s="122"/>
      <c r="N766" s="122"/>
      <c r="O766" s="122"/>
      <c r="P766" s="123"/>
      <c r="Q766" s="123"/>
      <c r="R766" s="123"/>
      <c r="S766" s="20"/>
      <c r="T766" s="20"/>
      <c r="U766" s="20"/>
      <c r="V766" s="20"/>
      <c r="W766" s="20"/>
      <c r="X766" s="20"/>
      <c r="Y766" s="20"/>
      <c r="Z766" s="20"/>
      <c r="AA766" s="20"/>
      <c r="AB766" s="20"/>
      <c r="AC766" s="20"/>
    </row>
    <row r="767">
      <c r="A767" s="20"/>
      <c r="B767" s="20"/>
      <c r="C767" s="20"/>
      <c r="D767" s="20"/>
      <c r="E767" s="20"/>
      <c r="F767" s="20"/>
      <c r="G767" s="20"/>
      <c r="H767" s="121"/>
      <c r="I767" s="121"/>
      <c r="J767" s="121"/>
      <c r="K767" s="121"/>
      <c r="L767" s="121"/>
      <c r="M767" s="122"/>
      <c r="N767" s="122"/>
      <c r="O767" s="122"/>
      <c r="P767" s="123"/>
      <c r="Q767" s="123"/>
      <c r="R767" s="123"/>
      <c r="S767" s="20"/>
      <c r="T767" s="20"/>
      <c r="U767" s="20"/>
      <c r="V767" s="20"/>
      <c r="W767" s="20"/>
      <c r="X767" s="20"/>
      <c r="Y767" s="20"/>
      <c r="Z767" s="20"/>
      <c r="AA767" s="20"/>
      <c r="AB767" s="20"/>
      <c r="AC767" s="20"/>
    </row>
    <row r="768">
      <c r="A768" s="20"/>
      <c r="B768" s="20"/>
      <c r="C768" s="20"/>
      <c r="D768" s="20"/>
      <c r="E768" s="20"/>
      <c r="F768" s="20"/>
      <c r="G768" s="20"/>
      <c r="H768" s="121"/>
      <c r="I768" s="121"/>
      <c r="J768" s="121"/>
      <c r="K768" s="121"/>
      <c r="L768" s="121"/>
      <c r="M768" s="122"/>
      <c r="N768" s="122"/>
      <c r="O768" s="122"/>
      <c r="P768" s="123"/>
      <c r="Q768" s="123"/>
      <c r="R768" s="123"/>
      <c r="S768" s="20"/>
      <c r="T768" s="20"/>
      <c r="U768" s="20"/>
      <c r="V768" s="20"/>
      <c r="W768" s="20"/>
      <c r="X768" s="20"/>
      <c r="Y768" s="20"/>
      <c r="Z768" s="20"/>
      <c r="AA768" s="20"/>
      <c r="AB768" s="20"/>
      <c r="AC768" s="20"/>
    </row>
    <row r="769">
      <c r="A769" s="20"/>
      <c r="B769" s="20"/>
      <c r="C769" s="20"/>
      <c r="D769" s="20"/>
      <c r="E769" s="20"/>
      <c r="F769" s="20"/>
      <c r="G769" s="20"/>
      <c r="H769" s="121"/>
      <c r="I769" s="121"/>
      <c r="J769" s="121"/>
      <c r="K769" s="121"/>
      <c r="L769" s="121"/>
      <c r="M769" s="122"/>
      <c r="N769" s="122"/>
      <c r="O769" s="122"/>
      <c r="P769" s="123"/>
      <c r="Q769" s="123"/>
      <c r="R769" s="123"/>
      <c r="S769" s="20"/>
      <c r="T769" s="20"/>
      <c r="U769" s="20"/>
      <c r="V769" s="20"/>
      <c r="W769" s="20"/>
      <c r="X769" s="20"/>
      <c r="Y769" s="20"/>
      <c r="Z769" s="20"/>
      <c r="AA769" s="20"/>
      <c r="AB769" s="20"/>
      <c r="AC769" s="20"/>
    </row>
    <row r="770">
      <c r="A770" s="20"/>
      <c r="B770" s="20"/>
      <c r="C770" s="20"/>
      <c r="D770" s="20"/>
      <c r="E770" s="20"/>
      <c r="F770" s="20"/>
      <c r="G770" s="20"/>
      <c r="H770" s="121"/>
      <c r="I770" s="121"/>
      <c r="J770" s="121"/>
      <c r="K770" s="121"/>
      <c r="L770" s="121"/>
      <c r="M770" s="122"/>
      <c r="N770" s="122"/>
      <c r="O770" s="122"/>
      <c r="P770" s="123"/>
      <c r="Q770" s="123"/>
      <c r="R770" s="123"/>
      <c r="S770" s="20"/>
      <c r="T770" s="20"/>
      <c r="U770" s="20"/>
      <c r="V770" s="20"/>
      <c r="W770" s="20"/>
      <c r="X770" s="20"/>
      <c r="Y770" s="20"/>
      <c r="Z770" s="20"/>
      <c r="AA770" s="20"/>
      <c r="AB770" s="20"/>
      <c r="AC770" s="20"/>
    </row>
    <row r="771">
      <c r="A771" s="20"/>
      <c r="B771" s="20"/>
      <c r="C771" s="20"/>
      <c r="D771" s="20"/>
      <c r="E771" s="20"/>
      <c r="F771" s="20"/>
      <c r="G771" s="20"/>
      <c r="H771" s="121"/>
      <c r="I771" s="121"/>
      <c r="J771" s="121"/>
      <c r="K771" s="121"/>
      <c r="L771" s="121"/>
      <c r="M771" s="122"/>
      <c r="N771" s="122"/>
      <c r="O771" s="122"/>
      <c r="P771" s="123"/>
      <c r="Q771" s="123"/>
      <c r="R771" s="123"/>
      <c r="S771" s="20"/>
      <c r="T771" s="20"/>
      <c r="U771" s="20"/>
      <c r="V771" s="20"/>
      <c r="W771" s="20"/>
      <c r="X771" s="20"/>
      <c r="Y771" s="20"/>
      <c r="Z771" s="20"/>
      <c r="AA771" s="20"/>
      <c r="AB771" s="20"/>
      <c r="AC771" s="20"/>
    </row>
    <row r="772">
      <c r="A772" s="20"/>
      <c r="B772" s="20"/>
      <c r="C772" s="20"/>
      <c r="D772" s="20"/>
      <c r="E772" s="20"/>
      <c r="F772" s="20"/>
      <c r="G772" s="20"/>
      <c r="H772" s="121"/>
      <c r="I772" s="121"/>
      <c r="J772" s="121"/>
      <c r="K772" s="121"/>
      <c r="L772" s="121"/>
      <c r="M772" s="122"/>
      <c r="N772" s="122"/>
      <c r="O772" s="122"/>
      <c r="P772" s="123"/>
      <c r="Q772" s="123"/>
      <c r="R772" s="123"/>
      <c r="S772" s="20"/>
      <c r="T772" s="20"/>
      <c r="U772" s="20"/>
      <c r="V772" s="20"/>
      <c r="W772" s="20"/>
      <c r="X772" s="20"/>
      <c r="Y772" s="20"/>
      <c r="Z772" s="20"/>
      <c r="AA772" s="20"/>
      <c r="AB772" s="20"/>
      <c r="AC772" s="20"/>
    </row>
    <row r="773">
      <c r="A773" s="20"/>
      <c r="B773" s="20"/>
      <c r="C773" s="20"/>
      <c r="D773" s="20"/>
      <c r="E773" s="20"/>
      <c r="F773" s="20"/>
      <c r="G773" s="20"/>
      <c r="H773" s="121"/>
      <c r="I773" s="121"/>
      <c r="J773" s="121"/>
      <c r="K773" s="121"/>
      <c r="L773" s="121"/>
      <c r="M773" s="122"/>
      <c r="N773" s="122"/>
      <c r="O773" s="122"/>
      <c r="P773" s="123"/>
      <c r="Q773" s="123"/>
      <c r="R773" s="123"/>
      <c r="S773" s="20"/>
      <c r="T773" s="20"/>
      <c r="U773" s="20"/>
      <c r="V773" s="20"/>
      <c r="W773" s="20"/>
      <c r="X773" s="20"/>
      <c r="Y773" s="20"/>
      <c r="Z773" s="20"/>
      <c r="AA773" s="20"/>
      <c r="AB773" s="20"/>
      <c r="AC773" s="20"/>
    </row>
    <row r="774">
      <c r="A774" s="20"/>
      <c r="B774" s="20"/>
      <c r="C774" s="20"/>
      <c r="D774" s="20"/>
      <c r="E774" s="20"/>
      <c r="F774" s="20"/>
      <c r="G774" s="20"/>
      <c r="H774" s="121"/>
      <c r="I774" s="121"/>
      <c r="J774" s="121"/>
      <c r="K774" s="121"/>
      <c r="L774" s="121"/>
      <c r="M774" s="122"/>
      <c r="N774" s="122"/>
      <c r="O774" s="122"/>
      <c r="P774" s="123"/>
      <c r="Q774" s="123"/>
      <c r="R774" s="123"/>
      <c r="S774" s="20"/>
      <c r="T774" s="20"/>
      <c r="U774" s="20"/>
      <c r="V774" s="20"/>
      <c r="W774" s="20"/>
      <c r="X774" s="20"/>
      <c r="Y774" s="20"/>
      <c r="Z774" s="20"/>
      <c r="AA774" s="20"/>
      <c r="AB774" s="20"/>
      <c r="AC774" s="20"/>
    </row>
    <row r="775">
      <c r="A775" s="20"/>
      <c r="B775" s="20"/>
      <c r="C775" s="20"/>
      <c r="D775" s="20"/>
      <c r="E775" s="20"/>
      <c r="F775" s="20"/>
      <c r="G775" s="20"/>
      <c r="H775" s="121"/>
      <c r="I775" s="121"/>
      <c r="J775" s="121"/>
      <c r="K775" s="121"/>
      <c r="L775" s="121"/>
      <c r="M775" s="122"/>
      <c r="N775" s="122"/>
      <c r="O775" s="122"/>
      <c r="P775" s="123"/>
      <c r="Q775" s="123"/>
      <c r="R775" s="123"/>
      <c r="S775" s="20"/>
      <c r="T775" s="20"/>
      <c r="U775" s="20"/>
      <c r="V775" s="20"/>
      <c r="W775" s="20"/>
      <c r="X775" s="20"/>
      <c r="Y775" s="20"/>
      <c r="Z775" s="20"/>
      <c r="AA775" s="20"/>
      <c r="AB775" s="20"/>
      <c r="AC775" s="20"/>
    </row>
    <row r="776">
      <c r="A776" s="20"/>
      <c r="B776" s="20"/>
      <c r="C776" s="20"/>
      <c r="D776" s="20"/>
      <c r="E776" s="20"/>
      <c r="F776" s="20"/>
      <c r="G776" s="20"/>
      <c r="H776" s="121"/>
      <c r="I776" s="121"/>
      <c r="J776" s="121"/>
      <c r="K776" s="121"/>
      <c r="L776" s="121"/>
      <c r="M776" s="122"/>
      <c r="N776" s="122"/>
      <c r="O776" s="122"/>
      <c r="P776" s="123"/>
      <c r="Q776" s="123"/>
      <c r="R776" s="123"/>
      <c r="S776" s="20"/>
      <c r="T776" s="20"/>
      <c r="U776" s="20"/>
      <c r="V776" s="20"/>
      <c r="W776" s="20"/>
      <c r="X776" s="20"/>
      <c r="Y776" s="20"/>
      <c r="Z776" s="20"/>
      <c r="AA776" s="20"/>
      <c r="AB776" s="20"/>
      <c r="AC776" s="20"/>
    </row>
    <row r="777">
      <c r="A777" s="20"/>
      <c r="B777" s="20"/>
      <c r="C777" s="20"/>
      <c r="D777" s="20"/>
      <c r="E777" s="20"/>
      <c r="F777" s="20"/>
      <c r="G777" s="20"/>
      <c r="H777" s="121"/>
      <c r="I777" s="121"/>
      <c r="J777" s="121"/>
      <c r="K777" s="121"/>
      <c r="L777" s="121"/>
      <c r="M777" s="122"/>
      <c r="N777" s="122"/>
      <c r="O777" s="122"/>
      <c r="P777" s="123"/>
      <c r="Q777" s="123"/>
      <c r="R777" s="123"/>
      <c r="S777" s="20"/>
      <c r="T777" s="20"/>
      <c r="U777" s="20"/>
      <c r="V777" s="20"/>
      <c r="W777" s="20"/>
      <c r="X777" s="20"/>
      <c r="Y777" s="20"/>
      <c r="Z777" s="20"/>
      <c r="AA777" s="20"/>
      <c r="AB777" s="20"/>
      <c r="AC777" s="20"/>
    </row>
    <row r="778">
      <c r="A778" s="20"/>
      <c r="B778" s="20"/>
      <c r="C778" s="20"/>
      <c r="D778" s="20"/>
      <c r="E778" s="20"/>
      <c r="F778" s="20"/>
      <c r="G778" s="20"/>
      <c r="H778" s="121"/>
      <c r="I778" s="121"/>
      <c r="J778" s="121"/>
      <c r="K778" s="121"/>
      <c r="L778" s="121"/>
      <c r="M778" s="122"/>
      <c r="N778" s="122"/>
      <c r="O778" s="122"/>
      <c r="P778" s="123"/>
      <c r="Q778" s="123"/>
      <c r="R778" s="123"/>
      <c r="S778" s="20"/>
      <c r="T778" s="20"/>
      <c r="U778" s="20"/>
      <c r="V778" s="20"/>
      <c r="W778" s="20"/>
      <c r="X778" s="20"/>
      <c r="Y778" s="20"/>
      <c r="Z778" s="20"/>
      <c r="AA778" s="20"/>
      <c r="AB778" s="20"/>
      <c r="AC778" s="20"/>
    </row>
    <row r="779">
      <c r="A779" s="20"/>
      <c r="B779" s="20"/>
      <c r="C779" s="20"/>
      <c r="D779" s="20"/>
      <c r="E779" s="20"/>
      <c r="F779" s="20"/>
      <c r="G779" s="20"/>
      <c r="H779" s="121"/>
      <c r="I779" s="121"/>
      <c r="J779" s="121"/>
      <c r="K779" s="121"/>
      <c r="L779" s="121"/>
      <c r="M779" s="122"/>
      <c r="N779" s="122"/>
      <c r="O779" s="122"/>
      <c r="P779" s="123"/>
      <c r="Q779" s="123"/>
      <c r="R779" s="123"/>
      <c r="S779" s="20"/>
      <c r="T779" s="20"/>
      <c r="U779" s="20"/>
      <c r="V779" s="20"/>
      <c r="W779" s="20"/>
      <c r="X779" s="20"/>
      <c r="Y779" s="20"/>
      <c r="Z779" s="20"/>
      <c r="AA779" s="20"/>
      <c r="AB779" s="20"/>
      <c r="AC779" s="20"/>
    </row>
    <row r="780">
      <c r="A780" s="20"/>
      <c r="B780" s="20"/>
      <c r="C780" s="20"/>
      <c r="D780" s="20"/>
      <c r="E780" s="20"/>
      <c r="F780" s="20"/>
      <c r="G780" s="20"/>
      <c r="H780" s="121"/>
      <c r="I780" s="121"/>
      <c r="J780" s="121"/>
      <c r="K780" s="121"/>
      <c r="L780" s="121"/>
      <c r="M780" s="122"/>
      <c r="N780" s="122"/>
      <c r="O780" s="122"/>
      <c r="P780" s="123"/>
      <c r="Q780" s="123"/>
      <c r="R780" s="123"/>
      <c r="S780" s="20"/>
      <c r="T780" s="20"/>
      <c r="U780" s="20"/>
      <c r="V780" s="20"/>
      <c r="W780" s="20"/>
      <c r="X780" s="20"/>
      <c r="Y780" s="20"/>
      <c r="Z780" s="20"/>
      <c r="AA780" s="20"/>
      <c r="AB780" s="20"/>
      <c r="AC780" s="20"/>
    </row>
    <row r="781">
      <c r="A781" s="20"/>
      <c r="B781" s="20"/>
      <c r="C781" s="20"/>
      <c r="D781" s="20"/>
      <c r="E781" s="20"/>
      <c r="F781" s="20"/>
      <c r="G781" s="20"/>
      <c r="H781" s="121"/>
      <c r="I781" s="121"/>
      <c r="J781" s="121"/>
      <c r="K781" s="121"/>
      <c r="L781" s="121"/>
      <c r="M781" s="122"/>
      <c r="N781" s="122"/>
      <c r="O781" s="122"/>
      <c r="P781" s="123"/>
      <c r="Q781" s="123"/>
      <c r="R781" s="123"/>
      <c r="S781" s="20"/>
      <c r="T781" s="20"/>
      <c r="U781" s="20"/>
      <c r="V781" s="20"/>
      <c r="W781" s="20"/>
      <c r="X781" s="20"/>
      <c r="Y781" s="20"/>
      <c r="Z781" s="20"/>
      <c r="AA781" s="20"/>
      <c r="AB781" s="20"/>
      <c r="AC781" s="20"/>
    </row>
    <row r="782">
      <c r="A782" s="20"/>
      <c r="B782" s="20"/>
      <c r="C782" s="20"/>
      <c r="D782" s="20"/>
      <c r="E782" s="20"/>
      <c r="F782" s="20"/>
      <c r="G782" s="20"/>
      <c r="H782" s="121"/>
      <c r="I782" s="121"/>
      <c r="J782" s="121"/>
      <c r="K782" s="121"/>
      <c r="L782" s="121"/>
      <c r="M782" s="122"/>
      <c r="N782" s="122"/>
      <c r="O782" s="122"/>
      <c r="P782" s="123"/>
      <c r="Q782" s="123"/>
      <c r="R782" s="123"/>
      <c r="S782" s="20"/>
      <c r="T782" s="20"/>
      <c r="U782" s="20"/>
      <c r="V782" s="20"/>
      <c r="W782" s="20"/>
      <c r="X782" s="20"/>
      <c r="Y782" s="20"/>
      <c r="Z782" s="20"/>
      <c r="AA782" s="20"/>
      <c r="AB782" s="20"/>
      <c r="AC782" s="20"/>
    </row>
    <row r="783">
      <c r="A783" s="20"/>
      <c r="B783" s="20"/>
      <c r="C783" s="20"/>
      <c r="D783" s="20"/>
      <c r="E783" s="20"/>
      <c r="F783" s="20"/>
      <c r="G783" s="20"/>
      <c r="H783" s="121"/>
      <c r="I783" s="121"/>
      <c r="J783" s="121"/>
      <c r="K783" s="121"/>
      <c r="L783" s="121"/>
      <c r="M783" s="122"/>
      <c r="N783" s="122"/>
      <c r="O783" s="122"/>
      <c r="P783" s="123"/>
      <c r="Q783" s="123"/>
      <c r="R783" s="123"/>
      <c r="S783" s="20"/>
      <c r="T783" s="20"/>
      <c r="U783" s="20"/>
      <c r="V783" s="20"/>
      <c r="W783" s="20"/>
      <c r="X783" s="20"/>
      <c r="Y783" s="20"/>
      <c r="Z783" s="20"/>
      <c r="AA783" s="20"/>
      <c r="AB783" s="20"/>
      <c r="AC783" s="20"/>
    </row>
    <row r="784">
      <c r="A784" s="20"/>
      <c r="B784" s="20"/>
      <c r="C784" s="20"/>
      <c r="D784" s="20"/>
      <c r="E784" s="20"/>
      <c r="F784" s="20"/>
      <c r="G784" s="20"/>
      <c r="H784" s="121"/>
      <c r="I784" s="121"/>
      <c r="J784" s="121"/>
      <c r="K784" s="121"/>
      <c r="L784" s="121"/>
      <c r="M784" s="122"/>
      <c r="N784" s="122"/>
      <c r="O784" s="122"/>
      <c r="P784" s="123"/>
      <c r="Q784" s="123"/>
      <c r="R784" s="123"/>
      <c r="S784" s="20"/>
      <c r="T784" s="20"/>
      <c r="U784" s="20"/>
      <c r="V784" s="20"/>
      <c r="W784" s="20"/>
      <c r="X784" s="20"/>
      <c r="Y784" s="20"/>
      <c r="Z784" s="20"/>
      <c r="AA784" s="20"/>
      <c r="AB784" s="20"/>
      <c r="AC784" s="20"/>
    </row>
    <row r="785">
      <c r="A785" s="20"/>
      <c r="B785" s="20"/>
      <c r="C785" s="20"/>
      <c r="D785" s="20"/>
      <c r="E785" s="20"/>
      <c r="F785" s="20"/>
      <c r="G785" s="20"/>
      <c r="H785" s="121"/>
      <c r="I785" s="121"/>
      <c r="J785" s="121"/>
      <c r="K785" s="121"/>
      <c r="L785" s="121"/>
      <c r="M785" s="122"/>
      <c r="N785" s="122"/>
      <c r="O785" s="122"/>
      <c r="P785" s="123"/>
      <c r="Q785" s="123"/>
      <c r="R785" s="123"/>
      <c r="S785" s="20"/>
      <c r="T785" s="20"/>
      <c r="U785" s="20"/>
      <c r="V785" s="20"/>
      <c r="W785" s="20"/>
      <c r="X785" s="20"/>
      <c r="Y785" s="20"/>
      <c r="Z785" s="20"/>
      <c r="AA785" s="20"/>
      <c r="AB785" s="20"/>
      <c r="AC785" s="20"/>
    </row>
    <row r="786">
      <c r="A786" s="20"/>
      <c r="B786" s="20"/>
      <c r="C786" s="20"/>
      <c r="D786" s="20"/>
      <c r="E786" s="20"/>
      <c r="F786" s="20"/>
      <c r="G786" s="20"/>
      <c r="H786" s="121"/>
      <c r="I786" s="121"/>
      <c r="J786" s="121"/>
      <c r="K786" s="121"/>
      <c r="L786" s="121"/>
      <c r="M786" s="122"/>
      <c r="N786" s="122"/>
      <c r="O786" s="122"/>
      <c r="P786" s="123"/>
      <c r="Q786" s="123"/>
      <c r="R786" s="123"/>
      <c r="S786" s="20"/>
      <c r="T786" s="20"/>
      <c r="U786" s="20"/>
      <c r="V786" s="20"/>
      <c r="W786" s="20"/>
      <c r="X786" s="20"/>
      <c r="Y786" s="20"/>
      <c r="Z786" s="20"/>
      <c r="AA786" s="20"/>
      <c r="AB786" s="20"/>
      <c r="AC786" s="20"/>
    </row>
    <row r="787">
      <c r="A787" s="20"/>
      <c r="B787" s="20"/>
      <c r="C787" s="20"/>
      <c r="D787" s="20"/>
      <c r="E787" s="20"/>
      <c r="F787" s="20"/>
      <c r="G787" s="20"/>
      <c r="H787" s="121"/>
      <c r="I787" s="121"/>
      <c r="J787" s="121"/>
      <c r="K787" s="121"/>
      <c r="L787" s="121"/>
      <c r="M787" s="122"/>
      <c r="N787" s="122"/>
      <c r="O787" s="122"/>
      <c r="P787" s="123"/>
      <c r="Q787" s="123"/>
      <c r="R787" s="123"/>
      <c r="S787" s="20"/>
      <c r="T787" s="20"/>
      <c r="U787" s="20"/>
      <c r="V787" s="20"/>
      <c r="W787" s="20"/>
      <c r="X787" s="20"/>
      <c r="Y787" s="20"/>
      <c r="Z787" s="20"/>
      <c r="AA787" s="20"/>
      <c r="AB787" s="20"/>
      <c r="AC787" s="20"/>
    </row>
    <row r="788">
      <c r="A788" s="20"/>
      <c r="B788" s="20"/>
      <c r="C788" s="20"/>
      <c r="D788" s="20"/>
      <c r="E788" s="20"/>
      <c r="F788" s="20"/>
      <c r="G788" s="20"/>
      <c r="H788" s="121"/>
      <c r="I788" s="121"/>
      <c r="J788" s="121"/>
      <c r="K788" s="121"/>
      <c r="L788" s="121"/>
      <c r="M788" s="122"/>
      <c r="N788" s="122"/>
      <c r="O788" s="122"/>
      <c r="P788" s="123"/>
      <c r="Q788" s="123"/>
      <c r="R788" s="123"/>
      <c r="S788" s="20"/>
      <c r="T788" s="20"/>
      <c r="U788" s="20"/>
      <c r="V788" s="20"/>
      <c r="W788" s="20"/>
      <c r="X788" s="20"/>
      <c r="Y788" s="20"/>
      <c r="Z788" s="20"/>
      <c r="AA788" s="20"/>
      <c r="AB788" s="20"/>
      <c r="AC788" s="20"/>
    </row>
    <row r="789">
      <c r="A789" s="20"/>
      <c r="B789" s="20"/>
      <c r="C789" s="20"/>
      <c r="D789" s="20"/>
      <c r="E789" s="20"/>
      <c r="F789" s="20"/>
      <c r="G789" s="20"/>
      <c r="H789" s="121"/>
      <c r="I789" s="121"/>
      <c r="J789" s="121"/>
      <c r="K789" s="121"/>
      <c r="L789" s="121"/>
      <c r="M789" s="122"/>
      <c r="N789" s="122"/>
      <c r="O789" s="122"/>
      <c r="P789" s="123"/>
      <c r="Q789" s="123"/>
      <c r="R789" s="123"/>
      <c r="S789" s="20"/>
      <c r="T789" s="20"/>
      <c r="U789" s="20"/>
      <c r="V789" s="20"/>
      <c r="W789" s="20"/>
      <c r="X789" s="20"/>
      <c r="Y789" s="20"/>
      <c r="Z789" s="20"/>
      <c r="AA789" s="20"/>
      <c r="AB789" s="20"/>
      <c r="AC789" s="20"/>
    </row>
    <row r="790">
      <c r="A790" s="20"/>
      <c r="B790" s="20"/>
      <c r="C790" s="20"/>
      <c r="D790" s="20"/>
      <c r="E790" s="20"/>
      <c r="F790" s="20"/>
      <c r="G790" s="20"/>
      <c r="H790" s="121"/>
      <c r="I790" s="121"/>
      <c r="J790" s="121"/>
      <c r="K790" s="121"/>
      <c r="L790" s="121"/>
      <c r="M790" s="122"/>
      <c r="N790" s="122"/>
      <c r="O790" s="122"/>
      <c r="P790" s="123"/>
      <c r="Q790" s="123"/>
      <c r="R790" s="123"/>
      <c r="S790" s="20"/>
      <c r="T790" s="20"/>
      <c r="U790" s="20"/>
      <c r="V790" s="20"/>
      <c r="W790" s="20"/>
      <c r="X790" s="20"/>
      <c r="Y790" s="20"/>
      <c r="Z790" s="20"/>
      <c r="AA790" s="20"/>
      <c r="AB790" s="20"/>
      <c r="AC790" s="20"/>
    </row>
    <row r="791">
      <c r="A791" s="20"/>
      <c r="B791" s="20"/>
      <c r="C791" s="20"/>
      <c r="D791" s="20"/>
      <c r="E791" s="20"/>
      <c r="F791" s="20"/>
      <c r="G791" s="20"/>
      <c r="H791" s="121"/>
      <c r="I791" s="121"/>
      <c r="J791" s="121"/>
      <c r="K791" s="121"/>
      <c r="L791" s="121"/>
      <c r="M791" s="122"/>
      <c r="N791" s="122"/>
      <c r="O791" s="122"/>
      <c r="P791" s="123"/>
      <c r="Q791" s="123"/>
      <c r="R791" s="123"/>
      <c r="S791" s="20"/>
      <c r="T791" s="20"/>
      <c r="U791" s="20"/>
      <c r="V791" s="20"/>
      <c r="W791" s="20"/>
      <c r="X791" s="20"/>
      <c r="Y791" s="20"/>
      <c r="Z791" s="20"/>
      <c r="AA791" s="20"/>
      <c r="AB791" s="20"/>
      <c r="AC791" s="20"/>
    </row>
    <row r="792">
      <c r="A792" s="20"/>
      <c r="B792" s="20"/>
      <c r="C792" s="20"/>
      <c r="D792" s="20"/>
      <c r="E792" s="20"/>
      <c r="F792" s="20"/>
      <c r="G792" s="20"/>
      <c r="H792" s="121"/>
      <c r="I792" s="121"/>
      <c r="J792" s="121"/>
      <c r="K792" s="121"/>
      <c r="L792" s="121"/>
      <c r="M792" s="122"/>
      <c r="N792" s="122"/>
      <c r="O792" s="122"/>
      <c r="P792" s="123"/>
      <c r="Q792" s="123"/>
      <c r="R792" s="123"/>
      <c r="S792" s="20"/>
      <c r="T792" s="20"/>
      <c r="U792" s="20"/>
      <c r="V792" s="20"/>
      <c r="W792" s="20"/>
      <c r="X792" s="20"/>
      <c r="Y792" s="20"/>
      <c r="Z792" s="20"/>
      <c r="AA792" s="20"/>
      <c r="AB792" s="20"/>
      <c r="AC792" s="20"/>
    </row>
    <row r="793">
      <c r="A793" s="20"/>
      <c r="B793" s="20"/>
      <c r="C793" s="20"/>
      <c r="D793" s="20"/>
      <c r="E793" s="20"/>
      <c r="F793" s="20"/>
      <c r="G793" s="20"/>
      <c r="H793" s="121"/>
      <c r="I793" s="121"/>
      <c r="J793" s="121"/>
      <c r="K793" s="121"/>
      <c r="L793" s="121"/>
      <c r="M793" s="122"/>
      <c r="N793" s="122"/>
      <c r="O793" s="122"/>
      <c r="P793" s="123"/>
      <c r="Q793" s="123"/>
      <c r="R793" s="123"/>
      <c r="S793" s="20"/>
      <c r="T793" s="20"/>
      <c r="U793" s="20"/>
      <c r="V793" s="20"/>
      <c r="W793" s="20"/>
      <c r="X793" s="20"/>
      <c r="Y793" s="20"/>
      <c r="Z793" s="20"/>
      <c r="AA793" s="20"/>
      <c r="AB793" s="20"/>
      <c r="AC793" s="20"/>
    </row>
    <row r="794">
      <c r="A794" s="20"/>
      <c r="B794" s="20"/>
      <c r="C794" s="20"/>
      <c r="D794" s="20"/>
      <c r="E794" s="20"/>
      <c r="F794" s="20"/>
      <c r="G794" s="20"/>
      <c r="H794" s="121"/>
      <c r="I794" s="121"/>
      <c r="J794" s="121"/>
      <c r="K794" s="121"/>
      <c r="L794" s="121"/>
      <c r="M794" s="122"/>
      <c r="N794" s="122"/>
      <c r="O794" s="122"/>
      <c r="P794" s="123"/>
      <c r="Q794" s="123"/>
      <c r="R794" s="123"/>
      <c r="S794" s="20"/>
      <c r="T794" s="20"/>
      <c r="U794" s="20"/>
      <c r="V794" s="20"/>
      <c r="W794" s="20"/>
      <c r="X794" s="20"/>
      <c r="Y794" s="20"/>
      <c r="Z794" s="20"/>
      <c r="AA794" s="20"/>
      <c r="AB794" s="20"/>
      <c r="AC794" s="20"/>
    </row>
    <row r="795">
      <c r="A795" s="20"/>
      <c r="B795" s="20"/>
      <c r="C795" s="20"/>
      <c r="D795" s="20"/>
      <c r="E795" s="20"/>
      <c r="F795" s="20"/>
      <c r="G795" s="20"/>
      <c r="H795" s="121"/>
      <c r="I795" s="121"/>
      <c r="J795" s="121"/>
      <c r="K795" s="121"/>
      <c r="L795" s="121"/>
      <c r="M795" s="122"/>
      <c r="N795" s="122"/>
      <c r="O795" s="122"/>
      <c r="P795" s="123"/>
      <c r="Q795" s="123"/>
      <c r="R795" s="123"/>
      <c r="S795" s="20"/>
      <c r="T795" s="20"/>
      <c r="U795" s="20"/>
      <c r="V795" s="20"/>
      <c r="W795" s="20"/>
      <c r="X795" s="20"/>
      <c r="Y795" s="20"/>
      <c r="Z795" s="20"/>
      <c r="AA795" s="20"/>
      <c r="AB795" s="20"/>
      <c r="AC795" s="20"/>
    </row>
    <row r="796">
      <c r="A796" s="20"/>
      <c r="B796" s="20"/>
      <c r="C796" s="20"/>
      <c r="D796" s="20"/>
      <c r="E796" s="20"/>
      <c r="F796" s="20"/>
      <c r="G796" s="20"/>
      <c r="H796" s="121"/>
      <c r="I796" s="121"/>
      <c r="J796" s="121"/>
      <c r="K796" s="121"/>
      <c r="L796" s="121"/>
      <c r="M796" s="122"/>
      <c r="N796" s="122"/>
      <c r="O796" s="122"/>
      <c r="P796" s="123"/>
      <c r="Q796" s="123"/>
      <c r="R796" s="123"/>
      <c r="S796" s="20"/>
      <c r="T796" s="20"/>
      <c r="U796" s="20"/>
      <c r="V796" s="20"/>
      <c r="W796" s="20"/>
      <c r="X796" s="20"/>
      <c r="Y796" s="20"/>
      <c r="Z796" s="20"/>
      <c r="AA796" s="20"/>
      <c r="AB796" s="20"/>
      <c r="AC796" s="20"/>
    </row>
    <row r="797">
      <c r="A797" s="20"/>
      <c r="B797" s="20"/>
      <c r="C797" s="20"/>
      <c r="D797" s="20"/>
      <c r="E797" s="20"/>
      <c r="F797" s="20"/>
      <c r="G797" s="20"/>
      <c r="H797" s="121"/>
      <c r="I797" s="121"/>
      <c r="J797" s="121"/>
      <c r="K797" s="121"/>
      <c r="L797" s="121"/>
      <c r="M797" s="122"/>
      <c r="N797" s="122"/>
      <c r="O797" s="122"/>
      <c r="P797" s="123"/>
      <c r="Q797" s="123"/>
      <c r="R797" s="123"/>
      <c r="S797" s="20"/>
      <c r="T797" s="20"/>
      <c r="U797" s="20"/>
      <c r="V797" s="20"/>
      <c r="W797" s="20"/>
      <c r="X797" s="20"/>
      <c r="Y797" s="20"/>
      <c r="Z797" s="20"/>
      <c r="AA797" s="20"/>
      <c r="AB797" s="20"/>
      <c r="AC797" s="20"/>
    </row>
    <row r="798">
      <c r="A798" s="20"/>
      <c r="B798" s="20"/>
      <c r="C798" s="20"/>
      <c r="D798" s="20"/>
      <c r="E798" s="20"/>
      <c r="F798" s="20"/>
      <c r="G798" s="20"/>
      <c r="H798" s="121"/>
      <c r="I798" s="121"/>
      <c r="J798" s="121"/>
      <c r="K798" s="121"/>
      <c r="L798" s="121"/>
      <c r="M798" s="122"/>
      <c r="N798" s="122"/>
      <c r="O798" s="122"/>
      <c r="P798" s="123"/>
      <c r="Q798" s="123"/>
      <c r="R798" s="123"/>
      <c r="S798" s="20"/>
      <c r="T798" s="20"/>
      <c r="U798" s="20"/>
      <c r="V798" s="20"/>
      <c r="W798" s="20"/>
      <c r="X798" s="20"/>
      <c r="Y798" s="20"/>
      <c r="Z798" s="20"/>
      <c r="AA798" s="20"/>
      <c r="AB798" s="20"/>
      <c r="AC798" s="20"/>
    </row>
    <row r="799">
      <c r="A799" s="20"/>
      <c r="B799" s="20"/>
      <c r="C799" s="20"/>
      <c r="D799" s="20"/>
      <c r="E799" s="20"/>
      <c r="F799" s="20"/>
      <c r="G799" s="20"/>
      <c r="H799" s="121"/>
      <c r="I799" s="121"/>
      <c r="J799" s="121"/>
      <c r="K799" s="121"/>
      <c r="L799" s="121"/>
      <c r="M799" s="122"/>
      <c r="N799" s="122"/>
      <c r="O799" s="122"/>
      <c r="P799" s="123"/>
      <c r="Q799" s="123"/>
      <c r="R799" s="123"/>
      <c r="S799" s="20"/>
      <c r="T799" s="20"/>
      <c r="U799" s="20"/>
      <c r="V799" s="20"/>
      <c r="W799" s="20"/>
      <c r="X799" s="20"/>
      <c r="Y799" s="20"/>
      <c r="Z799" s="20"/>
      <c r="AA799" s="20"/>
      <c r="AB799" s="20"/>
      <c r="AC799" s="20"/>
    </row>
    <row r="800">
      <c r="A800" s="20"/>
      <c r="B800" s="20"/>
      <c r="C800" s="20"/>
      <c r="D800" s="20"/>
      <c r="E800" s="20"/>
      <c r="F800" s="20"/>
      <c r="G800" s="20"/>
      <c r="H800" s="121"/>
      <c r="I800" s="121"/>
      <c r="J800" s="121"/>
      <c r="K800" s="121"/>
      <c r="L800" s="121"/>
      <c r="M800" s="122"/>
      <c r="N800" s="122"/>
      <c r="O800" s="122"/>
      <c r="P800" s="123"/>
      <c r="Q800" s="123"/>
      <c r="R800" s="123"/>
      <c r="S800" s="20"/>
      <c r="T800" s="20"/>
      <c r="U800" s="20"/>
      <c r="V800" s="20"/>
      <c r="W800" s="20"/>
      <c r="X800" s="20"/>
      <c r="Y800" s="20"/>
      <c r="Z800" s="20"/>
      <c r="AA800" s="20"/>
      <c r="AB800" s="20"/>
      <c r="AC800" s="20"/>
    </row>
    <row r="801">
      <c r="A801" s="20"/>
      <c r="B801" s="20"/>
      <c r="C801" s="20"/>
      <c r="D801" s="20"/>
      <c r="E801" s="20"/>
      <c r="F801" s="20"/>
      <c r="G801" s="20"/>
      <c r="H801" s="121"/>
      <c r="I801" s="121"/>
      <c r="J801" s="121"/>
      <c r="K801" s="121"/>
      <c r="L801" s="121"/>
      <c r="M801" s="122"/>
      <c r="N801" s="122"/>
      <c r="O801" s="122"/>
      <c r="P801" s="123"/>
      <c r="Q801" s="123"/>
      <c r="R801" s="123"/>
      <c r="S801" s="20"/>
      <c r="T801" s="20"/>
      <c r="U801" s="20"/>
      <c r="V801" s="20"/>
      <c r="W801" s="20"/>
      <c r="X801" s="20"/>
      <c r="Y801" s="20"/>
      <c r="Z801" s="20"/>
      <c r="AA801" s="20"/>
      <c r="AB801" s="20"/>
      <c r="AC801" s="20"/>
    </row>
    <row r="802">
      <c r="A802" s="20"/>
      <c r="B802" s="20"/>
      <c r="C802" s="20"/>
      <c r="D802" s="20"/>
      <c r="E802" s="20"/>
      <c r="F802" s="20"/>
      <c r="G802" s="20"/>
      <c r="H802" s="121"/>
      <c r="I802" s="121"/>
      <c r="J802" s="121"/>
      <c r="K802" s="121"/>
      <c r="L802" s="121"/>
      <c r="M802" s="122"/>
      <c r="N802" s="122"/>
      <c r="O802" s="122"/>
      <c r="P802" s="123"/>
      <c r="Q802" s="123"/>
      <c r="R802" s="123"/>
      <c r="S802" s="20"/>
      <c r="T802" s="20"/>
      <c r="U802" s="20"/>
      <c r="V802" s="20"/>
      <c r="W802" s="20"/>
      <c r="X802" s="20"/>
      <c r="Y802" s="20"/>
      <c r="Z802" s="20"/>
      <c r="AA802" s="20"/>
      <c r="AB802" s="20"/>
      <c r="AC802" s="20"/>
    </row>
    <row r="803">
      <c r="A803" s="20"/>
      <c r="B803" s="20"/>
      <c r="C803" s="20"/>
      <c r="D803" s="20"/>
      <c r="E803" s="20"/>
      <c r="F803" s="20"/>
      <c r="G803" s="20"/>
      <c r="H803" s="121"/>
      <c r="I803" s="121"/>
      <c r="J803" s="121"/>
      <c r="K803" s="121"/>
      <c r="L803" s="121"/>
      <c r="M803" s="122"/>
      <c r="N803" s="122"/>
      <c r="O803" s="122"/>
      <c r="P803" s="123"/>
      <c r="Q803" s="123"/>
      <c r="R803" s="123"/>
      <c r="S803" s="20"/>
      <c r="T803" s="20"/>
      <c r="U803" s="20"/>
      <c r="V803" s="20"/>
      <c r="W803" s="20"/>
      <c r="X803" s="20"/>
      <c r="Y803" s="20"/>
      <c r="Z803" s="20"/>
      <c r="AA803" s="20"/>
      <c r="AB803" s="20"/>
      <c r="AC803" s="20"/>
    </row>
    <row r="804">
      <c r="A804" s="20"/>
      <c r="B804" s="20"/>
      <c r="C804" s="20"/>
      <c r="D804" s="20"/>
      <c r="E804" s="20"/>
      <c r="F804" s="20"/>
      <c r="G804" s="20"/>
      <c r="H804" s="121"/>
      <c r="I804" s="121"/>
      <c r="J804" s="121"/>
      <c r="K804" s="121"/>
      <c r="L804" s="121"/>
      <c r="M804" s="122"/>
      <c r="N804" s="122"/>
      <c r="O804" s="122"/>
      <c r="P804" s="123"/>
      <c r="Q804" s="123"/>
      <c r="R804" s="123"/>
      <c r="S804" s="20"/>
      <c r="T804" s="20"/>
      <c r="U804" s="20"/>
      <c r="V804" s="20"/>
      <c r="W804" s="20"/>
      <c r="X804" s="20"/>
      <c r="Y804" s="20"/>
      <c r="Z804" s="20"/>
      <c r="AA804" s="20"/>
      <c r="AB804" s="20"/>
      <c r="AC804" s="20"/>
    </row>
    <row r="805">
      <c r="A805" s="20"/>
      <c r="B805" s="20"/>
      <c r="C805" s="20"/>
      <c r="D805" s="20"/>
      <c r="E805" s="20"/>
      <c r="F805" s="20"/>
      <c r="G805" s="20"/>
      <c r="H805" s="121"/>
      <c r="I805" s="121"/>
      <c r="J805" s="121"/>
      <c r="K805" s="121"/>
      <c r="L805" s="121"/>
      <c r="M805" s="122"/>
      <c r="N805" s="122"/>
      <c r="O805" s="122"/>
      <c r="P805" s="123"/>
      <c r="Q805" s="123"/>
      <c r="R805" s="123"/>
      <c r="S805" s="20"/>
      <c r="T805" s="20"/>
      <c r="U805" s="20"/>
      <c r="V805" s="20"/>
      <c r="W805" s="20"/>
      <c r="X805" s="20"/>
      <c r="Y805" s="20"/>
      <c r="Z805" s="20"/>
      <c r="AA805" s="20"/>
      <c r="AB805" s="20"/>
      <c r="AC805" s="20"/>
    </row>
    <row r="806">
      <c r="A806" s="20"/>
      <c r="B806" s="20"/>
      <c r="C806" s="20"/>
      <c r="D806" s="20"/>
      <c r="E806" s="20"/>
      <c r="F806" s="20"/>
      <c r="G806" s="20"/>
      <c r="H806" s="121"/>
      <c r="I806" s="121"/>
      <c r="J806" s="121"/>
      <c r="K806" s="121"/>
      <c r="L806" s="121"/>
      <c r="M806" s="122"/>
      <c r="N806" s="122"/>
      <c r="O806" s="122"/>
      <c r="P806" s="123"/>
      <c r="Q806" s="123"/>
      <c r="R806" s="123"/>
      <c r="S806" s="20"/>
      <c r="T806" s="20"/>
      <c r="U806" s="20"/>
      <c r="V806" s="20"/>
      <c r="W806" s="20"/>
      <c r="X806" s="20"/>
      <c r="Y806" s="20"/>
      <c r="Z806" s="20"/>
      <c r="AA806" s="20"/>
      <c r="AB806" s="20"/>
      <c r="AC806" s="20"/>
    </row>
    <row r="807">
      <c r="A807" s="20"/>
      <c r="B807" s="20"/>
      <c r="C807" s="20"/>
      <c r="D807" s="20"/>
      <c r="E807" s="20"/>
      <c r="F807" s="20"/>
      <c r="G807" s="20"/>
      <c r="H807" s="121"/>
      <c r="I807" s="121"/>
      <c r="J807" s="121"/>
      <c r="K807" s="121"/>
      <c r="L807" s="121"/>
      <c r="M807" s="122"/>
      <c r="N807" s="122"/>
      <c r="O807" s="122"/>
      <c r="P807" s="123"/>
      <c r="Q807" s="123"/>
      <c r="R807" s="123"/>
      <c r="S807" s="20"/>
      <c r="T807" s="20"/>
      <c r="U807" s="20"/>
      <c r="V807" s="20"/>
      <c r="W807" s="20"/>
      <c r="X807" s="20"/>
      <c r="Y807" s="20"/>
      <c r="Z807" s="20"/>
      <c r="AA807" s="20"/>
      <c r="AB807" s="20"/>
      <c r="AC807" s="20"/>
    </row>
    <row r="808">
      <c r="A808" s="20"/>
      <c r="B808" s="20"/>
      <c r="C808" s="20"/>
      <c r="D808" s="20"/>
      <c r="E808" s="20"/>
      <c r="F808" s="20"/>
      <c r="G808" s="20"/>
      <c r="H808" s="121"/>
      <c r="I808" s="121"/>
      <c r="J808" s="121"/>
      <c r="K808" s="121"/>
      <c r="L808" s="121"/>
      <c r="M808" s="122"/>
      <c r="N808" s="122"/>
      <c r="O808" s="122"/>
      <c r="P808" s="123"/>
      <c r="Q808" s="123"/>
      <c r="R808" s="123"/>
      <c r="S808" s="20"/>
      <c r="T808" s="20"/>
      <c r="U808" s="20"/>
      <c r="V808" s="20"/>
      <c r="W808" s="20"/>
      <c r="X808" s="20"/>
      <c r="Y808" s="20"/>
      <c r="Z808" s="20"/>
      <c r="AA808" s="20"/>
      <c r="AB808" s="20"/>
      <c r="AC808" s="20"/>
    </row>
    <row r="809">
      <c r="A809" s="20"/>
      <c r="B809" s="20"/>
      <c r="C809" s="20"/>
      <c r="D809" s="20"/>
      <c r="E809" s="20"/>
      <c r="F809" s="20"/>
      <c r="G809" s="20"/>
      <c r="H809" s="121"/>
      <c r="I809" s="121"/>
      <c r="J809" s="121"/>
      <c r="K809" s="121"/>
      <c r="L809" s="121"/>
      <c r="M809" s="122"/>
      <c r="N809" s="122"/>
      <c r="O809" s="122"/>
      <c r="P809" s="123"/>
      <c r="Q809" s="123"/>
      <c r="R809" s="123"/>
      <c r="S809" s="20"/>
      <c r="T809" s="20"/>
      <c r="U809" s="20"/>
      <c r="V809" s="20"/>
      <c r="W809" s="20"/>
      <c r="X809" s="20"/>
      <c r="Y809" s="20"/>
      <c r="Z809" s="20"/>
      <c r="AA809" s="20"/>
      <c r="AB809" s="20"/>
      <c r="AC809" s="20"/>
    </row>
    <row r="810">
      <c r="A810" s="20"/>
      <c r="B810" s="20"/>
      <c r="C810" s="20"/>
      <c r="D810" s="20"/>
      <c r="E810" s="20"/>
      <c r="F810" s="20"/>
      <c r="G810" s="20"/>
      <c r="H810" s="121"/>
      <c r="I810" s="121"/>
      <c r="J810" s="121"/>
      <c r="K810" s="121"/>
      <c r="L810" s="121"/>
      <c r="M810" s="122"/>
      <c r="N810" s="122"/>
      <c r="O810" s="122"/>
      <c r="P810" s="123"/>
      <c r="Q810" s="123"/>
      <c r="R810" s="123"/>
      <c r="S810" s="20"/>
      <c r="T810" s="20"/>
      <c r="U810" s="20"/>
      <c r="V810" s="20"/>
      <c r="W810" s="20"/>
      <c r="X810" s="20"/>
      <c r="Y810" s="20"/>
      <c r="Z810" s="20"/>
      <c r="AA810" s="20"/>
      <c r="AB810" s="20"/>
      <c r="AC810" s="20"/>
    </row>
    <row r="811">
      <c r="A811" s="20"/>
      <c r="B811" s="20"/>
      <c r="C811" s="20"/>
      <c r="D811" s="20"/>
      <c r="E811" s="20"/>
      <c r="F811" s="20"/>
      <c r="G811" s="20"/>
      <c r="H811" s="121"/>
      <c r="I811" s="121"/>
      <c r="J811" s="121"/>
      <c r="K811" s="121"/>
      <c r="L811" s="121"/>
      <c r="M811" s="122"/>
      <c r="N811" s="122"/>
      <c r="O811" s="122"/>
      <c r="P811" s="123"/>
      <c r="Q811" s="123"/>
      <c r="R811" s="123"/>
      <c r="S811" s="20"/>
      <c r="T811" s="20"/>
      <c r="U811" s="20"/>
      <c r="V811" s="20"/>
      <c r="W811" s="20"/>
      <c r="X811" s="20"/>
      <c r="Y811" s="20"/>
      <c r="Z811" s="20"/>
      <c r="AA811" s="20"/>
      <c r="AB811" s="20"/>
      <c r="AC811" s="20"/>
    </row>
    <row r="812">
      <c r="A812" s="20"/>
      <c r="B812" s="20"/>
      <c r="C812" s="20"/>
      <c r="D812" s="20"/>
      <c r="E812" s="20"/>
      <c r="F812" s="20"/>
      <c r="G812" s="20"/>
      <c r="H812" s="121"/>
      <c r="I812" s="121"/>
      <c r="J812" s="121"/>
      <c r="K812" s="121"/>
      <c r="L812" s="121"/>
      <c r="M812" s="122"/>
      <c r="N812" s="122"/>
      <c r="O812" s="122"/>
      <c r="P812" s="123"/>
      <c r="Q812" s="123"/>
      <c r="R812" s="123"/>
      <c r="S812" s="20"/>
      <c r="T812" s="20"/>
      <c r="U812" s="20"/>
      <c r="V812" s="20"/>
      <c r="W812" s="20"/>
      <c r="X812" s="20"/>
      <c r="Y812" s="20"/>
      <c r="Z812" s="20"/>
      <c r="AA812" s="20"/>
      <c r="AB812" s="20"/>
      <c r="AC812" s="20"/>
    </row>
    <row r="813">
      <c r="A813" s="20"/>
      <c r="B813" s="20"/>
      <c r="C813" s="20"/>
      <c r="D813" s="20"/>
      <c r="E813" s="20"/>
      <c r="F813" s="20"/>
      <c r="G813" s="20"/>
      <c r="H813" s="121"/>
      <c r="I813" s="121"/>
      <c r="J813" s="121"/>
      <c r="K813" s="121"/>
      <c r="L813" s="121"/>
      <c r="M813" s="122"/>
      <c r="N813" s="122"/>
      <c r="O813" s="122"/>
      <c r="P813" s="123"/>
      <c r="Q813" s="123"/>
      <c r="R813" s="123"/>
      <c r="S813" s="20"/>
      <c r="T813" s="20"/>
      <c r="U813" s="20"/>
      <c r="V813" s="20"/>
      <c r="W813" s="20"/>
      <c r="X813" s="20"/>
      <c r="Y813" s="20"/>
      <c r="Z813" s="20"/>
      <c r="AA813" s="20"/>
      <c r="AB813" s="20"/>
      <c r="AC813" s="20"/>
    </row>
    <row r="814">
      <c r="A814" s="20"/>
      <c r="B814" s="20"/>
      <c r="C814" s="20"/>
      <c r="D814" s="20"/>
      <c r="E814" s="20"/>
      <c r="F814" s="20"/>
      <c r="G814" s="20"/>
      <c r="H814" s="121"/>
      <c r="I814" s="121"/>
      <c r="J814" s="121"/>
      <c r="K814" s="121"/>
      <c r="L814" s="121"/>
      <c r="M814" s="122"/>
      <c r="N814" s="122"/>
      <c r="O814" s="122"/>
      <c r="P814" s="123"/>
      <c r="Q814" s="123"/>
      <c r="R814" s="123"/>
      <c r="S814" s="20"/>
      <c r="T814" s="20"/>
      <c r="U814" s="20"/>
      <c r="V814" s="20"/>
      <c r="W814" s="20"/>
      <c r="X814" s="20"/>
      <c r="Y814" s="20"/>
      <c r="Z814" s="20"/>
      <c r="AA814" s="20"/>
      <c r="AB814" s="20"/>
      <c r="AC814" s="20"/>
    </row>
    <row r="815">
      <c r="A815" s="20"/>
      <c r="B815" s="20"/>
      <c r="C815" s="20"/>
      <c r="D815" s="20"/>
      <c r="E815" s="20"/>
      <c r="F815" s="20"/>
      <c r="G815" s="20"/>
      <c r="H815" s="121"/>
      <c r="I815" s="121"/>
      <c r="J815" s="121"/>
      <c r="K815" s="121"/>
      <c r="L815" s="121"/>
      <c r="M815" s="122"/>
      <c r="N815" s="122"/>
      <c r="O815" s="122"/>
      <c r="P815" s="123"/>
      <c r="Q815" s="123"/>
      <c r="R815" s="123"/>
      <c r="S815" s="20"/>
      <c r="T815" s="20"/>
      <c r="U815" s="20"/>
      <c r="V815" s="20"/>
      <c r="W815" s="20"/>
      <c r="X815" s="20"/>
      <c r="Y815" s="20"/>
      <c r="Z815" s="20"/>
      <c r="AA815" s="20"/>
      <c r="AB815" s="20"/>
      <c r="AC815" s="20"/>
    </row>
    <row r="816">
      <c r="A816" s="20"/>
      <c r="B816" s="20"/>
      <c r="C816" s="20"/>
      <c r="D816" s="20"/>
      <c r="E816" s="20"/>
      <c r="F816" s="20"/>
      <c r="G816" s="20"/>
      <c r="H816" s="121"/>
      <c r="I816" s="121"/>
      <c r="J816" s="121"/>
      <c r="K816" s="121"/>
      <c r="L816" s="121"/>
      <c r="M816" s="122"/>
      <c r="N816" s="122"/>
      <c r="O816" s="122"/>
      <c r="P816" s="123"/>
      <c r="Q816" s="123"/>
      <c r="R816" s="123"/>
      <c r="S816" s="20"/>
      <c r="T816" s="20"/>
      <c r="U816" s="20"/>
      <c r="V816" s="20"/>
      <c r="W816" s="20"/>
      <c r="X816" s="20"/>
      <c r="Y816" s="20"/>
      <c r="Z816" s="20"/>
      <c r="AA816" s="20"/>
      <c r="AB816" s="20"/>
      <c r="AC816" s="20"/>
    </row>
    <row r="817">
      <c r="A817" s="20"/>
      <c r="B817" s="20"/>
      <c r="C817" s="20"/>
      <c r="D817" s="20"/>
      <c r="E817" s="20"/>
      <c r="F817" s="20"/>
      <c r="G817" s="20"/>
      <c r="H817" s="121"/>
      <c r="I817" s="121"/>
      <c r="J817" s="121"/>
      <c r="K817" s="121"/>
      <c r="L817" s="121"/>
      <c r="M817" s="122"/>
      <c r="N817" s="122"/>
      <c r="O817" s="122"/>
      <c r="P817" s="123"/>
      <c r="Q817" s="123"/>
      <c r="R817" s="123"/>
      <c r="S817" s="20"/>
      <c r="T817" s="20"/>
      <c r="U817" s="20"/>
      <c r="V817" s="20"/>
      <c r="W817" s="20"/>
      <c r="X817" s="20"/>
      <c r="Y817" s="20"/>
      <c r="Z817" s="20"/>
      <c r="AA817" s="20"/>
      <c r="AB817" s="20"/>
      <c r="AC817" s="20"/>
    </row>
    <row r="818">
      <c r="A818" s="20"/>
      <c r="B818" s="20"/>
      <c r="C818" s="20"/>
      <c r="D818" s="20"/>
      <c r="E818" s="20"/>
      <c r="F818" s="20"/>
      <c r="G818" s="20"/>
      <c r="H818" s="121"/>
      <c r="I818" s="121"/>
      <c r="J818" s="121"/>
      <c r="K818" s="121"/>
      <c r="L818" s="121"/>
      <c r="M818" s="122"/>
      <c r="N818" s="122"/>
      <c r="O818" s="122"/>
      <c r="P818" s="123"/>
      <c r="Q818" s="123"/>
      <c r="R818" s="123"/>
      <c r="S818" s="20"/>
      <c r="T818" s="20"/>
      <c r="U818" s="20"/>
      <c r="V818" s="20"/>
      <c r="W818" s="20"/>
      <c r="X818" s="20"/>
      <c r="Y818" s="20"/>
      <c r="Z818" s="20"/>
      <c r="AA818" s="20"/>
      <c r="AB818" s="20"/>
      <c r="AC818" s="20"/>
    </row>
    <row r="819">
      <c r="A819" s="20"/>
      <c r="B819" s="20"/>
      <c r="C819" s="20"/>
      <c r="D819" s="20"/>
      <c r="E819" s="20"/>
      <c r="F819" s="20"/>
      <c r="G819" s="20"/>
      <c r="H819" s="121"/>
      <c r="I819" s="121"/>
      <c r="J819" s="121"/>
      <c r="K819" s="121"/>
      <c r="L819" s="121"/>
      <c r="M819" s="122"/>
      <c r="N819" s="122"/>
      <c r="O819" s="122"/>
      <c r="P819" s="123"/>
      <c r="Q819" s="123"/>
      <c r="R819" s="123"/>
      <c r="S819" s="20"/>
      <c r="T819" s="20"/>
      <c r="U819" s="20"/>
      <c r="V819" s="20"/>
      <c r="W819" s="20"/>
      <c r="X819" s="20"/>
      <c r="Y819" s="20"/>
      <c r="Z819" s="20"/>
      <c r="AA819" s="20"/>
      <c r="AB819" s="20"/>
      <c r="AC819" s="20"/>
    </row>
    <row r="820">
      <c r="A820" s="20"/>
      <c r="B820" s="20"/>
      <c r="C820" s="20"/>
      <c r="D820" s="20"/>
      <c r="E820" s="20"/>
      <c r="F820" s="20"/>
      <c r="G820" s="20"/>
      <c r="H820" s="121"/>
      <c r="I820" s="121"/>
      <c r="J820" s="121"/>
      <c r="K820" s="121"/>
      <c r="L820" s="121"/>
      <c r="M820" s="122"/>
      <c r="N820" s="122"/>
      <c r="O820" s="122"/>
      <c r="P820" s="123"/>
      <c r="Q820" s="123"/>
      <c r="R820" s="123"/>
      <c r="S820" s="20"/>
      <c r="T820" s="20"/>
      <c r="U820" s="20"/>
      <c r="V820" s="20"/>
      <c r="W820" s="20"/>
      <c r="X820" s="20"/>
      <c r="Y820" s="20"/>
      <c r="Z820" s="20"/>
      <c r="AA820" s="20"/>
      <c r="AB820" s="20"/>
      <c r="AC820" s="20"/>
    </row>
    <row r="821">
      <c r="A821" s="20"/>
      <c r="B821" s="20"/>
      <c r="C821" s="20"/>
      <c r="D821" s="20"/>
      <c r="E821" s="20"/>
      <c r="F821" s="20"/>
      <c r="G821" s="20"/>
      <c r="H821" s="121"/>
      <c r="I821" s="121"/>
      <c r="J821" s="121"/>
      <c r="K821" s="121"/>
      <c r="L821" s="121"/>
      <c r="M821" s="122"/>
      <c r="N821" s="122"/>
      <c r="O821" s="122"/>
      <c r="P821" s="123"/>
      <c r="Q821" s="123"/>
      <c r="R821" s="123"/>
      <c r="S821" s="20"/>
      <c r="T821" s="20"/>
      <c r="U821" s="20"/>
      <c r="V821" s="20"/>
      <c r="W821" s="20"/>
      <c r="X821" s="20"/>
      <c r="Y821" s="20"/>
      <c r="Z821" s="20"/>
      <c r="AA821" s="20"/>
      <c r="AB821" s="20"/>
      <c r="AC821" s="20"/>
    </row>
    <row r="822">
      <c r="A822" s="20"/>
      <c r="B822" s="20"/>
      <c r="C822" s="20"/>
      <c r="D822" s="20"/>
      <c r="E822" s="20"/>
      <c r="F822" s="20"/>
      <c r="G822" s="20"/>
      <c r="H822" s="121"/>
      <c r="I822" s="121"/>
      <c r="J822" s="121"/>
      <c r="K822" s="121"/>
      <c r="L822" s="121"/>
      <c r="M822" s="122"/>
      <c r="N822" s="122"/>
      <c r="O822" s="122"/>
      <c r="P822" s="123"/>
      <c r="Q822" s="123"/>
      <c r="R822" s="123"/>
      <c r="S822" s="20"/>
      <c r="T822" s="20"/>
      <c r="U822" s="20"/>
      <c r="V822" s="20"/>
      <c r="W822" s="20"/>
      <c r="X822" s="20"/>
      <c r="Y822" s="20"/>
      <c r="Z822" s="20"/>
      <c r="AA822" s="20"/>
      <c r="AB822" s="20"/>
      <c r="AC822" s="20"/>
    </row>
    <row r="823">
      <c r="A823" s="20"/>
      <c r="B823" s="20"/>
      <c r="C823" s="20"/>
      <c r="D823" s="20"/>
      <c r="E823" s="20"/>
      <c r="F823" s="20"/>
      <c r="G823" s="20"/>
      <c r="H823" s="121"/>
      <c r="I823" s="121"/>
      <c r="J823" s="121"/>
      <c r="K823" s="121"/>
      <c r="L823" s="121"/>
      <c r="M823" s="122"/>
      <c r="N823" s="122"/>
      <c r="O823" s="122"/>
      <c r="P823" s="123"/>
      <c r="Q823" s="123"/>
      <c r="R823" s="123"/>
      <c r="S823" s="20"/>
      <c r="T823" s="20"/>
      <c r="U823" s="20"/>
      <c r="V823" s="20"/>
      <c r="W823" s="20"/>
      <c r="X823" s="20"/>
      <c r="Y823" s="20"/>
      <c r="Z823" s="20"/>
      <c r="AA823" s="20"/>
      <c r="AB823" s="20"/>
      <c r="AC823" s="20"/>
    </row>
    <row r="824">
      <c r="A824" s="20"/>
      <c r="B824" s="20"/>
      <c r="C824" s="20"/>
      <c r="D824" s="20"/>
      <c r="E824" s="20"/>
      <c r="F824" s="20"/>
      <c r="G824" s="20"/>
      <c r="H824" s="121"/>
      <c r="I824" s="121"/>
      <c r="J824" s="121"/>
      <c r="K824" s="121"/>
      <c r="L824" s="121"/>
      <c r="M824" s="122"/>
      <c r="N824" s="122"/>
      <c r="O824" s="122"/>
      <c r="P824" s="123"/>
      <c r="Q824" s="123"/>
      <c r="R824" s="123"/>
      <c r="S824" s="20"/>
      <c r="T824" s="20"/>
      <c r="U824" s="20"/>
      <c r="V824" s="20"/>
      <c r="W824" s="20"/>
      <c r="X824" s="20"/>
      <c r="Y824" s="20"/>
      <c r="Z824" s="20"/>
      <c r="AA824" s="20"/>
      <c r="AB824" s="20"/>
      <c r="AC824" s="20"/>
    </row>
    <row r="825">
      <c r="A825" s="20"/>
      <c r="B825" s="20"/>
      <c r="C825" s="20"/>
      <c r="D825" s="20"/>
      <c r="E825" s="20"/>
      <c r="F825" s="20"/>
      <c r="G825" s="20"/>
      <c r="H825" s="121"/>
      <c r="I825" s="121"/>
      <c r="J825" s="121"/>
      <c r="K825" s="121"/>
      <c r="L825" s="121"/>
      <c r="M825" s="122"/>
      <c r="N825" s="122"/>
      <c r="O825" s="122"/>
      <c r="P825" s="123"/>
      <c r="Q825" s="123"/>
      <c r="R825" s="123"/>
      <c r="S825" s="20"/>
      <c r="T825" s="20"/>
      <c r="U825" s="20"/>
      <c r="V825" s="20"/>
      <c r="W825" s="20"/>
      <c r="X825" s="20"/>
      <c r="Y825" s="20"/>
      <c r="Z825" s="20"/>
      <c r="AA825" s="20"/>
      <c r="AB825" s="20"/>
      <c r="AC825" s="20"/>
    </row>
    <row r="826">
      <c r="A826" s="20"/>
      <c r="B826" s="20"/>
      <c r="C826" s="20"/>
      <c r="D826" s="20"/>
      <c r="E826" s="20"/>
      <c r="F826" s="20"/>
      <c r="G826" s="20"/>
      <c r="H826" s="121"/>
      <c r="I826" s="121"/>
      <c r="J826" s="121"/>
      <c r="K826" s="121"/>
      <c r="L826" s="121"/>
      <c r="M826" s="122"/>
      <c r="N826" s="122"/>
      <c r="O826" s="122"/>
      <c r="P826" s="123"/>
      <c r="Q826" s="123"/>
      <c r="R826" s="123"/>
      <c r="S826" s="20"/>
      <c r="T826" s="20"/>
      <c r="U826" s="20"/>
      <c r="V826" s="20"/>
      <c r="W826" s="20"/>
      <c r="X826" s="20"/>
      <c r="Y826" s="20"/>
      <c r="Z826" s="20"/>
      <c r="AA826" s="20"/>
      <c r="AB826" s="20"/>
      <c r="AC826" s="20"/>
    </row>
    <row r="827">
      <c r="A827" s="20"/>
      <c r="B827" s="20"/>
      <c r="C827" s="20"/>
      <c r="D827" s="20"/>
      <c r="E827" s="20"/>
      <c r="F827" s="20"/>
      <c r="G827" s="20"/>
      <c r="H827" s="121"/>
      <c r="I827" s="121"/>
      <c r="J827" s="121"/>
      <c r="K827" s="121"/>
      <c r="L827" s="121"/>
      <c r="M827" s="122"/>
      <c r="N827" s="122"/>
      <c r="O827" s="122"/>
      <c r="P827" s="123"/>
      <c r="Q827" s="123"/>
      <c r="R827" s="123"/>
      <c r="S827" s="20"/>
      <c r="T827" s="20"/>
      <c r="U827" s="20"/>
      <c r="V827" s="20"/>
      <c r="W827" s="20"/>
      <c r="X827" s="20"/>
      <c r="Y827" s="20"/>
      <c r="Z827" s="20"/>
      <c r="AA827" s="20"/>
      <c r="AB827" s="20"/>
      <c r="AC827" s="20"/>
    </row>
    <row r="828">
      <c r="A828" s="20"/>
      <c r="B828" s="20"/>
      <c r="C828" s="20"/>
      <c r="D828" s="20"/>
      <c r="E828" s="20"/>
      <c r="F828" s="20"/>
      <c r="G828" s="20"/>
      <c r="H828" s="121"/>
      <c r="I828" s="121"/>
      <c r="J828" s="121"/>
      <c r="K828" s="121"/>
      <c r="L828" s="121"/>
      <c r="M828" s="122"/>
      <c r="N828" s="122"/>
      <c r="O828" s="122"/>
      <c r="P828" s="123"/>
      <c r="Q828" s="123"/>
      <c r="R828" s="123"/>
      <c r="S828" s="20"/>
      <c r="T828" s="20"/>
      <c r="U828" s="20"/>
      <c r="V828" s="20"/>
      <c r="W828" s="20"/>
      <c r="X828" s="20"/>
      <c r="Y828" s="20"/>
      <c r="Z828" s="20"/>
      <c r="AA828" s="20"/>
      <c r="AB828" s="20"/>
      <c r="AC828" s="20"/>
    </row>
    <row r="829">
      <c r="A829" s="20"/>
      <c r="B829" s="20"/>
      <c r="C829" s="20"/>
      <c r="D829" s="20"/>
      <c r="E829" s="20"/>
      <c r="F829" s="20"/>
      <c r="G829" s="20"/>
      <c r="H829" s="121"/>
      <c r="I829" s="121"/>
      <c r="J829" s="121"/>
      <c r="K829" s="121"/>
      <c r="L829" s="121"/>
      <c r="M829" s="122"/>
      <c r="N829" s="122"/>
      <c r="O829" s="122"/>
      <c r="P829" s="123"/>
      <c r="Q829" s="123"/>
      <c r="R829" s="123"/>
      <c r="S829" s="20"/>
      <c r="T829" s="20"/>
      <c r="U829" s="20"/>
      <c r="V829" s="20"/>
      <c r="W829" s="20"/>
      <c r="X829" s="20"/>
      <c r="Y829" s="20"/>
      <c r="Z829" s="20"/>
      <c r="AA829" s="20"/>
      <c r="AB829" s="20"/>
      <c r="AC829" s="20"/>
    </row>
    <row r="830">
      <c r="A830" s="20"/>
      <c r="B830" s="20"/>
      <c r="C830" s="20"/>
      <c r="D830" s="20"/>
      <c r="E830" s="20"/>
      <c r="F830" s="20"/>
      <c r="G830" s="20"/>
      <c r="H830" s="121"/>
      <c r="I830" s="121"/>
      <c r="J830" s="121"/>
      <c r="K830" s="121"/>
      <c r="L830" s="121"/>
      <c r="M830" s="122"/>
      <c r="N830" s="122"/>
      <c r="O830" s="122"/>
      <c r="P830" s="123"/>
      <c r="Q830" s="123"/>
      <c r="R830" s="123"/>
      <c r="S830" s="20"/>
      <c r="T830" s="20"/>
      <c r="U830" s="20"/>
      <c r="V830" s="20"/>
      <c r="W830" s="20"/>
      <c r="X830" s="20"/>
      <c r="Y830" s="20"/>
      <c r="Z830" s="20"/>
      <c r="AA830" s="20"/>
      <c r="AB830" s="20"/>
      <c r="AC830" s="20"/>
    </row>
    <row r="831">
      <c r="A831" s="20"/>
      <c r="B831" s="20"/>
      <c r="C831" s="20"/>
      <c r="D831" s="20"/>
      <c r="E831" s="20"/>
      <c r="F831" s="20"/>
      <c r="G831" s="20"/>
      <c r="H831" s="121"/>
      <c r="I831" s="121"/>
      <c r="J831" s="121"/>
      <c r="K831" s="121"/>
      <c r="L831" s="121"/>
      <c r="M831" s="122"/>
      <c r="N831" s="122"/>
      <c r="O831" s="122"/>
      <c r="P831" s="123"/>
      <c r="Q831" s="123"/>
      <c r="R831" s="123"/>
      <c r="S831" s="20"/>
      <c r="T831" s="20"/>
      <c r="U831" s="20"/>
      <c r="V831" s="20"/>
      <c r="W831" s="20"/>
      <c r="X831" s="20"/>
      <c r="Y831" s="20"/>
      <c r="Z831" s="20"/>
      <c r="AA831" s="20"/>
      <c r="AB831" s="20"/>
      <c r="AC831" s="20"/>
    </row>
    <row r="832">
      <c r="A832" s="20"/>
      <c r="B832" s="20"/>
      <c r="C832" s="20"/>
      <c r="D832" s="20"/>
      <c r="E832" s="20"/>
      <c r="F832" s="20"/>
      <c r="G832" s="20"/>
      <c r="H832" s="121"/>
      <c r="I832" s="121"/>
      <c r="J832" s="121"/>
      <c r="K832" s="121"/>
      <c r="L832" s="121"/>
      <c r="M832" s="122"/>
      <c r="N832" s="122"/>
      <c r="O832" s="122"/>
      <c r="P832" s="123"/>
      <c r="Q832" s="123"/>
      <c r="R832" s="123"/>
      <c r="S832" s="20"/>
      <c r="T832" s="20"/>
      <c r="U832" s="20"/>
      <c r="V832" s="20"/>
      <c r="W832" s="20"/>
      <c r="X832" s="20"/>
      <c r="Y832" s="20"/>
      <c r="Z832" s="20"/>
      <c r="AA832" s="20"/>
      <c r="AB832" s="20"/>
      <c r="AC832" s="20"/>
    </row>
    <row r="833">
      <c r="A833" s="20"/>
      <c r="B833" s="20"/>
      <c r="C833" s="20"/>
      <c r="D833" s="20"/>
      <c r="E833" s="20"/>
      <c r="F833" s="20"/>
      <c r="G833" s="20"/>
      <c r="H833" s="121"/>
      <c r="I833" s="121"/>
      <c r="J833" s="121"/>
      <c r="K833" s="121"/>
      <c r="L833" s="121"/>
      <c r="M833" s="122"/>
      <c r="N833" s="122"/>
      <c r="O833" s="122"/>
      <c r="P833" s="123"/>
      <c r="Q833" s="123"/>
      <c r="R833" s="123"/>
      <c r="S833" s="20"/>
      <c r="T833" s="20"/>
      <c r="U833" s="20"/>
      <c r="V833" s="20"/>
      <c r="W833" s="20"/>
      <c r="X833" s="20"/>
      <c r="Y833" s="20"/>
      <c r="Z833" s="20"/>
      <c r="AA833" s="20"/>
      <c r="AB833" s="20"/>
      <c r="AC833" s="20"/>
    </row>
    <row r="834">
      <c r="A834" s="20"/>
      <c r="B834" s="20"/>
      <c r="C834" s="20"/>
      <c r="D834" s="20"/>
      <c r="E834" s="20"/>
      <c r="F834" s="20"/>
      <c r="G834" s="20"/>
      <c r="H834" s="121"/>
      <c r="I834" s="121"/>
      <c r="J834" s="121"/>
      <c r="K834" s="121"/>
      <c r="L834" s="121"/>
      <c r="M834" s="122"/>
      <c r="N834" s="122"/>
      <c r="O834" s="122"/>
      <c r="P834" s="123"/>
      <c r="Q834" s="123"/>
      <c r="R834" s="123"/>
      <c r="S834" s="20"/>
      <c r="T834" s="20"/>
      <c r="U834" s="20"/>
      <c r="V834" s="20"/>
      <c r="W834" s="20"/>
      <c r="X834" s="20"/>
      <c r="Y834" s="20"/>
      <c r="Z834" s="20"/>
      <c r="AA834" s="20"/>
      <c r="AB834" s="20"/>
      <c r="AC834" s="20"/>
    </row>
    <row r="835">
      <c r="A835" s="20"/>
      <c r="B835" s="20"/>
      <c r="C835" s="20"/>
      <c r="D835" s="20"/>
      <c r="E835" s="20"/>
      <c r="F835" s="20"/>
      <c r="G835" s="20"/>
      <c r="H835" s="121"/>
      <c r="I835" s="121"/>
      <c r="J835" s="121"/>
      <c r="K835" s="121"/>
      <c r="L835" s="121"/>
      <c r="M835" s="122"/>
      <c r="N835" s="122"/>
      <c r="O835" s="122"/>
      <c r="P835" s="123"/>
      <c r="Q835" s="123"/>
      <c r="R835" s="123"/>
      <c r="S835" s="20"/>
      <c r="T835" s="20"/>
      <c r="U835" s="20"/>
      <c r="V835" s="20"/>
      <c r="W835" s="20"/>
      <c r="X835" s="20"/>
      <c r="Y835" s="20"/>
      <c r="Z835" s="20"/>
      <c r="AA835" s="20"/>
      <c r="AB835" s="20"/>
      <c r="AC835" s="20"/>
    </row>
    <row r="836">
      <c r="A836" s="20"/>
      <c r="B836" s="20"/>
      <c r="C836" s="20"/>
      <c r="D836" s="20"/>
      <c r="E836" s="20"/>
      <c r="F836" s="20"/>
      <c r="G836" s="20"/>
      <c r="H836" s="121"/>
      <c r="I836" s="121"/>
      <c r="J836" s="121"/>
      <c r="K836" s="121"/>
      <c r="L836" s="121"/>
      <c r="M836" s="122"/>
      <c r="N836" s="122"/>
      <c r="O836" s="122"/>
      <c r="P836" s="123"/>
      <c r="Q836" s="123"/>
      <c r="R836" s="123"/>
      <c r="S836" s="20"/>
      <c r="T836" s="20"/>
      <c r="U836" s="20"/>
      <c r="V836" s="20"/>
      <c r="W836" s="20"/>
      <c r="X836" s="20"/>
      <c r="Y836" s="20"/>
      <c r="Z836" s="20"/>
      <c r="AA836" s="20"/>
      <c r="AB836" s="20"/>
      <c r="AC836" s="20"/>
    </row>
    <row r="837">
      <c r="A837" s="20"/>
      <c r="B837" s="20"/>
      <c r="C837" s="20"/>
      <c r="D837" s="20"/>
      <c r="E837" s="20"/>
      <c r="F837" s="20"/>
      <c r="G837" s="20"/>
      <c r="H837" s="121"/>
      <c r="I837" s="121"/>
      <c r="J837" s="121"/>
      <c r="K837" s="121"/>
      <c r="L837" s="121"/>
      <c r="M837" s="122"/>
      <c r="N837" s="122"/>
      <c r="O837" s="122"/>
      <c r="P837" s="123"/>
      <c r="Q837" s="123"/>
      <c r="R837" s="123"/>
      <c r="S837" s="20"/>
      <c r="T837" s="20"/>
      <c r="U837" s="20"/>
      <c r="V837" s="20"/>
      <c r="W837" s="20"/>
      <c r="X837" s="20"/>
      <c r="Y837" s="20"/>
      <c r="Z837" s="20"/>
      <c r="AA837" s="20"/>
      <c r="AB837" s="20"/>
      <c r="AC837" s="20"/>
    </row>
    <row r="838">
      <c r="A838" s="20"/>
      <c r="B838" s="20"/>
      <c r="C838" s="20"/>
      <c r="D838" s="20"/>
      <c r="E838" s="20"/>
      <c r="F838" s="20"/>
      <c r="G838" s="20"/>
      <c r="H838" s="121"/>
      <c r="I838" s="121"/>
      <c r="J838" s="121"/>
      <c r="K838" s="121"/>
      <c r="L838" s="121"/>
      <c r="M838" s="122"/>
      <c r="N838" s="122"/>
      <c r="O838" s="122"/>
      <c r="P838" s="123"/>
      <c r="Q838" s="123"/>
      <c r="R838" s="123"/>
      <c r="S838" s="20"/>
      <c r="T838" s="20"/>
      <c r="U838" s="20"/>
      <c r="V838" s="20"/>
      <c r="W838" s="20"/>
      <c r="X838" s="20"/>
      <c r="Y838" s="20"/>
      <c r="Z838" s="20"/>
      <c r="AA838" s="20"/>
      <c r="AB838" s="20"/>
      <c r="AC838" s="20"/>
    </row>
    <row r="839">
      <c r="A839" s="20"/>
      <c r="B839" s="20"/>
      <c r="C839" s="20"/>
      <c r="D839" s="20"/>
      <c r="E839" s="20"/>
      <c r="F839" s="20"/>
      <c r="G839" s="20"/>
      <c r="H839" s="121"/>
      <c r="I839" s="121"/>
      <c r="J839" s="121"/>
      <c r="K839" s="121"/>
      <c r="L839" s="121"/>
      <c r="M839" s="122"/>
      <c r="N839" s="122"/>
      <c r="O839" s="122"/>
      <c r="P839" s="123"/>
      <c r="Q839" s="123"/>
      <c r="R839" s="123"/>
      <c r="S839" s="20"/>
      <c r="T839" s="20"/>
      <c r="U839" s="20"/>
      <c r="V839" s="20"/>
      <c r="W839" s="20"/>
      <c r="X839" s="20"/>
      <c r="Y839" s="20"/>
      <c r="Z839" s="20"/>
      <c r="AA839" s="20"/>
      <c r="AB839" s="20"/>
      <c r="AC839" s="20"/>
    </row>
    <row r="840">
      <c r="A840" s="20"/>
      <c r="B840" s="20"/>
      <c r="C840" s="20"/>
      <c r="D840" s="20"/>
      <c r="E840" s="20"/>
      <c r="F840" s="20"/>
      <c r="G840" s="20"/>
      <c r="H840" s="121"/>
      <c r="I840" s="121"/>
      <c r="J840" s="121"/>
      <c r="K840" s="121"/>
      <c r="L840" s="121"/>
      <c r="M840" s="122"/>
      <c r="N840" s="122"/>
      <c r="O840" s="122"/>
      <c r="P840" s="123"/>
      <c r="Q840" s="123"/>
      <c r="R840" s="123"/>
      <c r="S840" s="20"/>
      <c r="T840" s="20"/>
      <c r="U840" s="20"/>
      <c r="V840" s="20"/>
      <c r="W840" s="20"/>
      <c r="X840" s="20"/>
      <c r="Y840" s="20"/>
      <c r="Z840" s="20"/>
      <c r="AA840" s="20"/>
      <c r="AB840" s="20"/>
      <c r="AC840" s="20"/>
    </row>
    <row r="841">
      <c r="A841" s="20"/>
      <c r="B841" s="20"/>
      <c r="C841" s="20"/>
      <c r="D841" s="20"/>
      <c r="E841" s="20"/>
      <c r="F841" s="20"/>
      <c r="G841" s="20"/>
      <c r="H841" s="121"/>
      <c r="I841" s="121"/>
      <c r="J841" s="121"/>
      <c r="K841" s="121"/>
      <c r="L841" s="121"/>
      <c r="M841" s="122"/>
      <c r="N841" s="122"/>
      <c r="O841" s="122"/>
      <c r="P841" s="123"/>
      <c r="Q841" s="123"/>
      <c r="R841" s="123"/>
      <c r="S841" s="20"/>
      <c r="T841" s="20"/>
      <c r="U841" s="20"/>
      <c r="V841" s="20"/>
      <c r="W841" s="20"/>
      <c r="X841" s="20"/>
      <c r="Y841" s="20"/>
      <c r="Z841" s="20"/>
      <c r="AA841" s="20"/>
      <c r="AB841" s="20"/>
      <c r="AC841" s="20"/>
    </row>
    <row r="842">
      <c r="A842" s="20"/>
      <c r="B842" s="20"/>
      <c r="C842" s="20"/>
      <c r="D842" s="20"/>
      <c r="E842" s="20"/>
      <c r="F842" s="20"/>
      <c r="G842" s="20"/>
      <c r="H842" s="121"/>
      <c r="I842" s="121"/>
      <c r="J842" s="121"/>
      <c r="K842" s="121"/>
      <c r="L842" s="121"/>
      <c r="M842" s="122"/>
      <c r="N842" s="122"/>
      <c r="O842" s="122"/>
      <c r="P842" s="123"/>
      <c r="Q842" s="123"/>
      <c r="R842" s="123"/>
      <c r="S842" s="20"/>
      <c r="T842" s="20"/>
      <c r="U842" s="20"/>
      <c r="V842" s="20"/>
      <c r="W842" s="20"/>
      <c r="X842" s="20"/>
      <c r="Y842" s="20"/>
      <c r="Z842" s="20"/>
      <c r="AA842" s="20"/>
      <c r="AB842" s="20"/>
      <c r="AC842" s="20"/>
    </row>
    <row r="843">
      <c r="A843" s="20"/>
      <c r="B843" s="20"/>
      <c r="C843" s="20"/>
      <c r="D843" s="20"/>
      <c r="E843" s="20"/>
      <c r="F843" s="20"/>
      <c r="G843" s="20"/>
      <c r="H843" s="121"/>
      <c r="I843" s="121"/>
      <c r="J843" s="121"/>
      <c r="K843" s="121"/>
      <c r="L843" s="121"/>
      <c r="M843" s="122"/>
      <c r="N843" s="122"/>
      <c r="O843" s="122"/>
      <c r="P843" s="123"/>
      <c r="Q843" s="123"/>
      <c r="R843" s="123"/>
      <c r="S843" s="20"/>
      <c r="T843" s="20"/>
      <c r="U843" s="20"/>
      <c r="V843" s="20"/>
      <c r="W843" s="20"/>
      <c r="X843" s="20"/>
      <c r="Y843" s="20"/>
      <c r="Z843" s="20"/>
      <c r="AA843" s="20"/>
      <c r="AB843" s="20"/>
      <c r="AC843" s="20"/>
    </row>
    <row r="844">
      <c r="A844" s="20"/>
      <c r="B844" s="20"/>
      <c r="C844" s="20"/>
      <c r="D844" s="20"/>
      <c r="E844" s="20"/>
      <c r="F844" s="20"/>
      <c r="G844" s="20"/>
      <c r="H844" s="121"/>
      <c r="I844" s="121"/>
      <c r="J844" s="121"/>
      <c r="K844" s="121"/>
      <c r="L844" s="121"/>
      <c r="M844" s="122"/>
      <c r="N844" s="122"/>
      <c r="O844" s="122"/>
      <c r="P844" s="123"/>
      <c r="Q844" s="123"/>
      <c r="R844" s="123"/>
      <c r="S844" s="20"/>
      <c r="T844" s="20"/>
      <c r="U844" s="20"/>
      <c r="V844" s="20"/>
      <c r="W844" s="20"/>
      <c r="X844" s="20"/>
      <c r="Y844" s="20"/>
      <c r="Z844" s="20"/>
      <c r="AA844" s="20"/>
      <c r="AB844" s="20"/>
      <c r="AC844" s="20"/>
    </row>
    <row r="845">
      <c r="A845" s="20"/>
      <c r="B845" s="20"/>
      <c r="C845" s="20"/>
      <c r="D845" s="20"/>
      <c r="E845" s="20"/>
      <c r="F845" s="20"/>
      <c r="G845" s="20"/>
      <c r="H845" s="121"/>
      <c r="I845" s="121"/>
      <c r="J845" s="121"/>
      <c r="K845" s="121"/>
      <c r="L845" s="121"/>
      <c r="M845" s="122"/>
      <c r="N845" s="122"/>
      <c r="O845" s="122"/>
      <c r="P845" s="123"/>
      <c r="Q845" s="123"/>
      <c r="R845" s="123"/>
      <c r="S845" s="20"/>
      <c r="T845" s="20"/>
      <c r="U845" s="20"/>
      <c r="V845" s="20"/>
      <c r="W845" s="20"/>
      <c r="X845" s="20"/>
      <c r="Y845" s="20"/>
      <c r="Z845" s="20"/>
      <c r="AA845" s="20"/>
      <c r="AB845" s="20"/>
      <c r="AC845" s="20"/>
    </row>
    <row r="846">
      <c r="A846" s="20"/>
      <c r="B846" s="20"/>
      <c r="C846" s="20"/>
      <c r="D846" s="20"/>
      <c r="E846" s="20"/>
      <c r="F846" s="20"/>
      <c r="G846" s="20"/>
      <c r="H846" s="121"/>
      <c r="I846" s="121"/>
      <c r="J846" s="121"/>
      <c r="K846" s="121"/>
      <c r="L846" s="121"/>
      <c r="M846" s="122"/>
      <c r="N846" s="122"/>
      <c r="O846" s="122"/>
      <c r="P846" s="123"/>
      <c r="Q846" s="123"/>
      <c r="R846" s="123"/>
      <c r="S846" s="20"/>
      <c r="T846" s="20"/>
      <c r="U846" s="20"/>
      <c r="V846" s="20"/>
      <c r="W846" s="20"/>
      <c r="X846" s="20"/>
      <c r="Y846" s="20"/>
      <c r="Z846" s="20"/>
      <c r="AA846" s="20"/>
      <c r="AB846" s="20"/>
      <c r="AC846" s="20"/>
    </row>
    <row r="847">
      <c r="A847" s="20"/>
      <c r="B847" s="20"/>
      <c r="C847" s="20"/>
      <c r="D847" s="20"/>
      <c r="E847" s="20"/>
      <c r="F847" s="20"/>
      <c r="G847" s="20"/>
      <c r="H847" s="121"/>
      <c r="I847" s="121"/>
      <c r="J847" s="121"/>
      <c r="K847" s="121"/>
      <c r="L847" s="121"/>
      <c r="M847" s="122"/>
      <c r="N847" s="122"/>
      <c r="O847" s="122"/>
      <c r="P847" s="123"/>
      <c r="Q847" s="123"/>
      <c r="R847" s="123"/>
      <c r="S847" s="20"/>
      <c r="T847" s="20"/>
      <c r="U847" s="20"/>
      <c r="V847" s="20"/>
      <c r="W847" s="20"/>
      <c r="X847" s="20"/>
      <c r="Y847" s="20"/>
      <c r="Z847" s="20"/>
      <c r="AA847" s="20"/>
      <c r="AB847" s="20"/>
      <c r="AC847" s="20"/>
    </row>
    <row r="848">
      <c r="A848" s="20"/>
      <c r="B848" s="20"/>
      <c r="C848" s="20"/>
      <c r="D848" s="20"/>
      <c r="E848" s="20"/>
      <c r="F848" s="20"/>
      <c r="G848" s="20"/>
      <c r="H848" s="121"/>
      <c r="I848" s="121"/>
      <c r="J848" s="121"/>
      <c r="K848" s="121"/>
      <c r="L848" s="121"/>
      <c r="M848" s="122"/>
      <c r="N848" s="122"/>
      <c r="O848" s="122"/>
      <c r="P848" s="123"/>
      <c r="Q848" s="123"/>
      <c r="R848" s="123"/>
      <c r="S848" s="20"/>
      <c r="T848" s="20"/>
      <c r="U848" s="20"/>
      <c r="V848" s="20"/>
      <c r="W848" s="20"/>
      <c r="X848" s="20"/>
      <c r="Y848" s="20"/>
      <c r="Z848" s="20"/>
      <c r="AA848" s="20"/>
      <c r="AB848" s="20"/>
      <c r="AC848" s="20"/>
    </row>
    <row r="849">
      <c r="A849" s="20"/>
      <c r="B849" s="20"/>
      <c r="C849" s="20"/>
      <c r="D849" s="20"/>
      <c r="E849" s="20"/>
      <c r="F849" s="20"/>
      <c r="G849" s="20"/>
      <c r="H849" s="121"/>
      <c r="I849" s="121"/>
      <c r="J849" s="121"/>
      <c r="K849" s="121"/>
      <c r="L849" s="121"/>
      <c r="M849" s="122"/>
      <c r="N849" s="122"/>
      <c r="O849" s="122"/>
      <c r="P849" s="123"/>
      <c r="Q849" s="123"/>
      <c r="R849" s="123"/>
      <c r="S849" s="20"/>
      <c r="T849" s="20"/>
      <c r="U849" s="20"/>
      <c r="V849" s="20"/>
      <c r="W849" s="20"/>
      <c r="X849" s="20"/>
      <c r="Y849" s="20"/>
      <c r="Z849" s="20"/>
      <c r="AA849" s="20"/>
      <c r="AB849" s="20"/>
      <c r="AC849" s="20"/>
    </row>
    <row r="850">
      <c r="A850" s="20"/>
      <c r="B850" s="20"/>
      <c r="C850" s="20"/>
      <c r="D850" s="20"/>
      <c r="E850" s="20"/>
      <c r="F850" s="20"/>
      <c r="G850" s="20"/>
      <c r="H850" s="121"/>
      <c r="I850" s="121"/>
      <c r="J850" s="121"/>
      <c r="K850" s="121"/>
      <c r="L850" s="121"/>
      <c r="M850" s="122"/>
      <c r="N850" s="122"/>
      <c r="O850" s="122"/>
      <c r="P850" s="123"/>
      <c r="Q850" s="123"/>
      <c r="R850" s="123"/>
      <c r="S850" s="20"/>
      <c r="T850" s="20"/>
      <c r="U850" s="20"/>
      <c r="V850" s="20"/>
      <c r="W850" s="20"/>
      <c r="X850" s="20"/>
      <c r="Y850" s="20"/>
      <c r="Z850" s="20"/>
      <c r="AA850" s="20"/>
      <c r="AB850" s="20"/>
      <c r="AC850" s="20"/>
    </row>
    <row r="851">
      <c r="A851" s="20"/>
      <c r="B851" s="20"/>
      <c r="C851" s="20"/>
      <c r="D851" s="20"/>
      <c r="E851" s="20"/>
      <c r="F851" s="20"/>
      <c r="G851" s="20"/>
      <c r="H851" s="121"/>
      <c r="I851" s="121"/>
      <c r="J851" s="121"/>
      <c r="K851" s="121"/>
      <c r="L851" s="121"/>
      <c r="M851" s="122"/>
      <c r="N851" s="122"/>
      <c r="O851" s="122"/>
      <c r="P851" s="123"/>
      <c r="Q851" s="123"/>
      <c r="R851" s="123"/>
      <c r="S851" s="20"/>
      <c r="T851" s="20"/>
      <c r="U851" s="20"/>
      <c r="V851" s="20"/>
      <c r="W851" s="20"/>
      <c r="X851" s="20"/>
      <c r="Y851" s="20"/>
      <c r="Z851" s="20"/>
      <c r="AA851" s="20"/>
      <c r="AB851" s="20"/>
      <c r="AC851" s="20"/>
    </row>
    <row r="852">
      <c r="A852" s="20"/>
      <c r="B852" s="20"/>
      <c r="C852" s="20"/>
      <c r="D852" s="20"/>
      <c r="E852" s="20"/>
      <c r="F852" s="20"/>
      <c r="G852" s="20"/>
      <c r="H852" s="121"/>
      <c r="I852" s="121"/>
      <c r="J852" s="121"/>
      <c r="K852" s="121"/>
      <c r="L852" s="121"/>
      <c r="M852" s="122"/>
      <c r="N852" s="122"/>
      <c r="O852" s="122"/>
      <c r="P852" s="123"/>
      <c r="Q852" s="123"/>
      <c r="R852" s="123"/>
      <c r="S852" s="20"/>
      <c r="T852" s="20"/>
      <c r="U852" s="20"/>
      <c r="V852" s="20"/>
      <c r="W852" s="20"/>
      <c r="X852" s="20"/>
      <c r="Y852" s="20"/>
      <c r="Z852" s="20"/>
      <c r="AA852" s="20"/>
      <c r="AB852" s="20"/>
      <c r="AC852" s="20"/>
    </row>
    <row r="853">
      <c r="A853" s="20"/>
      <c r="B853" s="20"/>
      <c r="C853" s="20"/>
      <c r="D853" s="20"/>
      <c r="E853" s="20"/>
      <c r="F853" s="20"/>
      <c r="G853" s="20"/>
      <c r="H853" s="121"/>
      <c r="I853" s="121"/>
      <c r="J853" s="121"/>
      <c r="K853" s="121"/>
      <c r="L853" s="121"/>
      <c r="M853" s="122"/>
      <c r="N853" s="122"/>
      <c r="O853" s="122"/>
      <c r="P853" s="123"/>
      <c r="Q853" s="123"/>
      <c r="R853" s="123"/>
      <c r="S853" s="20"/>
      <c r="T853" s="20"/>
      <c r="U853" s="20"/>
      <c r="V853" s="20"/>
      <c r="W853" s="20"/>
      <c r="X853" s="20"/>
      <c r="Y853" s="20"/>
      <c r="Z853" s="20"/>
      <c r="AA853" s="20"/>
      <c r="AB853" s="20"/>
      <c r="AC853" s="20"/>
    </row>
    <row r="854">
      <c r="A854" s="20"/>
      <c r="B854" s="20"/>
      <c r="C854" s="20"/>
      <c r="D854" s="20"/>
      <c r="E854" s="20"/>
      <c r="F854" s="20"/>
      <c r="G854" s="20"/>
      <c r="H854" s="121"/>
      <c r="I854" s="121"/>
      <c r="J854" s="121"/>
      <c r="K854" s="121"/>
      <c r="L854" s="121"/>
      <c r="M854" s="122"/>
      <c r="N854" s="122"/>
      <c r="O854" s="122"/>
      <c r="P854" s="123"/>
      <c r="Q854" s="123"/>
      <c r="R854" s="123"/>
      <c r="S854" s="20"/>
      <c r="T854" s="20"/>
      <c r="U854" s="20"/>
      <c r="V854" s="20"/>
      <c r="W854" s="20"/>
      <c r="X854" s="20"/>
      <c r="Y854" s="20"/>
      <c r="Z854" s="20"/>
      <c r="AA854" s="20"/>
      <c r="AB854" s="20"/>
      <c r="AC854" s="20"/>
    </row>
    <row r="855">
      <c r="A855" s="20"/>
      <c r="B855" s="20"/>
      <c r="C855" s="20"/>
      <c r="D855" s="20"/>
      <c r="E855" s="20"/>
      <c r="F855" s="20"/>
      <c r="G855" s="20"/>
      <c r="H855" s="121"/>
      <c r="I855" s="121"/>
      <c r="J855" s="121"/>
      <c r="K855" s="121"/>
      <c r="L855" s="121"/>
      <c r="M855" s="122"/>
      <c r="N855" s="122"/>
      <c r="O855" s="122"/>
      <c r="P855" s="123"/>
      <c r="Q855" s="123"/>
      <c r="R855" s="123"/>
      <c r="S855" s="20"/>
      <c r="T855" s="20"/>
      <c r="U855" s="20"/>
      <c r="V855" s="20"/>
      <c r="W855" s="20"/>
      <c r="X855" s="20"/>
      <c r="Y855" s="20"/>
      <c r="Z855" s="20"/>
      <c r="AA855" s="20"/>
      <c r="AB855" s="20"/>
      <c r="AC855" s="20"/>
    </row>
    <row r="856">
      <c r="A856" s="20"/>
      <c r="B856" s="20"/>
      <c r="C856" s="20"/>
      <c r="D856" s="20"/>
      <c r="E856" s="20"/>
      <c r="F856" s="20"/>
      <c r="G856" s="20"/>
      <c r="H856" s="121"/>
      <c r="I856" s="121"/>
      <c r="J856" s="121"/>
      <c r="K856" s="121"/>
      <c r="L856" s="121"/>
      <c r="M856" s="122"/>
      <c r="N856" s="122"/>
      <c r="O856" s="122"/>
      <c r="P856" s="123"/>
      <c r="Q856" s="123"/>
      <c r="R856" s="123"/>
      <c r="S856" s="20"/>
      <c r="T856" s="20"/>
      <c r="U856" s="20"/>
      <c r="V856" s="20"/>
      <c r="W856" s="20"/>
      <c r="X856" s="20"/>
      <c r="Y856" s="20"/>
      <c r="Z856" s="20"/>
      <c r="AA856" s="20"/>
      <c r="AB856" s="20"/>
      <c r="AC856" s="20"/>
    </row>
    <row r="857">
      <c r="A857" s="20"/>
      <c r="B857" s="20"/>
      <c r="C857" s="20"/>
      <c r="D857" s="20"/>
      <c r="E857" s="20"/>
      <c r="F857" s="20"/>
      <c r="G857" s="20"/>
      <c r="H857" s="121"/>
      <c r="I857" s="121"/>
      <c r="J857" s="121"/>
      <c r="K857" s="121"/>
      <c r="L857" s="121"/>
      <c r="M857" s="122"/>
      <c r="N857" s="122"/>
      <c r="O857" s="122"/>
      <c r="P857" s="123"/>
      <c r="Q857" s="123"/>
      <c r="R857" s="123"/>
      <c r="S857" s="20"/>
      <c r="T857" s="20"/>
      <c r="U857" s="20"/>
      <c r="V857" s="20"/>
      <c r="W857" s="20"/>
      <c r="X857" s="20"/>
      <c r="Y857" s="20"/>
      <c r="Z857" s="20"/>
      <c r="AA857" s="20"/>
      <c r="AB857" s="20"/>
      <c r="AC857" s="20"/>
    </row>
    <row r="858">
      <c r="A858" s="20"/>
      <c r="B858" s="20"/>
      <c r="C858" s="20"/>
      <c r="D858" s="20"/>
      <c r="E858" s="20"/>
      <c r="F858" s="20"/>
      <c r="G858" s="20"/>
      <c r="H858" s="121"/>
      <c r="I858" s="121"/>
      <c r="J858" s="121"/>
      <c r="K858" s="121"/>
      <c r="L858" s="121"/>
      <c r="M858" s="122"/>
      <c r="N858" s="122"/>
      <c r="O858" s="122"/>
      <c r="P858" s="123"/>
      <c r="Q858" s="123"/>
      <c r="R858" s="123"/>
      <c r="S858" s="20"/>
      <c r="T858" s="20"/>
      <c r="U858" s="20"/>
      <c r="V858" s="20"/>
      <c r="W858" s="20"/>
      <c r="X858" s="20"/>
      <c r="Y858" s="20"/>
      <c r="Z858" s="20"/>
      <c r="AA858" s="20"/>
      <c r="AB858" s="20"/>
      <c r="AC858" s="20"/>
    </row>
    <row r="859">
      <c r="A859" s="20"/>
      <c r="B859" s="20"/>
      <c r="C859" s="20"/>
      <c r="D859" s="20"/>
      <c r="E859" s="20"/>
      <c r="F859" s="20"/>
      <c r="G859" s="20"/>
      <c r="H859" s="121"/>
      <c r="I859" s="121"/>
      <c r="J859" s="121"/>
      <c r="K859" s="121"/>
      <c r="L859" s="121"/>
      <c r="M859" s="122"/>
      <c r="N859" s="122"/>
      <c r="O859" s="122"/>
      <c r="P859" s="123"/>
      <c r="Q859" s="123"/>
      <c r="R859" s="123"/>
      <c r="S859" s="20"/>
      <c r="T859" s="20"/>
      <c r="U859" s="20"/>
      <c r="V859" s="20"/>
      <c r="W859" s="20"/>
      <c r="X859" s="20"/>
      <c r="Y859" s="20"/>
      <c r="Z859" s="20"/>
      <c r="AA859" s="20"/>
      <c r="AB859" s="20"/>
      <c r="AC859" s="20"/>
    </row>
    <row r="860">
      <c r="A860" s="20"/>
      <c r="B860" s="20"/>
      <c r="C860" s="20"/>
      <c r="D860" s="20"/>
      <c r="E860" s="20"/>
      <c r="F860" s="20"/>
      <c r="G860" s="20"/>
      <c r="H860" s="121"/>
      <c r="I860" s="121"/>
      <c r="J860" s="121"/>
      <c r="K860" s="121"/>
      <c r="L860" s="121"/>
      <c r="M860" s="122"/>
      <c r="N860" s="122"/>
      <c r="O860" s="122"/>
      <c r="P860" s="123"/>
      <c r="Q860" s="123"/>
      <c r="R860" s="123"/>
      <c r="S860" s="20"/>
      <c r="T860" s="20"/>
      <c r="U860" s="20"/>
      <c r="V860" s="20"/>
      <c r="W860" s="20"/>
      <c r="X860" s="20"/>
      <c r="Y860" s="20"/>
      <c r="Z860" s="20"/>
      <c r="AA860" s="20"/>
      <c r="AB860" s="20"/>
      <c r="AC860" s="20"/>
    </row>
    <row r="861">
      <c r="A861" s="20"/>
      <c r="B861" s="20"/>
      <c r="C861" s="20"/>
      <c r="D861" s="20"/>
      <c r="E861" s="20"/>
      <c r="F861" s="20"/>
      <c r="G861" s="20"/>
      <c r="H861" s="121"/>
      <c r="I861" s="121"/>
      <c r="J861" s="121"/>
      <c r="K861" s="121"/>
      <c r="L861" s="121"/>
      <c r="M861" s="122"/>
      <c r="N861" s="122"/>
      <c r="O861" s="122"/>
      <c r="P861" s="123"/>
      <c r="Q861" s="123"/>
      <c r="R861" s="123"/>
      <c r="S861" s="20"/>
      <c r="T861" s="20"/>
      <c r="U861" s="20"/>
      <c r="V861" s="20"/>
      <c r="W861" s="20"/>
      <c r="X861" s="20"/>
      <c r="Y861" s="20"/>
      <c r="Z861" s="20"/>
      <c r="AA861" s="20"/>
      <c r="AB861" s="20"/>
      <c r="AC861" s="20"/>
    </row>
    <row r="862">
      <c r="A862" s="20"/>
      <c r="B862" s="20"/>
      <c r="C862" s="20"/>
      <c r="D862" s="20"/>
      <c r="E862" s="20"/>
      <c r="F862" s="20"/>
      <c r="G862" s="20"/>
      <c r="H862" s="121"/>
      <c r="I862" s="121"/>
      <c r="J862" s="121"/>
      <c r="K862" s="121"/>
      <c r="L862" s="121"/>
      <c r="M862" s="122"/>
      <c r="N862" s="122"/>
      <c r="O862" s="122"/>
      <c r="P862" s="123"/>
      <c r="Q862" s="123"/>
      <c r="R862" s="123"/>
      <c r="S862" s="20"/>
      <c r="T862" s="20"/>
      <c r="U862" s="20"/>
      <c r="V862" s="20"/>
      <c r="W862" s="20"/>
      <c r="X862" s="20"/>
      <c r="Y862" s="20"/>
      <c r="Z862" s="20"/>
      <c r="AA862" s="20"/>
      <c r="AB862" s="20"/>
      <c r="AC862" s="20"/>
    </row>
    <row r="863">
      <c r="A863" s="20"/>
      <c r="B863" s="20"/>
      <c r="C863" s="20"/>
      <c r="D863" s="20"/>
      <c r="E863" s="20"/>
      <c r="F863" s="20"/>
      <c r="G863" s="20"/>
      <c r="H863" s="121"/>
      <c r="I863" s="121"/>
      <c r="J863" s="121"/>
      <c r="K863" s="121"/>
      <c r="L863" s="121"/>
      <c r="M863" s="122"/>
      <c r="N863" s="122"/>
      <c r="O863" s="122"/>
      <c r="P863" s="123"/>
      <c r="Q863" s="123"/>
      <c r="R863" s="123"/>
      <c r="S863" s="20"/>
      <c r="T863" s="20"/>
      <c r="U863" s="20"/>
      <c r="V863" s="20"/>
      <c r="W863" s="20"/>
      <c r="X863" s="20"/>
      <c r="Y863" s="20"/>
      <c r="Z863" s="20"/>
      <c r="AA863" s="20"/>
      <c r="AB863" s="20"/>
      <c r="AC863" s="20"/>
    </row>
    <row r="864">
      <c r="A864" s="20"/>
      <c r="B864" s="20"/>
      <c r="C864" s="20"/>
      <c r="D864" s="20"/>
      <c r="E864" s="20"/>
      <c r="F864" s="20"/>
      <c r="G864" s="20"/>
      <c r="H864" s="121"/>
      <c r="I864" s="121"/>
      <c r="J864" s="121"/>
      <c r="K864" s="121"/>
      <c r="L864" s="121"/>
      <c r="M864" s="122"/>
      <c r="N864" s="122"/>
      <c r="O864" s="122"/>
      <c r="P864" s="123"/>
      <c r="Q864" s="123"/>
      <c r="R864" s="123"/>
      <c r="S864" s="20"/>
      <c r="T864" s="20"/>
      <c r="U864" s="20"/>
      <c r="V864" s="20"/>
      <c r="W864" s="20"/>
      <c r="X864" s="20"/>
      <c r="Y864" s="20"/>
      <c r="Z864" s="20"/>
      <c r="AA864" s="20"/>
      <c r="AB864" s="20"/>
      <c r="AC864" s="20"/>
    </row>
    <row r="865">
      <c r="A865" s="20"/>
      <c r="B865" s="20"/>
      <c r="C865" s="20"/>
      <c r="D865" s="20"/>
      <c r="E865" s="20"/>
      <c r="F865" s="20"/>
      <c r="G865" s="20"/>
      <c r="H865" s="121"/>
      <c r="I865" s="121"/>
      <c r="J865" s="121"/>
      <c r="K865" s="121"/>
      <c r="L865" s="121"/>
      <c r="M865" s="122"/>
      <c r="N865" s="122"/>
      <c r="O865" s="122"/>
      <c r="P865" s="123"/>
      <c r="Q865" s="123"/>
      <c r="R865" s="123"/>
      <c r="S865" s="20"/>
      <c r="T865" s="20"/>
      <c r="U865" s="20"/>
      <c r="V865" s="20"/>
      <c r="W865" s="20"/>
      <c r="X865" s="20"/>
      <c r="Y865" s="20"/>
      <c r="Z865" s="20"/>
      <c r="AA865" s="20"/>
      <c r="AB865" s="20"/>
      <c r="AC865" s="20"/>
    </row>
    <row r="866">
      <c r="A866" s="20"/>
      <c r="B866" s="20"/>
      <c r="C866" s="20"/>
      <c r="D866" s="20"/>
      <c r="E866" s="20"/>
      <c r="F866" s="20"/>
      <c r="G866" s="20"/>
      <c r="H866" s="121"/>
      <c r="I866" s="121"/>
      <c r="J866" s="121"/>
      <c r="K866" s="121"/>
      <c r="L866" s="121"/>
      <c r="M866" s="122"/>
      <c r="N866" s="122"/>
      <c r="O866" s="122"/>
      <c r="P866" s="123"/>
      <c r="Q866" s="123"/>
      <c r="R866" s="123"/>
      <c r="S866" s="20"/>
      <c r="T866" s="20"/>
      <c r="U866" s="20"/>
      <c r="V866" s="20"/>
      <c r="W866" s="20"/>
      <c r="X866" s="20"/>
      <c r="Y866" s="20"/>
      <c r="Z866" s="20"/>
      <c r="AA866" s="20"/>
      <c r="AB866" s="20"/>
      <c r="AC866" s="20"/>
    </row>
    <row r="867">
      <c r="A867" s="20"/>
      <c r="B867" s="20"/>
      <c r="C867" s="20"/>
      <c r="D867" s="20"/>
      <c r="E867" s="20"/>
      <c r="F867" s="20"/>
      <c r="G867" s="20"/>
      <c r="H867" s="121"/>
      <c r="I867" s="121"/>
      <c r="J867" s="121"/>
      <c r="K867" s="121"/>
      <c r="L867" s="121"/>
      <c r="M867" s="122"/>
      <c r="N867" s="122"/>
      <c r="O867" s="122"/>
      <c r="P867" s="123"/>
      <c r="Q867" s="123"/>
      <c r="R867" s="123"/>
      <c r="S867" s="20"/>
      <c r="T867" s="20"/>
      <c r="U867" s="20"/>
      <c r="V867" s="20"/>
      <c r="W867" s="20"/>
      <c r="X867" s="20"/>
      <c r="Y867" s="20"/>
      <c r="Z867" s="20"/>
      <c r="AA867" s="20"/>
      <c r="AB867" s="20"/>
      <c r="AC867" s="20"/>
    </row>
    <row r="868">
      <c r="A868" s="20"/>
      <c r="B868" s="20"/>
      <c r="C868" s="20"/>
      <c r="D868" s="20"/>
      <c r="E868" s="20"/>
      <c r="F868" s="20"/>
      <c r="G868" s="20"/>
      <c r="H868" s="121"/>
      <c r="I868" s="121"/>
      <c r="J868" s="121"/>
      <c r="K868" s="121"/>
      <c r="L868" s="121"/>
      <c r="M868" s="122"/>
      <c r="N868" s="122"/>
      <c r="O868" s="122"/>
      <c r="P868" s="123"/>
      <c r="Q868" s="123"/>
      <c r="R868" s="123"/>
      <c r="S868" s="20"/>
      <c r="T868" s="20"/>
      <c r="U868" s="20"/>
      <c r="V868" s="20"/>
      <c r="W868" s="20"/>
      <c r="X868" s="20"/>
      <c r="Y868" s="20"/>
      <c r="Z868" s="20"/>
      <c r="AA868" s="20"/>
      <c r="AB868" s="20"/>
      <c r="AC868" s="20"/>
    </row>
    <row r="869">
      <c r="A869" s="20"/>
      <c r="B869" s="20"/>
      <c r="C869" s="20"/>
      <c r="D869" s="20"/>
      <c r="E869" s="20"/>
      <c r="F869" s="20"/>
      <c r="G869" s="20"/>
      <c r="H869" s="121"/>
      <c r="I869" s="121"/>
      <c r="J869" s="121"/>
      <c r="K869" s="121"/>
      <c r="L869" s="121"/>
      <c r="M869" s="122"/>
      <c r="N869" s="122"/>
      <c r="O869" s="122"/>
      <c r="P869" s="123"/>
      <c r="Q869" s="123"/>
      <c r="R869" s="123"/>
      <c r="S869" s="20"/>
      <c r="T869" s="20"/>
      <c r="U869" s="20"/>
      <c r="V869" s="20"/>
      <c r="W869" s="20"/>
      <c r="X869" s="20"/>
      <c r="Y869" s="20"/>
      <c r="Z869" s="20"/>
      <c r="AA869" s="20"/>
      <c r="AB869" s="20"/>
      <c r="AC869" s="20"/>
    </row>
    <row r="870">
      <c r="A870" s="20"/>
      <c r="B870" s="20"/>
      <c r="C870" s="20"/>
      <c r="D870" s="20"/>
      <c r="E870" s="20"/>
      <c r="F870" s="20"/>
      <c r="G870" s="20"/>
      <c r="H870" s="121"/>
      <c r="I870" s="121"/>
      <c r="J870" s="121"/>
      <c r="K870" s="121"/>
      <c r="L870" s="121"/>
      <c r="M870" s="122"/>
      <c r="N870" s="122"/>
      <c r="O870" s="122"/>
      <c r="P870" s="123"/>
      <c r="Q870" s="123"/>
      <c r="R870" s="123"/>
      <c r="S870" s="20"/>
      <c r="T870" s="20"/>
      <c r="U870" s="20"/>
      <c r="V870" s="20"/>
      <c r="W870" s="20"/>
      <c r="X870" s="20"/>
      <c r="Y870" s="20"/>
      <c r="Z870" s="20"/>
      <c r="AA870" s="20"/>
      <c r="AB870" s="20"/>
      <c r="AC870" s="20"/>
    </row>
    <row r="871">
      <c r="A871" s="20"/>
      <c r="B871" s="20"/>
      <c r="C871" s="20"/>
      <c r="D871" s="20"/>
      <c r="E871" s="20"/>
      <c r="F871" s="20"/>
      <c r="G871" s="20"/>
      <c r="H871" s="121"/>
      <c r="I871" s="121"/>
      <c r="J871" s="121"/>
      <c r="K871" s="121"/>
      <c r="L871" s="121"/>
      <c r="M871" s="122"/>
      <c r="N871" s="122"/>
      <c r="O871" s="122"/>
      <c r="P871" s="123"/>
      <c r="Q871" s="123"/>
      <c r="R871" s="123"/>
      <c r="S871" s="20"/>
      <c r="T871" s="20"/>
      <c r="U871" s="20"/>
      <c r="V871" s="20"/>
      <c r="W871" s="20"/>
      <c r="X871" s="20"/>
      <c r="Y871" s="20"/>
      <c r="Z871" s="20"/>
      <c r="AA871" s="20"/>
      <c r="AB871" s="20"/>
      <c r="AC871" s="20"/>
    </row>
    <row r="872">
      <c r="A872" s="20"/>
      <c r="B872" s="20"/>
      <c r="C872" s="20"/>
      <c r="D872" s="20"/>
      <c r="E872" s="20"/>
      <c r="F872" s="20"/>
      <c r="G872" s="20"/>
      <c r="H872" s="121"/>
      <c r="I872" s="121"/>
      <c r="J872" s="121"/>
      <c r="K872" s="121"/>
      <c r="L872" s="121"/>
      <c r="M872" s="122"/>
      <c r="N872" s="122"/>
      <c r="O872" s="122"/>
      <c r="P872" s="123"/>
      <c r="Q872" s="123"/>
      <c r="R872" s="123"/>
      <c r="S872" s="20"/>
      <c r="T872" s="20"/>
      <c r="U872" s="20"/>
      <c r="V872" s="20"/>
      <c r="W872" s="20"/>
      <c r="X872" s="20"/>
      <c r="Y872" s="20"/>
      <c r="Z872" s="20"/>
      <c r="AA872" s="20"/>
      <c r="AB872" s="20"/>
      <c r="AC872" s="20"/>
    </row>
    <row r="873">
      <c r="A873" s="20"/>
      <c r="B873" s="20"/>
      <c r="C873" s="20"/>
      <c r="D873" s="20"/>
      <c r="E873" s="20"/>
      <c r="F873" s="20"/>
      <c r="G873" s="20"/>
      <c r="H873" s="121"/>
      <c r="I873" s="121"/>
      <c r="J873" s="121"/>
      <c r="K873" s="121"/>
      <c r="L873" s="121"/>
      <c r="M873" s="122"/>
      <c r="N873" s="122"/>
      <c r="O873" s="122"/>
      <c r="P873" s="123"/>
      <c r="Q873" s="123"/>
      <c r="R873" s="123"/>
      <c r="S873" s="20"/>
      <c r="T873" s="20"/>
      <c r="U873" s="20"/>
      <c r="V873" s="20"/>
      <c r="W873" s="20"/>
      <c r="X873" s="20"/>
      <c r="Y873" s="20"/>
      <c r="Z873" s="20"/>
      <c r="AA873" s="20"/>
      <c r="AB873" s="20"/>
      <c r="AC873" s="20"/>
    </row>
    <row r="874">
      <c r="A874" s="20"/>
      <c r="B874" s="20"/>
      <c r="C874" s="20"/>
      <c r="D874" s="20"/>
      <c r="E874" s="20"/>
      <c r="F874" s="20"/>
      <c r="G874" s="20"/>
      <c r="H874" s="121"/>
      <c r="I874" s="121"/>
      <c r="J874" s="121"/>
      <c r="K874" s="121"/>
      <c r="L874" s="121"/>
      <c r="M874" s="122"/>
      <c r="N874" s="122"/>
      <c r="O874" s="122"/>
      <c r="P874" s="123"/>
      <c r="Q874" s="123"/>
      <c r="R874" s="123"/>
      <c r="S874" s="20"/>
      <c r="T874" s="20"/>
      <c r="U874" s="20"/>
      <c r="V874" s="20"/>
      <c r="W874" s="20"/>
      <c r="X874" s="20"/>
      <c r="Y874" s="20"/>
      <c r="Z874" s="20"/>
      <c r="AA874" s="20"/>
      <c r="AB874" s="20"/>
      <c r="AC874" s="20"/>
    </row>
    <row r="875">
      <c r="A875" s="20"/>
      <c r="B875" s="20"/>
      <c r="C875" s="20"/>
      <c r="D875" s="20"/>
      <c r="E875" s="20"/>
      <c r="F875" s="20"/>
      <c r="G875" s="20"/>
      <c r="H875" s="121"/>
      <c r="I875" s="121"/>
      <c r="J875" s="121"/>
      <c r="K875" s="121"/>
      <c r="L875" s="121"/>
      <c r="M875" s="122"/>
      <c r="N875" s="122"/>
      <c r="O875" s="122"/>
      <c r="P875" s="123"/>
      <c r="Q875" s="123"/>
      <c r="R875" s="123"/>
      <c r="S875" s="20"/>
      <c r="T875" s="20"/>
      <c r="U875" s="20"/>
      <c r="V875" s="20"/>
      <c r="W875" s="20"/>
      <c r="X875" s="20"/>
      <c r="Y875" s="20"/>
      <c r="Z875" s="20"/>
      <c r="AA875" s="20"/>
      <c r="AB875" s="20"/>
      <c r="AC875" s="20"/>
    </row>
    <row r="876">
      <c r="A876" s="20"/>
      <c r="B876" s="20"/>
      <c r="C876" s="20"/>
      <c r="D876" s="20"/>
      <c r="E876" s="20"/>
      <c r="F876" s="20"/>
      <c r="G876" s="20"/>
      <c r="H876" s="121"/>
      <c r="I876" s="121"/>
      <c r="J876" s="121"/>
      <c r="K876" s="121"/>
      <c r="L876" s="121"/>
      <c r="M876" s="122"/>
      <c r="N876" s="122"/>
      <c r="O876" s="122"/>
      <c r="P876" s="123"/>
      <c r="Q876" s="123"/>
      <c r="R876" s="123"/>
      <c r="S876" s="20"/>
      <c r="T876" s="20"/>
      <c r="U876" s="20"/>
      <c r="V876" s="20"/>
      <c r="W876" s="20"/>
      <c r="X876" s="20"/>
      <c r="Y876" s="20"/>
      <c r="Z876" s="20"/>
      <c r="AA876" s="20"/>
      <c r="AB876" s="20"/>
      <c r="AC876" s="20"/>
    </row>
    <row r="877">
      <c r="A877" s="20"/>
      <c r="B877" s="20"/>
      <c r="C877" s="20"/>
      <c r="D877" s="20"/>
      <c r="E877" s="20"/>
      <c r="F877" s="20"/>
      <c r="G877" s="20"/>
      <c r="H877" s="121"/>
      <c r="I877" s="121"/>
      <c r="J877" s="121"/>
      <c r="K877" s="121"/>
      <c r="L877" s="121"/>
      <c r="M877" s="122"/>
      <c r="N877" s="122"/>
      <c r="O877" s="122"/>
      <c r="P877" s="123"/>
      <c r="Q877" s="123"/>
      <c r="R877" s="123"/>
      <c r="S877" s="20"/>
      <c r="T877" s="20"/>
      <c r="U877" s="20"/>
      <c r="V877" s="20"/>
      <c r="W877" s="20"/>
      <c r="X877" s="20"/>
      <c r="Y877" s="20"/>
      <c r="Z877" s="20"/>
      <c r="AA877" s="20"/>
      <c r="AB877" s="20"/>
      <c r="AC877" s="20"/>
    </row>
    <row r="878">
      <c r="A878" s="20"/>
      <c r="B878" s="20"/>
      <c r="C878" s="20"/>
      <c r="D878" s="20"/>
      <c r="E878" s="20"/>
      <c r="F878" s="20"/>
      <c r="G878" s="20"/>
      <c r="H878" s="121"/>
      <c r="I878" s="121"/>
      <c r="J878" s="121"/>
      <c r="K878" s="121"/>
      <c r="L878" s="121"/>
      <c r="M878" s="122"/>
      <c r="N878" s="122"/>
      <c r="O878" s="122"/>
      <c r="P878" s="123"/>
      <c r="Q878" s="123"/>
      <c r="R878" s="123"/>
      <c r="S878" s="20"/>
      <c r="T878" s="20"/>
      <c r="U878" s="20"/>
      <c r="V878" s="20"/>
      <c r="W878" s="20"/>
      <c r="X878" s="20"/>
      <c r="Y878" s="20"/>
      <c r="Z878" s="20"/>
      <c r="AA878" s="20"/>
      <c r="AB878" s="20"/>
      <c r="AC878" s="20"/>
    </row>
    <row r="879">
      <c r="A879" s="20"/>
      <c r="B879" s="20"/>
      <c r="C879" s="20"/>
      <c r="D879" s="20"/>
      <c r="E879" s="20"/>
      <c r="F879" s="20"/>
      <c r="G879" s="20"/>
      <c r="H879" s="121"/>
      <c r="I879" s="121"/>
      <c r="J879" s="121"/>
      <c r="K879" s="121"/>
      <c r="L879" s="121"/>
      <c r="M879" s="122"/>
      <c r="N879" s="122"/>
      <c r="O879" s="122"/>
      <c r="P879" s="123"/>
      <c r="Q879" s="123"/>
      <c r="R879" s="123"/>
      <c r="S879" s="20"/>
      <c r="T879" s="20"/>
      <c r="U879" s="20"/>
      <c r="V879" s="20"/>
      <c r="W879" s="20"/>
      <c r="X879" s="20"/>
      <c r="Y879" s="20"/>
      <c r="Z879" s="20"/>
      <c r="AA879" s="20"/>
      <c r="AB879" s="20"/>
      <c r="AC879" s="20"/>
    </row>
    <row r="880">
      <c r="A880" s="20"/>
      <c r="B880" s="20"/>
      <c r="C880" s="20"/>
      <c r="D880" s="20"/>
      <c r="E880" s="20"/>
      <c r="F880" s="20"/>
      <c r="G880" s="20"/>
      <c r="H880" s="121"/>
      <c r="I880" s="121"/>
      <c r="J880" s="121"/>
      <c r="K880" s="121"/>
      <c r="L880" s="121"/>
      <c r="M880" s="122"/>
      <c r="N880" s="122"/>
      <c r="O880" s="122"/>
      <c r="P880" s="123"/>
      <c r="Q880" s="123"/>
      <c r="R880" s="123"/>
      <c r="S880" s="20"/>
      <c r="T880" s="20"/>
      <c r="U880" s="20"/>
      <c r="V880" s="20"/>
      <c r="W880" s="20"/>
      <c r="X880" s="20"/>
      <c r="Y880" s="20"/>
      <c r="Z880" s="20"/>
      <c r="AA880" s="20"/>
      <c r="AB880" s="20"/>
      <c r="AC880" s="20"/>
    </row>
    <row r="881">
      <c r="A881" s="20"/>
      <c r="B881" s="20"/>
      <c r="C881" s="20"/>
      <c r="D881" s="20"/>
      <c r="E881" s="20"/>
      <c r="F881" s="20"/>
      <c r="G881" s="20"/>
      <c r="H881" s="121"/>
      <c r="I881" s="121"/>
      <c r="J881" s="121"/>
      <c r="K881" s="121"/>
      <c r="L881" s="121"/>
      <c r="M881" s="122"/>
      <c r="N881" s="122"/>
      <c r="O881" s="122"/>
      <c r="P881" s="123"/>
      <c r="Q881" s="123"/>
      <c r="R881" s="123"/>
      <c r="S881" s="20"/>
      <c r="T881" s="20"/>
      <c r="U881" s="20"/>
      <c r="V881" s="20"/>
      <c r="W881" s="20"/>
      <c r="X881" s="20"/>
      <c r="Y881" s="20"/>
      <c r="Z881" s="20"/>
      <c r="AA881" s="20"/>
      <c r="AB881" s="20"/>
      <c r="AC881" s="20"/>
    </row>
    <row r="882">
      <c r="A882" s="20"/>
      <c r="B882" s="20"/>
      <c r="C882" s="20"/>
      <c r="D882" s="20"/>
      <c r="E882" s="20"/>
      <c r="F882" s="20"/>
      <c r="G882" s="20"/>
      <c r="H882" s="121"/>
      <c r="I882" s="121"/>
      <c r="J882" s="121"/>
      <c r="K882" s="121"/>
      <c r="L882" s="121"/>
      <c r="M882" s="122"/>
      <c r="N882" s="122"/>
      <c r="O882" s="122"/>
      <c r="P882" s="123"/>
      <c r="Q882" s="123"/>
      <c r="R882" s="123"/>
      <c r="S882" s="20"/>
      <c r="T882" s="20"/>
      <c r="U882" s="20"/>
      <c r="V882" s="20"/>
      <c r="W882" s="20"/>
      <c r="X882" s="20"/>
      <c r="Y882" s="20"/>
      <c r="Z882" s="20"/>
      <c r="AA882" s="20"/>
      <c r="AB882" s="20"/>
      <c r="AC882" s="20"/>
    </row>
    <row r="883">
      <c r="A883" s="20"/>
      <c r="B883" s="20"/>
      <c r="C883" s="20"/>
      <c r="D883" s="20"/>
      <c r="E883" s="20"/>
      <c r="F883" s="20"/>
      <c r="G883" s="20"/>
      <c r="H883" s="121"/>
      <c r="I883" s="121"/>
      <c r="J883" s="121"/>
      <c r="K883" s="121"/>
      <c r="L883" s="121"/>
      <c r="M883" s="122"/>
      <c r="N883" s="122"/>
      <c r="O883" s="122"/>
      <c r="P883" s="123"/>
      <c r="Q883" s="123"/>
      <c r="R883" s="123"/>
      <c r="S883" s="20"/>
      <c r="T883" s="20"/>
      <c r="U883" s="20"/>
      <c r="V883" s="20"/>
      <c r="W883" s="20"/>
      <c r="X883" s="20"/>
      <c r="Y883" s="20"/>
      <c r="Z883" s="20"/>
      <c r="AA883" s="20"/>
      <c r="AB883" s="20"/>
      <c r="AC883" s="20"/>
    </row>
    <row r="884">
      <c r="A884" s="20"/>
      <c r="B884" s="20"/>
      <c r="C884" s="20"/>
      <c r="D884" s="20"/>
      <c r="E884" s="20"/>
      <c r="F884" s="20"/>
      <c r="G884" s="20"/>
      <c r="H884" s="121"/>
      <c r="I884" s="121"/>
      <c r="J884" s="121"/>
      <c r="K884" s="121"/>
      <c r="L884" s="121"/>
      <c r="M884" s="122"/>
      <c r="N884" s="122"/>
      <c r="O884" s="122"/>
      <c r="P884" s="123"/>
      <c r="Q884" s="123"/>
      <c r="R884" s="123"/>
      <c r="S884" s="20"/>
      <c r="T884" s="20"/>
      <c r="U884" s="20"/>
      <c r="V884" s="20"/>
      <c r="W884" s="20"/>
      <c r="X884" s="20"/>
      <c r="Y884" s="20"/>
      <c r="Z884" s="20"/>
      <c r="AA884" s="20"/>
      <c r="AB884" s="20"/>
      <c r="AC884" s="20"/>
    </row>
    <row r="885">
      <c r="A885" s="20"/>
      <c r="B885" s="20"/>
      <c r="C885" s="20"/>
      <c r="D885" s="20"/>
      <c r="E885" s="20"/>
      <c r="F885" s="20"/>
      <c r="G885" s="20"/>
      <c r="H885" s="121"/>
      <c r="I885" s="121"/>
      <c r="J885" s="121"/>
      <c r="K885" s="121"/>
      <c r="L885" s="121"/>
      <c r="M885" s="122"/>
      <c r="N885" s="122"/>
      <c r="O885" s="122"/>
      <c r="P885" s="123"/>
      <c r="Q885" s="123"/>
      <c r="R885" s="123"/>
      <c r="S885" s="20"/>
      <c r="T885" s="20"/>
      <c r="U885" s="20"/>
      <c r="V885" s="20"/>
      <c r="W885" s="20"/>
      <c r="X885" s="20"/>
      <c r="Y885" s="20"/>
      <c r="Z885" s="20"/>
      <c r="AA885" s="20"/>
      <c r="AB885" s="20"/>
      <c r="AC885" s="20"/>
    </row>
    <row r="886">
      <c r="A886" s="20"/>
      <c r="B886" s="20"/>
      <c r="C886" s="20"/>
      <c r="D886" s="20"/>
      <c r="E886" s="20"/>
      <c r="F886" s="20"/>
      <c r="G886" s="20"/>
      <c r="H886" s="121"/>
      <c r="I886" s="121"/>
      <c r="J886" s="121"/>
      <c r="K886" s="121"/>
      <c r="L886" s="121"/>
      <c r="M886" s="122"/>
      <c r="N886" s="122"/>
      <c r="O886" s="122"/>
      <c r="P886" s="123"/>
      <c r="Q886" s="123"/>
      <c r="R886" s="123"/>
      <c r="S886" s="20"/>
      <c r="T886" s="20"/>
      <c r="U886" s="20"/>
      <c r="V886" s="20"/>
      <c r="W886" s="20"/>
      <c r="X886" s="20"/>
      <c r="Y886" s="20"/>
      <c r="Z886" s="20"/>
      <c r="AA886" s="20"/>
      <c r="AB886" s="20"/>
      <c r="AC886" s="20"/>
    </row>
    <row r="887">
      <c r="A887" s="20"/>
      <c r="B887" s="20"/>
      <c r="C887" s="20"/>
      <c r="D887" s="20"/>
      <c r="E887" s="20"/>
      <c r="F887" s="20"/>
      <c r="G887" s="20"/>
      <c r="H887" s="121"/>
      <c r="I887" s="121"/>
      <c r="J887" s="121"/>
      <c r="K887" s="121"/>
      <c r="L887" s="121"/>
      <c r="M887" s="122"/>
      <c r="N887" s="122"/>
      <c r="O887" s="122"/>
      <c r="P887" s="123"/>
      <c r="Q887" s="123"/>
      <c r="R887" s="123"/>
      <c r="S887" s="20"/>
      <c r="T887" s="20"/>
      <c r="U887" s="20"/>
      <c r="V887" s="20"/>
      <c r="W887" s="20"/>
      <c r="X887" s="20"/>
      <c r="Y887" s="20"/>
      <c r="Z887" s="20"/>
      <c r="AA887" s="20"/>
      <c r="AB887" s="20"/>
      <c r="AC887" s="20"/>
    </row>
    <row r="888">
      <c r="A888" s="20"/>
      <c r="B888" s="20"/>
      <c r="C888" s="20"/>
      <c r="D888" s="20"/>
      <c r="E888" s="20"/>
      <c r="F888" s="20"/>
      <c r="G888" s="20"/>
      <c r="H888" s="121"/>
      <c r="I888" s="121"/>
      <c r="J888" s="121"/>
      <c r="K888" s="121"/>
      <c r="L888" s="121"/>
      <c r="M888" s="122"/>
      <c r="N888" s="122"/>
      <c r="O888" s="122"/>
      <c r="P888" s="123"/>
      <c r="Q888" s="123"/>
      <c r="R888" s="123"/>
      <c r="S888" s="20"/>
      <c r="T888" s="20"/>
      <c r="U888" s="20"/>
      <c r="V888" s="20"/>
      <c r="W888" s="20"/>
      <c r="X888" s="20"/>
      <c r="Y888" s="20"/>
      <c r="Z888" s="20"/>
      <c r="AA888" s="20"/>
      <c r="AB888" s="20"/>
      <c r="AC888" s="20"/>
    </row>
    <row r="889">
      <c r="A889" s="20"/>
      <c r="B889" s="20"/>
      <c r="C889" s="20"/>
      <c r="D889" s="20"/>
      <c r="E889" s="20"/>
      <c r="F889" s="20"/>
      <c r="G889" s="20"/>
      <c r="H889" s="121"/>
      <c r="I889" s="121"/>
      <c r="J889" s="121"/>
      <c r="K889" s="121"/>
      <c r="L889" s="121"/>
      <c r="M889" s="122"/>
      <c r="N889" s="122"/>
      <c r="O889" s="122"/>
      <c r="P889" s="123"/>
      <c r="Q889" s="123"/>
      <c r="R889" s="123"/>
      <c r="S889" s="20"/>
      <c r="T889" s="20"/>
      <c r="U889" s="20"/>
      <c r="V889" s="20"/>
      <c r="W889" s="20"/>
      <c r="X889" s="20"/>
      <c r="Y889" s="20"/>
      <c r="Z889" s="20"/>
      <c r="AA889" s="20"/>
      <c r="AB889" s="20"/>
      <c r="AC889" s="20"/>
    </row>
    <row r="890">
      <c r="A890" s="20"/>
      <c r="B890" s="20"/>
      <c r="C890" s="20"/>
      <c r="D890" s="20"/>
      <c r="E890" s="20"/>
      <c r="F890" s="20"/>
      <c r="G890" s="20"/>
      <c r="H890" s="121"/>
      <c r="I890" s="121"/>
      <c r="J890" s="121"/>
      <c r="K890" s="121"/>
      <c r="L890" s="121"/>
      <c r="M890" s="122"/>
      <c r="N890" s="122"/>
      <c r="O890" s="122"/>
      <c r="P890" s="123"/>
      <c r="Q890" s="123"/>
      <c r="R890" s="123"/>
      <c r="S890" s="20"/>
      <c r="T890" s="20"/>
      <c r="U890" s="20"/>
      <c r="V890" s="20"/>
      <c r="W890" s="20"/>
      <c r="X890" s="20"/>
      <c r="Y890" s="20"/>
      <c r="Z890" s="20"/>
      <c r="AA890" s="20"/>
      <c r="AB890" s="20"/>
      <c r="AC890" s="20"/>
    </row>
    <row r="891">
      <c r="A891" s="20"/>
      <c r="B891" s="20"/>
      <c r="C891" s="20"/>
      <c r="D891" s="20"/>
      <c r="E891" s="20"/>
      <c r="F891" s="20"/>
      <c r="G891" s="20"/>
      <c r="H891" s="121"/>
      <c r="I891" s="121"/>
      <c r="J891" s="121"/>
      <c r="K891" s="121"/>
      <c r="L891" s="121"/>
      <c r="M891" s="122"/>
      <c r="N891" s="122"/>
      <c r="O891" s="122"/>
      <c r="P891" s="123"/>
      <c r="Q891" s="123"/>
      <c r="R891" s="123"/>
      <c r="S891" s="20"/>
      <c r="T891" s="20"/>
      <c r="U891" s="20"/>
      <c r="V891" s="20"/>
      <c r="W891" s="20"/>
      <c r="X891" s="20"/>
      <c r="Y891" s="20"/>
      <c r="Z891" s="20"/>
      <c r="AA891" s="20"/>
      <c r="AB891" s="20"/>
      <c r="AC891" s="20"/>
    </row>
    <row r="892">
      <c r="A892" s="20"/>
      <c r="B892" s="20"/>
      <c r="C892" s="20"/>
      <c r="D892" s="20"/>
      <c r="E892" s="20"/>
      <c r="F892" s="20"/>
      <c r="G892" s="20"/>
      <c r="H892" s="121"/>
      <c r="I892" s="121"/>
      <c r="J892" s="121"/>
      <c r="K892" s="121"/>
      <c r="L892" s="121"/>
      <c r="M892" s="122"/>
      <c r="N892" s="122"/>
      <c r="O892" s="122"/>
      <c r="P892" s="123"/>
      <c r="Q892" s="123"/>
      <c r="R892" s="123"/>
      <c r="S892" s="20"/>
      <c r="T892" s="20"/>
      <c r="U892" s="20"/>
      <c r="V892" s="20"/>
      <c r="W892" s="20"/>
      <c r="X892" s="20"/>
      <c r="Y892" s="20"/>
      <c r="Z892" s="20"/>
      <c r="AA892" s="20"/>
      <c r="AB892" s="20"/>
      <c r="AC892" s="20"/>
    </row>
    <row r="893">
      <c r="A893" s="20"/>
      <c r="B893" s="20"/>
      <c r="C893" s="20"/>
      <c r="D893" s="20"/>
      <c r="E893" s="20"/>
      <c r="F893" s="20"/>
      <c r="G893" s="20"/>
      <c r="H893" s="121"/>
      <c r="I893" s="121"/>
      <c r="J893" s="121"/>
      <c r="K893" s="121"/>
      <c r="L893" s="121"/>
      <c r="M893" s="122"/>
      <c r="N893" s="122"/>
      <c r="O893" s="122"/>
      <c r="P893" s="123"/>
      <c r="Q893" s="123"/>
      <c r="R893" s="123"/>
      <c r="S893" s="20"/>
      <c r="T893" s="20"/>
      <c r="U893" s="20"/>
      <c r="V893" s="20"/>
      <c r="W893" s="20"/>
      <c r="X893" s="20"/>
      <c r="Y893" s="20"/>
      <c r="Z893" s="20"/>
      <c r="AA893" s="20"/>
      <c r="AB893" s="20"/>
      <c r="AC893" s="20"/>
    </row>
    <row r="894">
      <c r="A894" s="20"/>
      <c r="B894" s="20"/>
      <c r="C894" s="20"/>
      <c r="D894" s="20"/>
      <c r="E894" s="20"/>
      <c r="F894" s="20"/>
      <c r="G894" s="20"/>
      <c r="H894" s="121"/>
      <c r="I894" s="121"/>
      <c r="J894" s="121"/>
      <c r="K894" s="121"/>
      <c r="L894" s="121"/>
      <c r="M894" s="122"/>
      <c r="N894" s="122"/>
      <c r="O894" s="122"/>
      <c r="P894" s="123"/>
      <c r="Q894" s="123"/>
      <c r="R894" s="123"/>
      <c r="S894" s="20"/>
      <c r="T894" s="20"/>
      <c r="U894" s="20"/>
      <c r="V894" s="20"/>
      <c r="W894" s="20"/>
      <c r="X894" s="20"/>
      <c r="Y894" s="20"/>
      <c r="Z894" s="20"/>
      <c r="AA894" s="20"/>
      <c r="AB894" s="20"/>
      <c r="AC894" s="20"/>
    </row>
    <row r="895">
      <c r="A895" s="20"/>
      <c r="B895" s="20"/>
      <c r="C895" s="20"/>
      <c r="D895" s="20"/>
      <c r="E895" s="20"/>
      <c r="F895" s="20"/>
      <c r="G895" s="20"/>
      <c r="H895" s="121"/>
      <c r="I895" s="121"/>
      <c r="J895" s="121"/>
      <c r="K895" s="121"/>
      <c r="L895" s="121"/>
      <c r="M895" s="122"/>
      <c r="N895" s="122"/>
      <c r="O895" s="122"/>
      <c r="P895" s="123"/>
      <c r="Q895" s="123"/>
      <c r="R895" s="123"/>
      <c r="S895" s="20"/>
      <c r="T895" s="20"/>
      <c r="U895" s="20"/>
      <c r="V895" s="20"/>
      <c r="W895" s="20"/>
      <c r="X895" s="20"/>
      <c r="Y895" s="20"/>
      <c r="Z895" s="20"/>
      <c r="AA895" s="20"/>
      <c r="AB895" s="20"/>
      <c r="AC895" s="20"/>
    </row>
    <row r="896">
      <c r="A896" s="20"/>
      <c r="B896" s="20"/>
      <c r="C896" s="20"/>
      <c r="D896" s="20"/>
      <c r="E896" s="20"/>
      <c r="F896" s="20"/>
      <c r="G896" s="20"/>
      <c r="H896" s="121"/>
      <c r="I896" s="121"/>
      <c r="J896" s="121"/>
      <c r="K896" s="121"/>
      <c r="L896" s="121"/>
      <c r="M896" s="122"/>
      <c r="N896" s="122"/>
      <c r="O896" s="122"/>
      <c r="P896" s="123"/>
      <c r="Q896" s="123"/>
      <c r="R896" s="123"/>
      <c r="S896" s="20"/>
      <c r="T896" s="20"/>
      <c r="U896" s="20"/>
      <c r="V896" s="20"/>
      <c r="W896" s="20"/>
      <c r="X896" s="20"/>
      <c r="Y896" s="20"/>
      <c r="Z896" s="20"/>
      <c r="AA896" s="20"/>
      <c r="AB896" s="20"/>
      <c r="AC896" s="20"/>
    </row>
    <row r="897">
      <c r="A897" s="20"/>
      <c r="B897" s="20"/>
      <c r="C897" s="20"/>
      <c r="D897" s="20"/>
      <c r="E897" s="20"/>
      <c r="F897" s="20"/>
      <c r="G897" s="20"/>
      <c r="H897" s="121"/>
      <c r="I897" s="121"/>
      <c r="J897" s="121"/>
      <c r="K897" s="121"/>
      <c r="L897" s="121"/>
      <c r="M897" s="122"/>
      <c r="N897" s="122"/>
      <c r="O897" s="122"/>
      <c r="P897" s="123"/>
      <c r="Q897" s="123"/>
      <c r="R897" s="123"/>
      <c r="S897" s="20"/>
      <c r="T897" s="20"/>
      <c r="U897" s="20"/>
      <c r="V897" s="20"/>
      <c r="W897" s="20"/>
      <c r="X897" s="20"/>
      <c r="Y897" s="20"/>
      <c r="Z897" s="20"/>
      <c r="AA897" s="20"/>
      <c r="AB897" s="20"/>
      <c r="AC897" s="20"/>
    </row>
    <row r="898">
      <c r="A898" s="20"/>
      <c r="B898" s="20"/>
      <c r="C898" s="20"/>
      <c r="D898" s="20"/>
      <c r="E898" s="20"/>
      <c r="F898" s="20"/>
      <c r="G898" s="20"/>
      <c r="H898" s="121"/>
      <c r="I898" s="121"/>
      <c r="J898" s="121"/>
      <c r="K898" s="121"/>
      <c r="L898" s="121"/>
      <c r="M898" s="122"/>
      <c r="N898" s="122"/>
      <c r="O898" s="122"/>
      <c r="P898" s="123"/>
      <c r="Q898" s="123"/>
      <c r="R898" s="123"/>
      <c r="S898" s="20"/>
      <c r="T898" s="20"/>
      <c r="U898" s="20"/>
      <c r="V898" s="20"/>
      <c r="W898" s="20"/>
      <c r="X898" s="20"/>
      <c r="Y898" s="20"/>
      <c r="Z898" s="20"/>
      <c r="AA898" s="20"/>
      <c r="AB898" s="20"/>
      <c r="AC898" s="20"/>
    </row>
    <row r="899">
      <c r="A899" s="20"/>
      <c r="B899" s="20"/>
      <c r="C899" s="20"/>
      <c r="D899" s="20"/>
      <c r="E899" s="20"/>
      <c r="F899" s="20"/>
      <c r="G899" s="20"/>
      <c r="H899" s="121"/>
      <c r="I899" s="121"/>
      <c r="J899" s="121"/>
      <c r="K899" s="121"/>
      <c r="L899" s="121"/>
      <c r="M899" s="122"/>
      <c r="N899" s="122"/>
      <c r="O899" s="122"/>
      <c r="P899" s="123"/>
      <c r="Q899" s="123"/>
      <c r="R899" s="123"/>
      <c r="S899" s="20"/>
      <c r="T899" s="20"/>
      <c r="U899" s="20"/>
      <c r="V899" s="20"/>
      <c r="W899" s="20"/>
      <c r="X899" s="20"/>
      <c r="Y899" s="20"/>
      <c r="Z899" s="20"/>
      <c r="AA899" s="20"/>
      <c r="AB899" s="20"/>
      <c r="AC899" s="20"/>
    </row>
    <row r="900">
      <c r="A900" s="20"/>
      <c r="B900" s="20"/>
      <c r="C900" s="20"/>
      <c r="D900" s="20"/>
      <c r="E900" s="20"/>
      <c r="F900" s="20"/>
      <c r="G900" s="20"/>
      <c r="H900" s="121"/>
      <c r="I900" s="121"/>
      <c r="J900" s="121"/>
      <c r="K900" s="121"/>
      <c r="L900" s="121"/>
      <c r="M900" s="122"/>
      <c r="N900" s="122"/>
      <c r="O900" s="122"/>
      <c r="P900" s="123"/>
      <c r="Q900" s="123"/>
      <c r="R900" s="123"/>
      <c r="S900" s="20"/>
      <c r="T900" s="20"/>
      <c r="U900" s="20"/>
      <c r="V900" s="20"/>
      <c r="W900" s="20"/>
      <c r="X900" s="20"/>
      <c r="Y900" s="20"/>
      <c r="Z900" s="20"/>
      <c r="AA900" s="20"/>
      <c r="AB900" s="20"/>
      <c r="AC900" s="20"/>
    </row>
    <row r="901">
      <c r="A901" s="20"/>
      <c r="B901" s="20"/>
      <c r="C901" s="20"/>
      <c r="D901" s="20"/>
      <c r="E901" s="20"/>
      <c r="F901" s="20"/>
      <c r="G901" s="20"/>
      <c r="H901" s="121"/>
      <c r="I901" s="121"/>
      <c r="J901" s="121"/>
      <c r="K901" s="121"/>
      <c r="L901" s="121"/>
      <c r="M901" s="122"/>
      <c r="N901" s="122"/>
      <c r="O901" s="122"/>
      <c r="P901" s="123"/>
      <c r="Q901" s="123"/>
      <c r="R901" s="123"/>
      <c r="S901" s="20"/>
      <c r="T901" s="20"/>
      <c r="U901" s="20"/>
      <c r="V901" s="20"/>
      <c r="W901" s="20"/>
      <c r="X901" s="20"/>
      <c r="Y901" s="20"/>
      <c r="Z901" s="20"/>
      <c r="AA901" s="20"/>
      <c r="AB901" s="20"/>
      <c r="AC901" s="20"/>
    </row>
    <row r="902">
      <c r="A902" s="20"/>
      <c r="B902" s="20"/>
      <c r="C902" s="20"/>
      <c r="D902" s="20"/>
      <c r="E902" s="20"/>
      <c r="F902" s="20"/>
      <c r="G902" s="20"/>
      <c r="H902" s="121"/>
      <c r="I902" s="121"/>
      <c r="J902" s="121"/>
      <c r="K902" s="121"/>
      <c r="L902" s="121"/>
      <c r="M902" s="122"/>
      <c r="N902" s="122"/>
      <c r="O902" s="122"/>
      <c r="P902" s="123"/>
      <c r="Q902" s="123"/>
      <c r="R902" s="123"/>
      <c r="S902" s="20"/>
      <c r="T902" s="20"/>
      <c r="U902" s="20"/>
      <c r="V902" s="20"/>
      <c r="W902" s="20"/>
      <c r="X902" s="20"/>
      <c r="Y902" s="20"/>
      <c r="Z902" s="20"/>
      <c r="AA902" s="20"/>
      <c r="AB902" s="20"/>
      <c r="AC902" s="20"/>
    </row>
    <row r="903">
      <c r="A903" s="20"/>
      <c r="B903" s="20"/>
      <c r="C903" s="20"/>
      <c r="D903" s="20"/>
      <c r="E903" s="20"/>
      <c r="F903" s="20"/>
      <c r="G903" s="20"/>
      <c r="H903" s="121"/>
      <c r="I903" s="121"/>
      <c r="J903" s="121"/>
      <c r="K903" s="121"/>
      <c r="L903" s="121"/>
      <c r="M903" s="122"/>
      <c r="N903" s="122"/>
      <c r="O903" s="122"/>
      <c r="P903" s="123"/>
      <c r="Q903" s="123"/>
      <c r="R903" s="123"/>
      <c r="S903" s="20"/>
      <c r="T903" s="20"/>
      <c r="U903" s="20"/>
      <c r="V903" s="20"/>
      <c r="W903" s="20"/>
      <c r="X903" s="20"/>
      <c r="Y903" s="20"/>
      <c r="Z903" s="20"/>
      <c r="AA903" s="20"/>
      <c r="AB903" s="20"/>
      <c r="AC903" s="20"/>
    </row>
    <row r="904">
      <c r="A904" s="20"/>
      <c r="B904" s="20"/>
      <c r="C904" s="20"/>
      <c r="D904" s="20"/>
      <c r="E904" s="20"/>
      <c r="F904" s="20"/>
      <c r="G904" s="20"/>
      <c r="H904" s="121"/>
      <c r="I904" s="121"/>
      <c r="J904" s="121"/>
      <c r="K904" s="121"/>
      <c r="L904" s="121"/>
      <c r="M904" s="122"/>
      <c r="N904" s="122"/>
      <c r="O904" s="122"/>
      <c r="P904" s="123"/>
      <c r="Q904" s="123"/>
      <c r="R904" s="123"/>
      <c r="S904" s="20"/>
      <c r="T904" s="20"/>
      <c r="U904" s="20"/>
      <c r="V904" s="20"/>
      <c r="W904" s="20"/>
      <c r="X904" s="20"/>
      <c r="Y904" s="20"/>
      <c r="Z904" s="20"/>
      <c r="AA904" s="20"/>
      <c r="AB904" s="20"/>
      <c r="AC904" s="20"/>
    </row>
    <row r="905">
      <c r="A905" s="20"/>
      <c r="B905" s="20"/>
      <c r="C905" s="20"/>
      <c r="D905" s="20"/>
      <c r="E905" s="20"/>
      <c r="F905" s="20"/>
      <c r="G905" s="20"/>
      <c r="H905" s="121"/>
      <c r="I905" s="121"/>
      <c r="J905" s="121"/>
      <c r="K905" s="121"/>
      <c r="L905" s="121"/>
      <c r="M905" s="122"/>
      <c r="N905" s="122"/>
      <c r="O905" s="122"/>
      <c r="P905" s="123"/>
      <c r="Q905" s="123"/>
      <c r="R905" s="123"/>
      <c r="S905" s="20"/>
      <c r="T905" s="20"/>
      <c r="U905" s="20"/>
      <c r="V905" s="20"/>
      <c r="W905" s="20"/>
      <c r="X905" s="20"/>
      <c r="Y905" s="20"/>
      <c r="Z905" s="20"/>
      <c r="AA905" s="20"/>
      <c r="AB905" s="20"/>
      <c r="AC905" s="20"/>
    </row>
    <row r="906">
      <c r="A906" s="20"/>
      <c r="B906" s="20"/>
      <c r="C906" s="20"/>
      <c r="D906" s="20"/>
      <c r="E906" s="20"/>
      <c r="F906" s="20"/>
      <c r="G906" s="20"/>
      <c r="H906" s="121"/>
      <c r="I906" s="121"/>
      <c r="J906" s="121"/>
      <c r="K906" s="121"/>
      <c r="L906" s="121"/>
      <c r="M906" s="122"/>
      <c r="N906" s="122"/>
      <c r="O906" s="122"/>
      <c r="P906" s="123"/>
      <c r="Q906" s="123"/>
      <c r="R906" s="123"/>
      <c r="S906" s="20"/>
      <c r="T906" s="20"/>
      <c r="U906" s="20"/>
      <c r="V906" s="20"/>
      <c r="W906" s="20"/>
      <c r="X906" s="20"/>
      <c r="Y906" s="20"/>
      <c r="Z906" s="20"/>
      <c r="AA906" s="20"/>
      <c r="AB906" s="20"/>
      <c r="AC906" s="20"/>
    </row>
    <row r="907">
      <c r="A907" s="20"/>
      <c r="B907" s="20"/>
      <c r="C907" s="20"/>
      <c r="D907" s="20"/>
      <c r="E907" s="20"/>
      <c r="F907" s="20"/>
      <c r="G907" s="20"/>
      <c r="H907" s="121"/>
      <c r="I907" s="121"/>
      <c r="J907" s="121"/>
      <c r="K907" s="121"/>
      <c r="L907" s="121"/>
      <c r="M907" s="122"/>
      <c r="N907" s="122"/>
      <c r="O907" s="122"/>
      <c r="P907" s="123"/>
      <c r="Q907" s="123"/>
      <c r="R907" s="123"/>
      <c r="S907" s="20"/>
      <c r="T907" s="20"/>
      <c r="U907" s="20"/>
      <c r="V907" s="20"/>
      <c r="W907" s="20"/>
      <c r="X907" s="20"/>
      <c r="Y907" s="20"/>
      <c r="Z907" s="20"/>
      <c r="AA907" s="20"/>
      <c r="AB907" s="20"/>
      <c r="AC907" s="20"/>
    </row>
    <row r="908">
      <c r="A908" s="20"/>
      <c r="B908" s="20"/>
      <c r="C908" s="20"/>
      <c r="D908" s="20"/>
      <c r="E908" s="20"/>
      <c r="F908" s="20"/>
      <c r="G908" s="20"/>
      <c r="H908" s="121"/>
      <c r="I908" s="121"/>
      <c r="J908" s="121"/>
      <c r="K908" s="121"/>
      <c r="L908" s="121"/>
      <c r="M908" s="122"/>
      <c r="N908" s="122"/>
      <c r="O908" s="122"/>
      <c r="P908" s="123"/>
      <c r="Q908" s="123"/>
      <c r="R908" s="123"/>
      <c r="S908" s="20"/>
      <c r="T908" s="20"/>
      <c r="U908" s="20"/>
      <c r="V908" s="20"/>
      <c r="W908" s="20"/>
      <c r="X908" s="20"/>
      <c r="Y908" s="20"/>
      <c r="Z908" s="20"/>
      <c r="AA908" s="20"/>
      <c r="AB908" s="20"/>
      <c r="AC908" s="20"/>
    </row>
    <row r="909">
      <c r="A909" s="20"/>
      <c r="B909" s="20"/>
      <c r="C909" s="20"/>
      <c r="D909" s="20"/>
      <c r="E909" s="20"/>
      <c r="F909" s="20"/>
      <c r="G909" s="20"/>
      <c r="H909" s="121"/>
      <c r="I909" s="121"/>
      <c r="J909" s="121"/>
      <c r="K909" s="121"/>
      <c r="L909" s="121"/>
      <c r="M909" s="122"/>
      <c r="N909" s="122"/>
      <c r="O909" s="122"/>
      <c r="P909" s="123"/>
      <c r="Q909" s="123"/>
      <c r="R909" s="123"/>
      <c r="S909" s="20"/>
      <c r="T909" s="20"/>
      <c r="U909" s="20"/>
      <c r="V909" s="20"/>
      <c r="W909" s="20"/>
      <c r="X909" s="20"/>
      <c r="Y909" s="20"/>
      <c r="Z909" s="20"/>
      <c r="AA909" s="20"/>
      <c r="AB909" s="20"/>
      <c r="AC909" s="20"/>
    </row>
    <row r="910">
      <c r="A910" s="20"/>
      <c r="B910" s="20"/>
      <c r="C910" s="20"/>
      <c r="D910" s="20"/>
      <c r="E910" s="20"/>
      <c r="F910" s="20"/>
      <c r="G910" s="20"/>
      <c r="H910" s="121"/>
      <c r="I910" s="121"/>
      <c r="J910" s="121"/>
      <c r="K910" s="121"/>
      <c r="L910" s="121"/>
      <c r="M910" s="122"/>
      <c r="N910" s="122"/>
      <c r="O910" s="122"/>
      <c r="P910" s="123"/>
      <c r="Q910" s="123"/>
      <c r="R910" s="123"/>
      <c r="S910" s="20"/>
      <c r="T910" s="20"/>
      <c r="U910" s="20"/>
      <c r="V910" s="20"/>
      <c r="W910" s="20"/>
      <c r="X910" s="20"/>
      <c r="Y910" s="20"/>
      <c r="Z910" s="20"/>
      <c r="AA910" s="20"/>
      <c r="AB910" s="20"/>
      <c r="AC910" s="20"/>
    </row>
    <row r="911">
      <c r="A911" s="20"/>
      <c r="B911" s="20"/>
      <c r="C911" s="20"/>
      <c r="D911" s="20"/>
      <c r="E911" s="20"/>
      <c r="F911" s="20"/>
      <c r="G911" s="20"/>
      <c r="H911" s="121"/>
      <c r="I911" s="121"/>
      <c r="J911" s="121"/>
      <c r="K911" s="121"/>
      <c r="L911" s="121"/>
      <c r="M911" s="122"/>
      <c r="N911" s="122"/>
      <c r="O911" s="122"/>
      <c r="P911" s="123"/>
      <c r="Q911" s="123"/>
      <c r="R911" s="123"/>
      <c r="S911" s="20"/>
      <c r="T911" s="20"/>
      <c r="U911" s="20"/>
      <c r="V911" s="20"/>
      <c r="W911" s="20"/>
      <c r="X911" s="20"/>
      <c r="Y911" s="20"/>
      <c r="Z911" s="20"/>
      <c r="AA911" s="20"/>
      <c r="AB911" s="20"/>
      <c r="AC911" s="20"/>
    </row>
    <row r="912">
      <c r="A912" s="20"/>
      <c r="B912" s="20"/>
      <c r="C912" s="20"/>
      <c r="D912" s="20"/>
      <c r="E912" s="20"/>
      <c r="F912" s="20"/>
      <c r="G912" s="20"/>
      <c r="H912" s="121"/>
      <c r="I912" s="121"/>
      <c r="J912" s="121"/>
      <c r="K912" s="121"/>
      <c r="L912" s="121"/>
      <c r="M912" s="122"/>
      <c r="N912" s="122"/>
      <c r="O912" s="122"/>
      <c r="P912" s="123"/>
      <c r="Q912" s="123"/>
      <c r="R912" s="123"/>
      <c r="S912" s="20"/>
      <c r="T912" s="20"/>
      <c r="U912" s="20"/>
      <c r="V912" s="20"/>
      <c r="W912" s="20"/>
      <c r="X912" s="20"/>
      <c r="Y912" s="20"/>
      <c r="Z912" s="20"/>
      <c r="AA912" s="20"/>
      <c r="AB912" s="20"/>
      <c r="AC912" s="20"/>
    </row>
    <row r="913">
      <c r="A913" s="20"/>
      <c r="B913" s="20"/>
      <c r="C913" s="20"/>
      <c r="D913" s="20"/>
      <c r="E913" s="20"/>
      <c r="F913" s="20"/>
      <c r="G913" s="20"/>
      <c r="H913" s="121"/>
      <c r="I913" s="121"/>
      <c r="J913" s="121"/>
      <c r="K913" s="121"/>
      <c r="L913" s="121"/>
      <c r="M913" s="122"/>
      <c r="N913" s="122"/>
      <c r="O913" s="122"/>
      <c r="P913" s="123"/>
      <c r="Q913" s="123"/>
      <c r="R913" s="123"/>
      <c r="S913" s="20"/>
      <c r="T913" s="20"/>
      <c r="U913" s="20"/>
      <c r="V913" s="20"/>
      <c r="W913" s="20"/>
      <c r="X913" s="20"/>
      <c r="Y913" s="20"/>
      <c r="Z913" s="20"/>
      <c r="AA913" s="20"/>
      <c r="AB913" s="20"/>
      <c r="AC913" s="20"/>
    </row>
    <row r="914">
      <c r="A914" s="20"/>
      <c r="B914" s="20"/>
      <c r="C914" s="20"/>
      <c r="D914" s="20"/>
      <c r="E914" s="20"/>
      <c r="F914" s="20"/>
      <c r="G914" s="20"/>
      <c r="H914" s="121"/>
      <c r="I914" s="121"/>
      <c r="J914" s="121"/>
      <c r="K914" s="121"/>
      <c r="L914" s="121"/>
      <c r="M914" s="122"/>
      <c r="N914" s="122"/>
      <c r="O914" s="122"/>
      <c r="P914" s="123"/>
      <c r="Q914" s="123"/>
      <c r="R914" s="123"/>
      <c r="S914" s="20"/>
      <c r="T914" s="20"/>
      <c r="U914" s="20"/>
      <c r="V914" s="20"/>
      <c r="W914" s="20"/>
      <c r="X914" s="20"/>
      <c r="Y914" s="20"/>
      <c r="Z914" s="20"/>
      <c r="AA914" s="20"/>
      <c r="AB914" s="20"/>
      <c r="AC914" s="20"/>
    </row>
    <row r="915">
      <c r="A915" s="20"/>
      <c r="B915" s="20"/>
      <c r="C915" s="20"/>
      <c r="D915" s="20"/>
      <c r="E915" s="20"/>
      <c r="F915" s="20"/>
      <c r="G915" s="20"/>
      <c r="H915" s="121"/>
      <c r="I915" s="121"/>
      <c r="J915" s="121"/>
      <c r="K915" s="121"/>
      <c r="L915" s="121"/>
      <c r="M915" s="122"/>
      <c r="N915" s="122"/>
      <c r="O915" s="122"/>
      <c r="P915" s="123"/>
      <c r="Q915" s="123"/>
      <c r="R915" s="123"/>
      <c r="S915" s="20"/>
      <c r="T915" s="20"/>
      <c r="U915" s="20"/>
      <c r="V915" s="20"/>
      <c r="W915" s="20"/>
      <c r="X915" s="20"/>
      <c r="Y915" s="20"/>
      <c r="Z915" s="20"/>
      <c r="AA915" s="20"/>
      <c r="AB915" s="20"/>
      <c r="AC915" s="20"/>
    </row>
    <row r="916">
      <c r="A916" s="20"/>
      <c r="B916" s="20"/>
      <c r="C916" s="20"/>
      <c r="D916" s="20"/>
      <c r="E916" s="20"/>
      <c r="F916" s="20"/>
      <c r="G916" s="20"/>
      <c r="H916" s="121"/>
      <c r="I916" s="121"/>
      <c r="J916" s="121"/>
      <c r="K916" s="121"/>
      <c r="L916" s="121"/>
      <c r="M916" s="122"/>
      <c r="N916" s="122"/>
      <c r="O916" s="122"/>
      <c r="P916" s="123"/>
      <c r="Q916" s="123"/>
      <c r="R916" s="123"/>
      <c r="S916" s="20"/>
      <c r="T916" s="20"/>
      <c r="U916" s="20"/>
      <c r="V916" s="20"/>
      <c r="W916" s="20"/>
      <c r="X916" s="20"/>
      <c r="Y916" s="20"/>
      <c r="Z916" s="20"/>
      <c r="AA916" s="20"/>
      <c r="AB916" s="20"/>
      <c r="AC916" s="20"/>
    </row>
    <row r="917">
      <c r="A917" s="20"/>
      <c r="B917" s="20"/>
      <c r="C917" s="20"/>
      <c r="D917" s="20"/>
      <c r="E917" s="20"/>
      <c r="F917" s="20"/>
      <c r="G917" s="20"/>
      <c r="H917" s="121"/>
      <c r="I917" s="121"/>
      <c r="J917" s="121"/>
      <c r="K917" s="121"/>
      <c r="L917" s="121"/>
      <c r="M917" s="122"/>
      <c r="N917" s="122"/>
      <c r="O917" s="122"/>
      <c r="P917" s="123"/>
      <c r="Q917" s="123"/>
      <c r="R917" s="123"/>
      <c r="S917" s="20"/>
      <c r="T917" s="20"/>
      <c r="U917" s="20"/>
      <c r="V917" s="20"/>
      <c r="W917" s="20"/>
      <c r="X917" s="20"/>
      <c r="Y917" s="20"/>
      <c r="Z917" s="20"/>
      <c r="AA917" s="20"/>
      <c r="AB917" s="20"/>
      <c r="AC917" s="20"/>
    </row>
    <row r="918">
      <c r="A918" s="20"/>
      <c r="B918" s="20"/>
      <c r="C918" s="20"/>
      <c r="D918" s="20"/>
      <c r="E918" s="20"/>
      <c r="F918" s="20"/>
      <c r="G918" s="20"/>
      <c r="H918" s="121"/>
      <c r="I918" s="121"/>
      <c r="J918" s="121"/>
      <c r="K918" s="121"/>
      <c r="L918" s="121"/>
      <c r="M918" s="122"/>
      <c r="N918" s="122"/>
      <c r="O918" s="122"/>
      <c r="P918" s="123"/>
      <c r="Q918" s="123"/>
      <c r="R918" s="123"/>
      <c r="S918" s="20"/>
      <c r="T918" s="20"/>
      <c r="U918" s="20"/>
      <c r="V918" s="20"/>
      <c r="W918" s="20"/>
      <c r="X918" s="20"/>
      <c r="Y918" s="20"/>
      <c r="Z918" s="20"/>
      <c r="AA918" s="20"/>
      <c r="AB918" s="20"/>
      <c r="AC918" s="20"/>
    </row>
    <row r="919">
      <c r="A919" s="20"/>
      <c r="B919" s="20"/>
      <c r="C919" s="20"/>
      <c r="D919" s="20"/>
      <c r="E919" s="20"/>
      <c r="F919" s="20"/>
      <c r="G919" s="20"/>
      <c r="H919" s="121"/>
      <c r="I919" s="121"/>
      <c r="J919" s="121"/>
      <c r="K919" s="121"/>
      <c r="L919" s="121"/>
      <c r="M919" s="122"/>
      <c r="N919" s="122"/>
      <c r="O919" s="122"/>
      <c r="P919" s="123"/>
      <c r="Q919" s="123"/>
      <c r="R919" s="123"/>
      <c r="S919" s="20"/>
      <c r="T919" s="20"/>
      <c r="U919" s="20"/>
      <c r="V919" s="20"/>
      <c r="W919" s="20"/>
      <c r="X919" s="20"/>
      <c r="Y919" s="20"/>
      <c r="Z919" s="20"/>
      <c r="AA919" s="20"/>
      <c r="AB919" s="20"/>
      <c r="AC919" s="20"/>
    </row>
    <row r="920">
      <c r="A920" s="20"/>
      <c r="B920" s="20"/>
      <c r="C920" s="20"/>
      <c r="D920" s="20"/>
      <c r="E920" s="20"/>
      <c r="F920" s="20"/>
      <c r="G920" s="20"/>
      <c r="H920" s="121"/>
      <c r="I920" s="121"/>
      <c r="J920" s="121"/>
      <c r="K920" s="121"/>
      <c r="L920" s="121"/>
      <c r="M920" s="122"/>
      <c r="N920" s="122"/>
      <c r="O920" s="122"/>
      <c r="P920" s="123"/>
      <c r="Q920" s="123"/>
      <c r="R920" s="123"/>
      <c r="S920" s="20"/>
      <c r="T920" s="20"/>
      <c r="U920" s="20"/>
      <c r="V920" s="20"/>
      <c r="W920" s="20"/>
      <c r="X920" s="20"/>
      <c r="Y920" s="20"/>
      <c r="Z920" s="20"/>
      <c r="AA920" s="20"/>
      <c r="AB920" s="20"/>
      <c r="AC920" s="20"/>
    </row>
    <row r="921">
      <c r="A921" s="20"/>
      <c r="B921" s="20"/>
      <c r="C921" s="20"/>
      <c r="D921" s="20"/>
      <c r="E921" s="20"/>
      <c r="F921" s="20"/>
      <c r="G921" s="20"/>
      <c r="H921" s="121"/>
      <c r="I921" s="121"/>
      <c r="J921" s="121"/>
      <c r="K921" s="121"/>
      <c r="L921" s="121"/>
      <c r="M921" s="122"/>
      <c r="N921" s="122"/>
      <c r="O921" s="122"/>
      <c r="P921" s="123"/>
      <c r="Q921" s="123"/>
      <c r="R921" s="123"/>
      <c r="S921" s="20"/>
      <c r="T921" s="20"/>
      <c r="U921" s="20"/>
      <c r="V921" s="20"/>
      <c r="W921" s="20"/>
      <c r="X921" s="20"/>
      <c r="Y921" s="20"/>
      <c r="Z921" s="20"/>
      <c r="AA921" s="20"/>
      <c r="AB921" s="20"/>
      <c r="AC921" s="20"/>
    </row>
    <row r="922">
      <c r="A922" s="20"/>
      <c r="B922" s="20"/>
      <c r="C922" s="20"/>
      <c r="D922" s="20"/>
      <c r="E922" s="20"/>
      <c r="F922" s="20"/>
      <c r="G922" s="20"/>
      <c r="H922" s="121"/>
      <c r="I922" s="121"/>
      <c r="J922" s="121"/>
      <c r="K922" s="121"/>
      <c r="L922" s="121"/>
      <c r="M922" s="122"/>
      <c r="N922" s="122"/>
      <c r="O922" s="122"/>
      <c r="P922" s="123"/>
      <c r="Q922" s="123"/>
      <c r="R922" s="123"/>
      <c r="S922" s="20"/>
      <c r="T922" s="20"/>
      <c r="U922" s="20"/>
      <c r="V922" s="20"/>
      <c r="W922" s="20"/>
      <c r="X922" s="20"/>
      <c r="Y922" s="20"/>
      <c r="Z922" s="20"/>
      <c r="AA922" s="20"/>
      <c r="AB922" s="20"/>
      <c r="AC922" s="20"/>
    </row>
    <row r="923">
      <c r="A923" s="20"/>
      <c r="B923" s="20"/>
      <c r="C923" s="20"/>
      <c r="D923" s="20"/>
      <c r="E923" s="20"/>
      <c r="F923" s="20"/>
      <c r="G923" s="20"/>
      <c r="H923" s="121"/>
      <c r="I923" s="121"/>
      <c r="J923" s="121"/>
      <c r="K923" s="121"/>
      <c r="L923" s="121"/>
      <c r="M923" s="122"/>
      <c r="N923" s="122"/>
      <c r="O923" s="122"/>
      <c r="P923" s="123"/>
      <c r="Q923" s="123"/>
      <c r="R923" s="123"/>
      <c r="S923" s="20"/>
      <c r="T923" s="20"/>
      <c r="U923" s="20"/>
      <c r="V923" s="20"/>
      <c r="W923" s="20"/>
      <c r="X923" s="20"/>
      <c r="Y923" s="20"/>
      <c r="Z923" s="20"/>
      <c r="AA923" s="20"/>
      <c r="AB923" s="20"/>
      <c r="AC923" s="20"/>
    </row>
    <row r="924">
      <c r="A924" s="20"/>
      <c r="B924" s="20"/>
      <c r="C924" s="20"/>
      <c r="D924" s="20"/>
      <c r="E924" s="20"/>
      <c r="F924" s="20"/>
      <c r="G924" s="20"/>
      <c r="H924" s="121"/>
      <c r="I924" s="121"/>
      <c r="J924" s="121"/>
      <c r="K924" s="121"/>
      <c r="L924" s="121"/>
      <c r="M924" s="122"/>
      <c r="N924" s="122"/>
      <c r="O924" s="122"/>
      <c r="P924" s="123"/>
      <c r="Q924" s="123"/>
      <c r="R924" s="123"/>
      <c r="S924" s="20"/>
      <c r="T924" s="20"/>
      <c r="U924" s="20"/>
      <c r="V924" s="20"/>
      <c r="W924" s="20"/>
      <c r="X924" s="20"/>
      <c r="Y924" s="20"/>
      <c r="Z924" s="20"/>
      <c r="AA924" s="20"/>
      <c r="AB924" s="20"/>
      <c r="AC924" s="20"/>
    </row>
    <row r="925">
      <c r="A925" s="20"/>
      <c r="B925" s="20"/>
      <c r="C925" s="20"/>
      <c r="D925" s="20"/>
      <c r="E925" s="20"/>
      <c r="F925" s="20"/>
      <c r="G925" s="20"/>
      <c r="H925" s="121"/>
      <c r="I925" s="121"/>
      <c r="J925" s="121"/>
      <c r="K925" s="121"/>
      <c r="L925" s="121"/>
      <c r="M925" s="122"/>
      <c r="N925" s="122"/>
      <c r="O925" s="122"/>
      <c r="P925" s="123"/>
      <c r="Q925" s="123"/>
      <c r="R925" s="123"/>
      <c r="S925" s="20"/>
      <c r="T925" s="20"/>
      <c r="U925" s="20"/>
      <c r="V925" s="20"/>
      <c r="W925" s="20"/>
      <c r="X925" s="20"/>
      <c r="Y925" s="20"/>
      <c r="Z925" s="20"/>
      <c r="AA925" s="20"/>
      <c r="AB925" s="20"/>
      <c r="AC925" s="20"/>
    </row>
    <row r="926">
      <c r="A926" s="20"/>
      <c r="B926" s="20"/>
      <c r="C926" s="20"/>
      <c r="D926" s="20"/>
      <c r="E926" s="20"/>
      <c r="F926" s="20"/>
      <c r="G926" s="20"/>
      <c r="H926" s="121"/>
      <c r="I926" s="121"/>
      <c r="J926" s="121"/>
      <c r="K926" s="121"/>
      <c r="L926" s="121"/>
      <c r="M926" s="122"/>
      <c r="N926" s="122"/>
      <c r="O926" s="122"/>
      <c r="P926" s="123"/>
      <c r="Q926" s="123"/>
      <c r="R926" s="123"/>
      <c r="S926" s="20"/>
      <c r="T926" s="20"/>
      <c r="U926" s="20"/>
      <c r="V926" s="20"/>
      <c r="W926" s="20"/>
      <c r="X926" s="20"/>
      <c r="Y926" s="20"/>
      <c r="Z926" s="20"/>
      <c r="AA926" s="20"/>
      <c r="AB926" s="20"/>
      <c r="AC926" s="20"/>
    </row>
    <row r="927">
      <c r="A927" s="20"/>
      <c r="B927" s="20"/>
      <c r="C927" s="20"/>
      <c r="D927" s="20"/>
      <c r="E927" s="20"/>
      <c r="F927" s="20"/>
      <c r="G927" s="20"/>
      <c r="H927" s="121"/>
      <c r="I927" s="121"/>
      <c r="J927" s="121"/>
      <c r="K927" s="121"/>
      <c r="L927" s="121"/>
      <c r="M927" s="122"/>
      <c r="N927" s="122"/>
      <c r="O927" s="122"/>
      <c r="P927" s="123"/>
      <c r="Q927" s="123"/>
      <c r="R927" s="123"/>
      <c r="S927" s="20"/>
      <c r="T927" s="20"/>
      <c r="U927" s="20"/>
      <c r="V927" s="20"/>
      <c r="W927" s="20"/>
      <c r="X927" s="20"/>
      <c r="Y927" s="20"/>
      <c r="Z927" s="20"/>
      <c r="AA927" s="20"/>
      <c r="AB927" s="20"/>
      <c r="AC927" s="20"/>
    </row>
    <row r="928">
      <c r="A928" s="20"/>
      <c r="B928" s="20"/>
      <c r="C928" s="20"/>
      <c r="D928" s="20"/>
      <c r="E928" s="20"/>
      <c r="F928" s="20"/>
      <c r="G928" s="20"/>
      <c r="H928" s="121"/>
      <c r="I928" s="121"/>
      <c r="J928" s="121"/>
      <c r="K928" s="121"/>
      <c r="L928" s="121"/>
      <c r="M928" s="122"/>
      <c r="N928" s="122"/>
      <c r="O928" s="122"/>
      <c r="P928" s="123"/>
      <c r="Q928" s="123"/>
      <c r="R928" s="123"/>
      <c r="S928" s="20"/>
      <c r="T928" s="20"/>
      <c r="U928" s="20"/>
      <c r="V928" s="20"/>
      <c r="W928" s="20"/>
      <c r="X928" s="20"/>
      <c r="Y928" s="20"/>
      <c r="Z928" s="20"/>
      <c r="AA928" s="20"/>
      <c r="AB928" s="20"/>
      <c r="AC928" s="20"/>
    </row>
    <row r="929">
      <c r="A929" s="20"/>
      <c r="B929" s="20"/>
      <c r="C929" s="20"/>
      <c r="D929" s="20"/>
      <c r="E929" s="20"/>
      <c r="F929" s="20"/>
      <c r="G929" s="20"/>
      <c r="H929" s="121"/>
      <c r="I929" s="121"/>
      <c r="J929" s="121"/>
      <c r="K929" s="121"/>
      <c r="L929" s="121"/>
      <c r="M929" s="122"/>
      <c r="N929" s="122"/>
      <c r="O929" s="122"/>
      <c r="P929" s="123"/>
      <c r="Q929" s="123"/>
      <c r="R929" s="123"/>
      <c r="S929" s="20"/>
      <c r="T929" s="20"/>
      <c r="U929" s="20"/>
      <c r="V929" s="20"/>
      <c r="W929" s="20"/>
      <c r="X929" s="20"/>
      <c r="Y929" s="20"/>
      <c r="Z929" s="20"/>
      <c r="AA929" s="20"/>
      <c r="AB929" s="20"/>
      <c r="AC929" s="20"/>
    </row>
    <row r="930">
      <c r="A930" s="20"/>
      <c r="B930" s="20"/>
      <c r="C930" s="20"/>
      <c r="D930" s="20"/>
      <c r="E930" s="20"/>
      <c r="F930" s="20"/>
      <c r="G930" s="20"/>
      <c r="H930" s="121"/>
      <c r="I930" s="121"/>
      <c r="J930" s="121"/>
      <c r="K930" s="121"/>
      <c r="L930" s="121"/>
      <c r="M930" s="122"/>
      <c r="N930" s="122"/>
      <c r="O930" s="122"/>
      <c r="P930" s="123"/>
      <c r="Q930" s="123"/>
      <c r="R930" s="123"/>
      <c r="S930" s="20"/>
      <c r="T930" s="20"/>
      <c r="U930" s="20"/>
      <c r="V930" s="20"/>
      <c r="W930" s="20"/>
      <c r="X930" s="20"/>
      <c r="Y930" s="20"/>
      <c r="Z930" s="20"/>
      <c r="AA930" s="20"/>
      <c r="AB930" s="20"/>
      <c r="AC930" s="20"/>
    </row>
    <row r="931">
      <c r="A931" s="20"/>
      <c r="B931" s="20"/>
      <c r="C931" s="20"/>
      <c r="D931" s="20"/>
      <c r="E931" s="20"/>
      <c r="F931" s="20"/>
      <c r="G931" s="20"/>
      <c r="H931" s="121"/>
      <c r="I931" s="121"/>
      <c r="J931" s="121"/>
      <c r="K931" s="121"/>
      <c r="L931" s="121"/>
      <c r="M931" s="122"/>
      <c r="N931" s="122"/>
      <c r="O931" s="122"/>
      <c r="P931" s="123"/>
      <c r="Q931" s="123"/>
      <c r="R931" s="123"/>
      <c r="S931" s="20"/>
      <c r="T931" s="20"/>
      <c r="U931" s="20"/>
      <c r="V931" s="20"/>
      <c r="W931" s="20"/>
      <c r="X931" s="20"/>
      <c r="Y931" s="20"/>
      <c r="Z931" s="20"/>
      <c r="AA931" s="20"/>
      <c r="AB931" s="20"/>
      <c r="AC931" s="20"/>
    </row>
    <row r="932">
      <c r="A932" s="20"/>
      <c r="B932" s="20"/>
      <c r="C932" s="20"/>
      <c r="D932" s="20"/>
      <c r="E932" s="20"/>
      <c r="F932" s="20"/>
      <c r="G932" s="20"/>
      <c r="H932" s="121"/>
      <c r="I932" s="121"/>
      <c r="J932" s="121"/>
      <c r="K932" s="121"/>
      <c r="L932" s="121"/>
      <c r="M932" s="122"/>
      <c r="N932" s="122"/>
      <c r="O932" s="122"/>
      <c r="P932" s="123"/>
      <c r="Q932" s="123"/>
      <c r="R932" s="123"/>
      <c r="S932" s="20"/>
      <c r="T932" s="20"/>
      <c r="U932" s="20"/>
      <c r="V932" s="20"/>
      <c r="W932" s="20"/>
      <c r="X932" s="20"/>
      <c r="Y932" s="20"/>
      <c r="Z932" s="20"/>
      <c r="AA932" s="20"/>
      <c r="AB932" s="20"/>
      <c r="AC932" s="20"/>
    </row>
    <row r="933">
      <c r="A933" s="20"/>
      <c r="B933" s="20"/>
      <c r="C933" s="20"/>
      <c r="D933" s="20"/>
      <c r="E933" s="20"/>
      <c r="F933" s="20"/>
      <c r="G933" s="20"/>
      <c r="H933" s="121"/>
      <c r="I933" s="121"/>
      <c r="J933" s="121"/>
      <c r="K933" s="121"/>
      <c r="L933" s="121"/>
      <c r="M933" s="122"/>
      <c r="N933" s="122"/>
      <c r="O933" s="122"/>
      <c r="P933" s="123"/>
      <c r="Q933" s="123"/>
      <c r="R933" s="123"/>
      <c r="S933" s="20"/>
      <c r="T933" s="20"/>
      <c r="U933" s="20"/>
      <c r="V933" s="20"/>
      <c r="W933" s="20"/>
      <c r="X933" s="20"/>
      <c r="Y933" s="20"/>
      <c r="Z933" s="20"/>
      <c r="AA933" s="20"/>
      <c r="AB933" s="20"/>
      <c r="AC933" s="20"/>
    </row>
    <row r="934">
      <c r="A934" s="20"/>
      <c r="B934" s="20"/>
      <c r="C934" s="20"/>
      <c r="D934" s="20"/>
      <c r="E934" s="20"/>
      <c r="F934" s="20"/>
      <c r="G934" s="20"/>
      <c r="H934" s="121"/>
      <c r="I934" s="121"/>
      <c r="J934" s="121"/>
      <c r="K934" s="121"/>
      <c r="L934" s="121"/>
      <c r="M934" s="122"/>
      <c r="N934" s="122"/>
      <c r="O934" s="122"/>
      <c r="P934" s="123"/>
      <c r="Q934" s="123"/>
      <c r="R934" s="123"/>
      <c r="S934" s="20"/>
      <c r="T934" s="20"/>
      <c r="U934" s="20"/>
      <c r="V934" s="20"/>
      <c r="W934" s="20"/>
      <c r="X934" s="20"/>
      <c r="Y934" s="20"/>
      <c r="Z934" s="20"/>
      <c r="AA934" s="20"/>
      <c r="AB934" s="20"/>
      <c r="AC934" s="20"/>
    </row>
    <row r="935">
      <c r="A935" s="20"/>
      <c r="B935" s="20"/>
      <c r="C935" s="20"/>
      <c r="D935" s="20"/>
      <c r="E935" s="20"/>
      <c r="F935" s="20"/>
      <c r="G935" s="20"/>
      <c r="H935" s="121"/>
      <c r="I935" s="121"/>
      <c r="J935" s="121"/>
      <c r="K935" s="121"/>
      <c r="L935" s="121"/>
      <c r="M935" s="122"/>
      <c r="N935" s="122"/>
      <c r="O935" s="122"/>
      <c r="P935" s="123"/>
      <c r="Q935" s="123"/>
      <c r="R935" s="123"/>
      <c r="S935" s="20"/>
      <c r="T935" s="20"/>
      <c r="U935" s="20"/>
      <c r="V935" s="20"/>
      <c r="W935" s="20"/>
      <c r="X935" s="20"/>
      <c r="Y935" s="20"/>
      <c r="Z935" s="20"/>
      <c r="AA935" s="20"/>
      <c r="AB935" s="20"/>
      <c r="AC935" s="20"/>
    </row>
    <row r="936">
      <c r="A936" s="20"/>
      <c r="B936" s="20"/>
      <c r="C936" s="20"/>
      <c r="D936" s="20"/>
      <c r="E936" s="20"/>
      <c r="F936" s="20"/>
      <c r="G936" s="20"/>
      <c r="H936" s="121"/>
      <c r="I936" s="121"/>
      <c r="J936" s="121"/>
      <c r="K936" s="121"/>
      <c r="L936" s="121"/>
      <c r="M936" s="122"/>
      <c r="N936" s="122"/>
      <c r="O936" s="122"/>
      <c r="P936" s="123"/>
      <c r="Q936" s="123"/>
      <c r="R936" s="123"/>
      <c r="S936" s="20"/>
      <c r="T936" s="20"/>
      <c r="U936" s="20"/>
      <c r="V936" s="20"/>
      <c r="W936" s="20"/>
      <c r="X936" s="20"/>
      <c r="Y936" s="20"/>
      <c r="Z936" s="20"/>
      <c r="AA936" s="20"/>
      <c r="AB936" s="20"/>
      <c r="AC936" s="20"/>
    </row>
    <row r="937">
      <c r="A937" s="20"/>
      <c r="B937" s="20"/>
      <c r="C937" s="20"/>
      <c r="D937" s="20"/>
      <c r="E937" s="20"/>
      <c r="F937" s="20"/>
      <c r="G937" s="20"/>
      <c r="H937" s="121"/>
      <c r="I937" s="121"/>
      <c r="J937" s="121"/>
      <c r="K937" s="121"/>
      <c r="L937" s="121"/>
      <c r="M937" s="122"/>
      <c r="N937" s="122"/>
      <c r="O937" s="122"/>
      <c r="P937" s="123"/>
      <c r="Q937" s="123"/>
      <c r="R937" s="123"/>
      <c r="S937" s="20"/>
      <c r="T937" s="20"/>
      <c r="U937" s="20"/>
      <c r="V937" s="20"/>
      <c r="W937" s="20"/>
      <c r="X937" s="20"/>
      <c r="Y937" s="20"/>
      <c r="Z937" s="20"/>
      <c r="AA937" s="20"/>
      <c r="AB937" s="20"/>
      <c r="AC937" s="20"/>
    </row>
    <row r="938">
      <c r="A938" s="20"/>
      <c r="B938" s="20"/>
      <c r="C938" s="20"/>
      <c r="D938" s="20"/>
      <c r="E938" s="20"/>
      <c r="F938" s="20"/>
      <c r="G938" s="20"/>
      <c r="H938" s="121"/>
      <c r="I938" s="121"/>
      <c r="J938" s="121"/>
      <c r="K938" s="121"/>
      <c r="L938" s="121"/>
      <c r="M938" s="122"/>
      <c r="N938" s="122"/>
      <c r="O938" s="122"/>
      <c r="P938" s="123"/>
      <c r="Q938" s="123"/>
      <c r="R938" s="123"/>
      <c r="S938" s="20"/>
      <c r="T938" s="20"/>
      <c r="U938" s="20"/>
      <c r="V938" s="20"/>
      <c r="W938" s="20"/>
      <c r="X938" s="20"/>
      <c r="Y938" s="20"/>
      <c r="Z938" s="20"/>
      <c r="AA938" s="20"/>
      <c r="AB938" s="20"/>
      <c r="AC938" s="20"/>
    </row>
    <row r="939">
      <c r="A939" s="20"/>
      <c r="B939" s="20"/>
      <c r="C939" s="20"/>
      <c r="D939" s="20"/>
      <c r="E939" s="20"/>
      <c r="F939" s="20"/>
      <c r="G939" s="20"/>
      <c r="H939" s="121"/>
      <c r="I939" s="121"/>
      <c r="J939" s="121"/>
      <c r="K939" s="121"/>
      <c r="L939" s="121"/>
      <c r="M939" s="122"/>
      <c r="N939" s="122"/>
      <c r="O939" s="122"/>
      <c r="P939" s="123"/>
      <c r="Q939" s="123"/>
      <c r="R939" s="123"/>
      <c r="S939" s="20"/>
      <c r="T939" s="20"/>
      <c r="U939" s="20"/>
      <c r="V939" s="20"/>
      <c r="W939" s="20"/>
      <c r="X939" s="20"/>
      <c r="Y939" s="20"/>
      <c r="Z939" s="20"/>
      <c r="AA939" s="20"/>
      <c r="AB939" s="20"/>
      <c r="AC939" s="20"/>
    </row>
    <row r="940">
      <c r="A940" s="20"/>
      <c r="B940" s="20"/>
      <c r="C940" s="20"/>
      <c r="D940" s="20"/>
      <c r="E940" s="20"/>
      <c r="F940" s="20"/>
      <c r="G940" s="20"/>
      <c r="H940" s="121"/>
      <c r="I940" s="121"/>
      <c r="J940" s="121"/>
      <c r="K940" s="121"/>
      <c r="L940" s="121"/>
      <c r="M940" s="122"/>
      <c r="N940" s="122"/>
      <c r="O940" s="122"/>
      <c r="P940" s="123"/>
      <c r="Q940" s="123"/>
      <c r="R940" s="123"/>
      <c r="S940" s="20"/>
      <c r="T940" s="20"/>
      <c r="U940" s="20"/>
      <c r="V940" s="20"/>
      <c r="W940" s="20"/>
      <c r="X940" s="20"/>
      <c r="Y940" s="20"/>
      <c r="Z940" s="20"/>
      <c r="AA940" s="20"/>
      <c r="AB940" s="20"/>
      <c r="AC940" s="20"/>
    </row>
    <row r="941">
      <c r="A941" s="20"/>
      <c r="B941" s="20"/>
      <c r="C941" s="20"/>
      <c r="D941" s="20"/>
      <c r="E941" s="20"/>
      <c r="F941" s="20"/>
      <c r="G941" s="20"/>
      <c r="H941" s="121"/>
      <c r="I941" s="121"/>
      <c r="J941" s="121"/>
      <c r="K941" s="121"/>
      <c r="L941" s="121"/>
      <c r="M941" s="122"/>
      <c r="N941" s="122"/>
      <c r="O941" s="122"/>
      <c r="P941" s="123"/>
      <c r="Q941" s="123"/>
      <c r="R941" s="123"/>
      <c r="S941" s="20"/>
      <c r="T941" s="20"/>
      <c r="U941" s="20"/>
      <c r="V941" s="20"/>
      <c r="W941" s="20"/>
      <c r="X941" s="20"/>
      <c r="Y941" s="20"/>
      <c r="Z941" s="20"/>
      <c r="AA941" s="20"/>
      <c r="AB941" s="20"/>
      <c r="AC941" s="20"/>
    </row>
    <row r="942">
      <c r="A942" s="20"/>
      <c r="B942" s="20"/>
      <c r="C942" s="20"/>
      <c r="D942" s="20"/>
      <c r="E942" s="20"/>
      <c r="F942" s="20"/>
      <c r="G942" s="20"/>
      <c r="H942" s="121"/>
      <c r="I942" s="121"/>
      <c r="J942" s="121"/>
      <c r="K942" s="121"/>
      <c r="L942" s="121"/>
      <c r="M942" s="122"/>
      <c r="N942" s="122"/>
      <c r="O942" s="122"/>
      <c r="P942" s="123"/>
      <c r="Q942" s="123"/>
      <c r="R942" s="123"/>
      <c r="S942" s="20"/>
      <c r="T942" s="20"/>
      <c r="U942" s="20"/>
      <c r="V942" s="20"/>
      <c r="W942" s="20"/>
      <c r="X942" s="20"/>
      <c r="Y942" s="20"/>
      <c r="Z942" s="20"/>
      <c r="AA942" s="20"/>
      <c r="AB942" s="20"/>
      <c r="AC942" s="20"/>
    </row>
    <row r="943">
      <c r="A943" s="20"/>
      <c r="B943" s="20"/>
      <c r="C943" s="20"/>
      <c r="D943" s="20"/>
      <c r="E943" s="20"/>
      <c r="F943" s="20"/>
      <c r="G943" s="20"/>
      <c r="H943" s="121"/>
      <c r="I943" s="121"/>
      <c r="J943" s="121"/>
      <c r="K943" s="121"/>
      <c r="L943" s="121"/>
      <c r="M943" s="122"/>
      <c r="N943" s="122"/>
      <c r="O943" s="122"/>
      <c r="P943" s="123"/>
      <c r="Q943" s="123"/>
      <c r="R943" s="123"/>
      <c r="S943" s="20"/>
      <c r="T943" s="20"/>
      <c r="U943" s="20"/>
      <c r="V943" s="20"/>
      <c r="W943" s="20"/>
      <c r="X943" s="20"/>
      <c r="Y943" s="20"/>
      <c r="Z943" s="20"/>
      <c r="AA943" s="20"/>
      <c r="AB943" s="20"/>
      <c r="AC943" s="20"/>
    </row>
    <row r="944">
      <c r="A944" s="20"/>
      <c r="B944" s="20"/>
      <c r="C944" s="20"/>
      <c r="D944" s="20"/>
      <c r="E944" s="20"/>
      <c r="F944" s="20"/>
      <c r="G944" s="20"/>
      <c r="H944" s="121"/>
      <c r="I944" s="121"/>
      <c r="J944" s="121"/>
      <c r="K944" s="121"/>
      <c r="L944" s="121"/>
      <c r="M944" s="122"/>
      <c r="N944" s="122"/>
      <c r="O944" s="122"/>
      <c r="P944" s="123"/>
      <c r="Q944" s="123"/>
      <c r="R944" s="123"/>
      <c r="S944" s="20"/>
      <c r="T944" s="20"/>
      <c r="U944" s="20"/>
      <c r="V944" s="20"/>
      <c r="W944" s="20"/>
      <c r="X944" s="20"/>
      <c r="Y944" s="20"/>
      <c r="Z944" s="20"/>
      <c r="AA944" s="20"/>
      <c r="AB944" s="20"/>
      <c r="AC944" s="20"/>
    </row>
    <row r="945">
      <c r="A945" s="20"/>
      <c r="B945" s="20"/>
      <c r="C945" s="20"/>
      <c r="D945" s="20"/>
      <c r="E945" s="20"/>
      <c r="F945" s="20"/>
      <c r="G945" s="20"/>
      <c r="H945" s="121"/>
      <c r="I945" s="121"/>
      <c r="J945" s="121"/>
      <c r="K945" s="121"/>
      <c r="L945" s="121"/>
      <c r="M945" s="122"/>
      <c r="N945" s="122"/>
      <c r="O945" s="122"/>
      <c r="P945" s="123"/>
      <c r="Q945" s="123"/>
      <c r="R945" s="123"/>
      <c r="S945" s="20"/>
      <c r="T945" s="20"/>
      <c r="U945" s="20"/>
      <c r="V945" s="20"/>
      <c r="W945" s="20"/>
      <c r="X945" s="20"/>
      <c r="Y945" s="20"/>
      <c r="Z945" s="20"/>
      <c r="AA945" s="20"/>
      <c r="AB945" s="20"/>
      <c r="AC945" s="20"/>
    </row>
    <row r="946">
      <c r="A946" s="20"/>
      <c r="B946" s="20"/>
      <c r="C946" s="20"/>
      <c r="D946" s="20"/>
      <c r="E946" s="20"/>
      <c r="F946" s="20"/>
      <c r="G946" s="20"/>
      <c r="H946" s="121"/>
      <c r="I946" s="121"/>
      <c r="J946" s="121"/>
      <c r="K946" s="121"/>
      <c r="L946" s="121"/>
      <c r="M946" s="122"/>
      <c r="N946" s="122"/>
      <c r="O946" s="122"/>
      <c r="P946" s="123"/>
      <c r="Q946" s="123"/>
      <c r="R946" s="123"/>
      <c r="S946" s="20"/>
      <c r="T946" s="20"/>
      <c r="U946" s="20"/>
      <c r="V946" s="20"/>
      <c r="W946" s="20"/>
      <c r="X946" s="20"/>
      <c r="Y946" s="20"/>
      <c r="Z946" s="20"/>
      <c r="AA946" s="20"/>
      <c r="AB946" s="20"/>
      <c r="AC946" s="20"/>
    </row>
    <row r="947">
      <c r="A947" s="20"/>
      <c r="B947" s="20"/>
      <c r="C947" s="20"/>
      <c r="D947" s="20"/>
      <c r="E947" s="20"/>
      <c r="F947" s="20"/>
      <c r="G947" s="20"/>
      <c r="H947" s="121"/>
      <c r="I947" s="121"/>
      <c r="J947" s="121"/>
      <c r="K947" s="121"/>
      <c r="L947" s="121"/>
      <c r="M947" s="122"/>
      <c r="N947" s="122"/>
      <c r="O947" s="122"/>
      <c r="P947" s="123"/>
      <c r="Q947" s="123"/>
      <c r="R947" s="123"/>
      <c r="S947" s="20"/>
      <c r="T947" s="20"/>
      <c r="U947" s="20"/>
      <c r="V947" s="20"/>
      <c r="W947" s="20"/>
      <c r="X947" s="20"/>
      <c r="Y947" s="20"/>
      <c r="Z947" s="20"/>
      <c r="AA947" s="20"/>
      <c r="AB947" s="20"/>
      <c r="AC947" s="20"/>
    </row>
    <row r="948">
      <c r="A948" s="20"/>
      <c r="B948" s="20"/>
      <c r="C948" s="20"/>
      <c r="D948" s="20"/>
      <c r="E948" s="20"/>
      <c r="F948" s="20"/>
      <c r="G948" s="20"/>
      <c r="H948" s="121"/>
      <c r="I948" s="121"/>
      <c r="J948" s="121"/>
      <c r="K948" s="121"/>
      <c r="L948" s="121"/>
      <c r="M948" s="122"/>
      <c r="N948" s="122"/>
      <c r="O948" s="122"/>
      <c r="P948" s="123"/>
      <c r="Q948" s="123"/>
      <c r="R948" s="123"/>
      <c r="S948" s="20"/>
      <c r="T948" s="20"/>
      <c r="U948" s="20"/>
      <c r="V948" s="20"/>
      <c r="W948" s="20"/>
      <c r="X948" s="20"/>
      <c r="Y948" s="20"/>
      <c r="Z948" s="20"/>
      <c r="AA948" s="20"/>
      <c r="AB948" s="20"/>
      <c r="AC948" s="20"/>
    </row>
    <row r="949">
      <c r="A949" s="20"/>
      <c r="B949" s="20"/>
      <c r="C949" s="20"/>
      <c r="D949" s="20"/>
      <c r="E949" s="20"/>
      <c r="F949" s="20"/>
      <c r="G949" s="20"/>
      <c r="H949" s="121"/>
      <c r="I949" s="121"/>
      <c r="J949" s="121"/>
      <c r="K949" s="121"/>
      <c r="L949" s="121"/>
      <c r="M949" s="122"/>
      <c r="N949" s="122"/>
      <c r="O949" s="122"/>
      <c r="P949" s="123"/>
      <c r="Q949" s="123"/>
      <c r="R949" s="123"/>
      <c r="S949" s="20"/>
      <c r="T949" s="20"/>
      <c r="U949" s="20"/>
      <c r="V949" s="20"/>
      <c r="W949" s="20"/>
      <c r="X949" s="20"/>
      <c r="Y949" s="20"/>
      <c r="Z949" s="20"/>
      <c r="AA949" s="20"/>
      <c r="AB949" s="20"/>
      <c r="AC949" s="20"/>
    </row>
    <row r="950">
      <c r="A950" s="20"/>
      <c r="B950" s="20"/>
      <c r="C950" s="20"/>
      <c r="D950" s="20"/>
      <c r="E950" s="20"/>
      <c r="F950" s="20"/>
      <c r="G950" s="20"/>
      <c r="H950" s="121"/>
      <c r="I950" s="121"/>
      <c r="J950" s="121"/>
      <c r="K950" s="121"/>
      <c r="L950" s="121"/>
      <c r="M950" s="122"/>
      <c r="N950" s="122"/>
      <c r="O950" s="122"/>
      <c r="P950" s="123"/>
      <c r="Q950" s="123"/>
      <c r="R950" s="123"/>
      <c r="S950" s="20"/>
      <c r="T950" s="20"/>
      <c r="U950" s="20"/>
      <c r="V950" s="20"/>
      <c r="W950" s="20"/>
      <c r="X950" s="20"/>
      <c r="Y950" s="20"/>
      <c r="Z950" s="20"/>
      <c r="AA950" s="20"/>
      <c r="AB950" s="20"/>
      <c r="AC950" s="20"/>
    </row>
    <row r="951">
      <c r="A951" s="20"/>
      <c r="B951" s="20"/>
      <c r="C951" s="20"/>
      <c r="D951" s="20"/>
      <c r="E951" s="20"/>
      <c r="F951" s="20"/>
      <c r="G951" s="20"/>
      <c r="H951" s="121"/>
      <c r="I951" s="121"/>
      <c r="J951" s="121"/>
      <c r="K951" s="121"/>
      <c r="L951" s="121"/>
      <c r="M951" s="122"/>
      <c r="N951" s="122"/>
      <c r="O951" s="122"/>
      <c r="P951" s="123"/>
      <c r="Q951" s="123"/>
      <c r="R951" s="123"/>
      <c r="S951" s="20"/>
      <c r="T951" s="20"/>
      <c r="U951" s="20"/>
      <c r="V951" s="20"/>
      <c r="W951" s="20"/>
      <c r="X951" s="20"/>
      <c r="Y951" s="20"/>
      <c r="Z951" s="20"/>
      <c r="AA951" s="20"/>
      <c r="AB951" s="20"/>
      <c r="AC951" s="20"/>
    </row>
    <row r="952">
      <c r="A952" s="20"/>
      <c r="B952" s="20"/>
      <c r="C952" s="20"/>
      <c r="D952" s="20"/>
      <c r="E952" s="20"/>
      <c r="F952" s="20"/>
      <c r="G952" s="20"/>
      <c r="H952" s="121"/>
      <c r="I952" s="121"/>
      <c r="J952" s="121"/>
      <c r="K952" s="121"/>
      <c r="L952" s="121"/>
      <c r="M952" s="122"/>
      <c r="N952" s="122"/>
      <c r="O952" s="122"/>
      <c r="P952" s="123"/>
      <c r="Q952" s="123"/>
      <c r="R952" s="123"/>
      <c r="S952" s="20"/>
      <c r="T952" s="20"/>
      <c r="U952" s="20"/>
      <c r="V952" s="20"/>
      <c r="W952" s="20"/>
      <c r="X952" s="20"/>
      <c r="Y952" s="20"/>
      <c r="Z952" s="20"/>
      <c r="AA952" s="20"/>
      <c r="AB952" s="20"/>
      <c r="AC952" s="20"/>
    </row>
    <row r="953">
      <c r="A953" s="20"/>
      <c r="B953" s="20"/>
      <c r="C953" s="20"/>
      <c r="D953" s="20"/>
      <c r="E953" s="20"/>
      <c r="F953" s="20"/>
      <c r="G953" s="20"/>
      <c r="H953" s="121"/>
      <c r="I953" s="121"/>
      <c r="J953" s="121"/>
      <c r="K953" s="121"/>
      <c r="L953" s="121"/>
      <c r="M953" s="122"/>
      <c r="N953" s="122"/>
      <c r="O953" s="122"/>
      <c r="P953" s="123"/>
      <c r="Q953" s="123"/>
      <c r="R953" s="123"/>
      <c r="S953" s="20"/>
      <c r="T953" s="20"/>
      <c r="U953" s="20"/>
      <c r="V953" s="20"/>
      <c r="W953" s="20"/>
      <c r="X953" s="20"/>
      <c r="Y953" s="20"/>
      <c r="Z953" s="20"/>
      <c r="AA953" s="20"/>
      <c r="AB953" s="20"/>
      <c r="AC953" s="20"/>
    </row>
    <row r="954">
      <c r="A954" s="20"/>
      <c r="B954" s="20"/>
      <c r="C954" s="20"/>
      <c r="D954" s="20"/>
      <c r="E954" s="20"/>
      <c r="F954" s="20"/>
      <c r="G954" s="20"/>
      <c r="H954" s="121"/>
      <c r="I954" s="121"/>
      <c r="J954" s="121"/>
      <c r="K954" s="121"/>
      <c r="L954" s="121"/>
      <c r="M954" s="122"/>
      <c r="N954" s="122"/>
      <c r="O954" s="122"/>
      <c r="P954" s="123"/>
      <c r="Q954" s="123"/>
      <c r="R954" s="123"/>
      <c r="S954" s="20"/>
      <c r="T954" s="20"/>
      <c r="U954" s="20"/>
      <c r="V954" s="20"/>
      <c r="W954" s="20"/>
      <c r="X954" s="20"/>
      <c r="Y954" s="20"/>
      <c r="Z954" s="20"/>
      <c r="AA954" s="20"/>
      <c r="AB954" s="20"/>
      <c r="AC954" s="20"/>
    </row>
    <row r="955">
      <c r="A955" s="20"/>
      <c r="B955" s="20"/>
      <c r="C955" s="20"/>
      <c r="D955" s="20"/>
      <c r="E955" s="20"/>
      <c r="F955" s="20"/>
      <c r="G955" s="20"/>
      <c r="H955" s="121"/>
      <c r="I955" s="121"/>
      <c r="J955" s="121"/>
      <c r="K955" s="121"/>
      <c r="L955" s="121"/>
      <c r="M955" s="122"/>
      <c r="N955" s="122"/>
      <c r="O955" s="122"/>
      <c r="P955" s="123"/>
      <c r="Q955" s="123"/>
      <c r="R955" s="123"/>
      <c r="S955" s="20"/>
      <c r="T955" s="20"/>
      <c r="U955" s="20"/>
      <c r="V955" s="20"/>
      <c r="W955" s="20"/>
      <c r="X955" s="20"/>
      <c r="Y955" s="20"/>
      <c r="Z955" s="20"/>
      <c r="AA955" s="20"/>
      <c r="AB955" s="20"/>
      <c r="AC955" s="20"/>
    </row>
    <row r="956">
      <c r="A956" s="20"/>
      <c r="B956" s="20"/>
      <c r="C956" s="20"/>
      <c r="D956" s="20"/>
      <c r="E956" s="20"/>
      <c r="F956" s="20"/>
      <c r="G956" s="20"/>
      <c r="H956" s="121"/>
      <c r="I956" s="121"/>
      <c r="J956" s="121"/>
      <c r="K956" s="121"/>
      <c r="L956" s="121"/>
      <c r="M956" s="122"/>
      <c r="N956" s="122"/>
      <c r="O956" s="122"/>
      <c r="P956" s="123"/>
      <c r="Q956" s="123"/>
      <c r="R956" s="123"/>
      <c r="S956" s="20"/>
      <c r="T956" s="20"/>
      <c r="U956" s="20"/>
      <c r="V956" s="20"/>
      <c r="W956" s="20"/>
      <c r="X956" s="20"/>
      <c r="Y956" s="20"/>
      <c r="Z956" s="20"/>
      <c r="AA956" s="20"/>
      <c r="AB956" s="20"/>
      <c r="AC956" s="20"/>
    </row>
    <row r="957">
      <c r="A957" s="20"/>
      <c r="B957" s="20"/>
      <c r="C957" s="20"/>
      <c r="D957" s="20"/>
      <c r="E957" s="20"/>
      <c r="F957" s="20"/>
      <c r="G957" s="20"/>
      <c r="H957" s="121"/>
      <c r="I957" s="121"/>
      <c r="J957" s="121"/>
      <c r="K957" s="121"/>
      <c r="L957" s="121"/>
      <c r="M957" s="122"/>
      <c r="N957" s="122"/>
      <c r="O957" s="122"/>
      <c r="P957" s="123"/>
      <c r="Q957" s="123"/>
      <c r="R957" s="123"/>
      <c r="S957" s="20"/>
      <c r="T957" s="20"/>
      <c r="U957" s="20"/>
      <c r="V957" s="20"/>
      <c r="W957" s="20"/>
      <c r="X957" s="20"/>
      <c r="Y957" s="20"/>
      <c r="Z957" s="20"/>
      <c r="AA957" s="20"/>
      <c r="AB957" s="20"/>
      <c r="AC957" s="20"/>
    </row>
    <row r="958">
      <c r="A958" s="20"/>
      <c r="B958" s="20"/>
      <c r="C958" s="20"/>
      <c r="D958" s="20"/>
      <c r="E958" s="20"/>
      <c r="F958" s="20"/>
      <c r="G958" s="20"/>
      <c r="H958" s="121"/>
      <c r="I958" s="121"/>
      <c r="J958" s="121"/>
      <c r="K958" s="121"/>
      <c r="L958" s="121"/>
      <c r="M958" s="122"/>
      <c r="N958" s="122"/>
      <c r="O958" s="122"/>
      <c r="P958" s="123"/>
      <c r="Q958" s="123"/>
      <c r="R958" s="123"/>
      <c r="S958" s="20"/>
      <c r="T958" s="20"/>
      <c r="U958" s="20"/>
      <c r="V958" s="20"/>
      <c r="W958" s="20"/>
      <c r="X958" s="20"/>
      <c r="Y958" s="20"/>
      <c r="Z958" s="20"/>
      <c r="AA958" s="20"/>
      <c r="AB958" s="20"/>
      <c r="AC958" s="20"/>
    </row>
    <row r="959">
      <c r="A959" s="20"/>
      <c r="B959" s="20"/>
      <c r="C959" s="20"/>
      <c r="D959" s="20"/>
      <c r="E959" s="20"/>
      <c r="F959" s="20"/>
      <c r="G959" s="20"/>
      <c r="H959" s="121"/>
      <c r="I959" s="121"/>
      <c r="J959" s="121"/>
      <c r="K959" s="121"/>
      <c r="L959" s="121"/>
      <c r="M959" s="122"/>
      <c r="N959" s="122"/>
      <c r="O959" s="122"/>
      <c r="P959" s="123"/>
      <c r="Q959" s="123"/>
      <c r="R959" s="123"/>
      <c r="S959" s="20"/>
      <c r="T959" s="20"/>
      <c r="U959" s="20"/>
      <c r="V959" s="20"/>
      <c r="W959" s="20"/>
      <c r="X959" s="20"/>
      <c r="Y959" s="20"/>
      <c r="Z959" s="20"/>
      <c r="AA959" s="20"/>
      <c r="AB959" s="20"/>
      <c r="AC959" s="20"/>
    </row>
    <row r="960">
      <c r="A960" s="20"/>
      <c r="B960" s="20"/>
      <c r="C960" s="20"/>
      <c r="D960" s="20"/>
      <c r="E960" s="20"/>
      <c r="F960" s="20"/>
      <c r="G960" s="20"/>
      <c r="H960" s="121"/>
      <c r="I960" s="121"/>
      <c r="J960" s="121"/>
      <c r="K960" s="121"/>
      <c r="L960" s="121"/>
      <c r="M960" s="122"/>
      <c r="N960" s="122"/>
      <c r="O960" s="122"/>
      <c r="P960" s="123"/>
      <c r="Q960" s="123"/>
      <c r="R960" s="123"/>
      <c r="S960" s="20"/>
      <c r="T960" s="20"/>
      <c r="U960" s="20"/>
      <c r="V960" s="20"/>
      <c r="W960" s="20"/>
      <c r="X960" s="20"/>
      <c r="Y960" s="20"/>
      <c r="Z960" s="20"/>
      <c r="AA960" s="20"/>
      <c r="AB960" s="20"/>
      <c r="AC960" s="20"/>
    </row>
    <row r="961">
      <c r="A961" s="20"/>
      <c r="B961" s="20"/>
      <c r="C961" s="20"/>
      <c r="D961" s="20"/>
      <c r="E961" s="20"/>
      <c r="F961" s="20"/>
      <c r="G961" s="20"/>
      <c r="H961" s="121"/>
      <c r="I961" s="121"/>
      <c r="J961" s="121"/>
      <c r="K961" s="121"/>
      <c r="L961" s="121"/>
      <c r="M961" s="122"/>
      <c r="N961" s="122"/>
      <c r="O961" s="122"/>
      <c r="P961" s="123"/>
      <c r="Q961" s="123"/>
      <c r="R961" s="123"/>
      <c r="S961" s="20"/>
      <c r="T961" s="20"/>
      <c r="U961" s="20"/>
      <c r="V961" s="20"/>
      <c r="W961" s="20"/>
      <c r="X961" s="20"/>
      <c r="Y961" s="20"/>
      <c r="Z961" s="20"/>
      <c r="AA961" s="20"/>
      <c r="AB961" s="20"/>
      <c r="AC961" s="20"/>
    </row>
    <row r="962">
      <c r="A962" s="20"/>
      <c r="B962" s="20"/>
      <c r="C962" s="20"/>
      <c r="D962" s="20"/>
      <c r="E962" s="20"/>
      <c r="F962" s="20"/>
      <c r="G962" s="20"/>
      <c r="H962" s="121"/>
      <c r="I962" s="121"/>
      <c r="J962" s="121"/>
      <c r="K962" s="121"/>
      <c r="L962" s="121"/>
      <c r="M962" s="122"/>
      <c r="N962" s="122"/>
      <c r="O962" s="122"/>
      <c r="P962" s="123"/>
      <c r="Q962" s="123"/>
      <c r="R962" s="123"/>
      <c r="S962" s="20"/>
      <c r="T962" s="20"/>
      <c r="U962" s="20"/>
      <c r="V962" s="20"/>
      <c r="W962" s="20"/>
      <c r="X962" s="20"/>
      <c r="Y962" s="20"/>
      <c r="Z962" s="20"/>
      <c r="AA962" s="20"/>
      <c r="AB962" s="20"/>
      <c r="AC962" s="20"/>
    </row>
    <row r="963">
      <c r="A963" s="20"/>
      <c r="B963" s="20"/>
      <c r="C963" s="20"/>
      <c r="D963" s="20"/>
      <c r="E963" s="20"/>
      <c r="F963" s="20"/>
      <c r="G963" s="20"/>
      <c r="H963" s="121"/>
      <c r="I963" s="121"/>
      <c r="J963" s="121"/>
      <c r="K963" s="121"/>
      <c r="L963" s="121"/>
      <c r="M963" s="122"/>
      <c r="N963" s="122"/>
      <c r="O963" s="122"/>
      <c r="P963" s="123"/>
      <c r="Q963" s="123"/>
      <c r="R963" s="123"/>
      <c r="S963" s="20"/>
      <c r="T963" s="20"/>
      <c r="U963" s="20"/>
      <c r="V963" s="20"/>
      <c r="W963" s="20"/>
      <c r="X963" s="20"/>
      <c r="Y963" s="20"/>
      <c r="Z963" s="20"/>
      <c r="AA963" s="20"/>
      <c r="AB963" s="20"/>
      <c r="AC963" s="20"/>
    </row>
    <row r="964">
      <c r="A964" s="20"/>
      <c r="B964" s="20"/>
      <c r="C964" s="20"/>
      <c r="D964" s="20"/>
      <c r="E964" s="20"/>
      <c r="F964" s="20"/>
      <c r="G964" s="20"/>
      <c r="H964" s="121"/>
      <c r="I964" s="121"/>
      <c r="J964" s="121"/>
      <c r="K964" s="121"/>
      <c r="L964" s="121"/>
      <c r="M964" s="122"/>
      <c r="N964" s="122"/>
      <c r="O964" s="122"/>
      <c r="P964" s="123"/>
      <c r="Q964" s="123"/>
      <c r="R964" s="123"/>
      <c r="S964" s="20"/>
      <c r="T964" s="20"/>
      <c r="U964" s="20"/>
      <c r="V964" s="20"/>
      <c r="W964" s="20"/>
      <c r="X964" s="20"/>
      <c r="Y964" s="20"/>
      <c r="Z964" s="20"/>
      <c r="AA964" s="20"/>
      <c r="AB964" s="20"/>
      <c r="AC964" s="20"/>
    </row>
    <row r="965">
      <c r="A965" s="20"/>
      <c r="B965" s="20"/>
      <c r="C965" s="20"/>
      <c r="D965" s="20"/>
      <c r="E965" s="20"/>
      <c r="F965" s="20"/>
      <c r="G965" s="20"/>
      <c r="H965" s="121"/>
      <c r="I965" s="121"/>
      <c r="J965" s="121"/>
      <c r="K965" s="121"/>
      <c r="L965" s="121"/>
      <c r="M965" s="122"/>
      <c r="N965" s="122"/>
      <c r="O965" s="122"/>
      <c r="P965" s="123"/>
      <c r="Q965" s="123"/>
      <c r="R965" s="123"/>
      <c r="S965" s="20"/>
      <c r="T965" s="20"/>
      <c r="U965" s="20"/>
      <c r="V965" s="20"/>
      <c r="W965" s="20"/>
      <c r="X965" s="20"/>
      <c r="Y965" s="20"/>
      <c r="Z965" s="20"/>
      <c r="AA965" s="20"/>
      <c r="AB965" s="20"/>
      <c r="AC965" s="20"/>
    </row>
    <row r="966">
      <c r="A966" s="20"/>
      <c r="B966" s="20"/>
      <c r="C966" s="20"/>
      <c r="D966" s="20"/>
      <c r="E966" s="20"/>
      <c r="F966" s="20"/>
      <c r="G966" s="20"/>
      <c r="H966" s="121"/>
      <c r="I966" s="121"/>
      <c r="J966" s="121"/>
      <c r="K966" s="121"/>
      <c r="L966" s="121"/>
      <c r="M966" s="122"/>
      <c r="N966" s="122"/>
      <c r="O966" s="122"/>
      <c r="P966" s="123"/>
      <c r="Q966" s="123"/>
      <c r="R966" s="123"/>
      <c r="S966" s="20"/>
      <c r="T966" s="20"/>
      <c r="U966" s="20"/>
      <c r="V966" s="20"/>
      <c r="W966" s="20"/>
      <c r="X966" s="20"/>
      <c r="Y966" s="20"/>
      <c r="Z966" s="20"/>
      <c r="AA966" s="20"/>
      <c r="AB966" s="20"/>
      <c r="AC966" s="20"/>
    </row>
    <row r="967">
      <c r="A967" s="20"/>
      <c r="B967" s="20"/>
      <c r="C967" s="20"/>
      <c r="D967" s="20"/>
      <c r="E967" s="20"/>
      <c r="F967" s="20"/>
      <c r="G967" s="20"/>
      <c r="H967" s="121"/>
      <c r="I967" s="121"/>
      <c r="J967" s="121"/>
      <c r="K967" s="121"/>
      <c r="L967" s="121"/>
      <c r="M967" s="122"/>
      <c r="N967" s="122"/>
      <c r="O967" s="122"/>
      <c r="P967" s="123"/>
      <c r="Q967" s="123"/>
      <c r="R967" s="123"/>
      <c r="S967" s="20"/>
      <c r="T967" s="20"/>
      <c r="U967" s="20"/>
      <c r="V967" s="20"/>
      <c r="W967" s="20"/>
      <c r="X967" s="20"/>
      <c r="Y967" s="20"/>
      <c r="Z967" s="20"/>
      <c r="AA967" s="20"/>
      <c r="AB967" s="20"/>
      <c r="AC967" s="20"/>
    </row>
    <row r="968">
      <c r="A968" s="20"/>
      <c r="B968" s="20"/>
      <c r="C968" s="20"/>
      <c r="D968" s="20"/>
      <c r="E968" s="20"/>
      <c r="F968" s="20"/>
      <c r="G968" s="20"/>
      <c r="H968" s="121"/>
      <c r="I968" s="121"/>
      <c r="J968" s="121"/>
      <c r="K968" s="121"/>
      <c r="L968" s="121"/>
      <c r="M968" s="122"/>
      <c r="N968" s="122"/>
      <c r="O968" s="122"/>
      <c r="P968" s="123"/>
      <c r="Q968" s="123"/>
      <c r="R968" s="123"/>
      <c r="S968" s="20"/>
      <c r="T968" s="20"/>
      <c r="U968" s="20"/>
      <c r="V968" s="20"/>
      <c r="W968" s="20"/>
      <c r="X968" s="20"/>
      <c r="Y968" s="20"/>
      <c r="Z968" s="20"/>
      <c r="AA968" s="20"/>
      <c r="AB968" s="20"/>
      <c r="AC968" s="20"/>
    </row>
    <row r="969">
      <c r="A969" s="20"/>
      <c r="B969" s="20"/>
      <c r="C969" s="20"/>
      <c r="D969" s="20"/>
      <c r="E969" s="20"/>
      <c r="F969" s="20"/>
      <c r="G969" s="20"/>
      <c r="H969" s="121"/>
      <c r="I969" s="121"/>
      <c r="J969" s="121"/>
      <c r="K969" s="121"/>
      <c r="L969" s="121"/>
      <c r="M969" s="122"/>
      <c r="N969" s="122"/>
      <c r="O969" s="122"/>
      <c r="P969" s="123"/>
      <c r="Q969" s="123"/>
      <c r="R969" s="123"/>
      <c r="S969" s="20"/>
      <c r="T969" s="20"/>
      <c r="U969" s="20"/>
      <c r="V969" s="20"/>
      <c r="W969" s="20"/>
      <c r="X969" s="20"/>
      <c r="Y969" s="20"/>
      <c r="Z969" s="20"/>
      <c r="AA969" s="20"/>
      <c r="AB969" s="20"/>
      <c r="AC969" s="20"/>
    </row>
    <row r="970">
      <c r="A970" s="20"/>
      <c r="B970" s="20"/>
      <c r="C970" s="20"/>
      <c r="D970" s="20"/>
      <c r="E970" s="20"/>
      <c r="F970" s="20"/>
      <c r="G970" s="20"/>
      <c r="H970" s="121"/>
      <c r="I970" s="121"/>
      <c r="J970" s="121"/>
      <c r="K970" s="121"/>
      <c r="L970" s="121"/>
      <c r="M970" s="122"/>
      <c r="N970" s="122"/>
      <c r="O970" s="122"/>
      <c r="P970" s="123"/>
      <c r="Q970" s="123"/>
      <c r="R970" s="123"/>
      <c r="S970" s="20"/>
      <c r="T970" s="20"/>
      <c r="U970" s="20"/>
      <c r="V970" s="20"/>
      <c r="W970" s="20"/>
      <c r="X970" s="20"/>
      <c r="Y970" s="20"/>
      <c r="Z970" s="20"/>
      <c r="AA970" s="20"/>
      <c r="AB970" s="20"/>
      <c r="AC970" s="20"/>
    </row>
    <row r="971">
      <c r="A971" s="20"/>
      <c r="B971" s="20"/>
      <c r="C971" s="20"/>
      <c r="D971" s="20"/>
      <c r="E971" s="20"/>
      <c r="F971" s="20"/>
      <c r="G971" s="20"/>
      <c r="H971" s="121"/>
      <c r="I971" s="121"/>
      <c r="J971" s="121"/>
      <c r="K971" s="121"/>
      <c r="L971" s="121"/>
      <c r="M971" s="122"/>
      <c r="N971" s="122"/>
      <c r="O971" s="122"/>
      <c r="P971" s="123"/>
      <c r="Q971" s="123"/>
      <c r="R971" s="123"/>
      <c r="S971" s="20"/>
      <c r="T971" s="20"/>
      <c r="U971" s="20"/>
      <c r="V971" s="20"/>
      <c r="W971" s="20"/>
      <c r="X971" s="20"/>
      <c r="Y971" s="20"/>
      <c r="Z971" s="20"/>
      <c r="AA971" s="20"/>
      <c r="AB971" s="20"/>
      <c r="AC971" s="20"/>
    </row>
    <row r="972">
      <c r="A972" s="20"/>
      <c r="B972" s="20"/>
      <c r="C972" s="20"/>
      <c r="D972" s="20"/>
      <c r="E972" s="20"/>
      <c r="F972" s="20"/>
      <c r="G972" s="20"/>
      <c r="H972" s="121"/>
      <c r="I972" s="121"/>
      <c r="J972" s="121"/>
      <c r="K972" s="121"/>
      <c r="L972" s="121"/>
      <c r="M972" s="122"/>
      <c r="N972" s="122"/>
      <c r="O972" s="122"/>
      <c r="P972" s="123"/>
      <c r="Q972" s="123"/>
      <c r="R972" s="123"/>
      <c r="S972" s="20"/>
      <c r="T972" s="20"/>
      <c r="U972" s="20"/>
      <c r="V972" s="20"/>
      <c r="W972" s="20"/>
      <c r="X972" s="20"/>
      <c r="Y972" s="20"/>
      <c r="Z972" s="20"/>
      <c r="AA972" s="20"/>
      <c r="AB972" s="20"/>
      <c r="AC972" s="20"/>
    </row>
    <row r="973">
      <c r="A973" s="20"/>
      <c r="B973" s="20"/>
      <c r="C973" s="20"/>
      <c r="D973" s="20"/>
      <c r="E973" s="20"/>
      <c r="F973" s="20"/>
      <c r="G973" s="20"/>
      <c r="H973" s="121"/>
      <c r="I973" s="121"/>
      <c r="J973" s="121"/>
      <c r="K973" s="121"/>
      <c r="L973" s="121"/>
      <c r="M973" s="122"/>
      <c r="N973" s="122"/>
      <c r="O973" s="122"/>
      <c r="P973" s="123"/>
      <c r="Q973" s="123"/>
      <c r="R973" s="123"/>
      <c r="S973" s="20"/>
      <c r="T973" s="20"/>
      <c r="U973" s="20"/>
      <c r="V973" s="20"/>
      <c r="W973" s="20"/>
      <c r="X973" s="20"/>
      <c r="Y973" s="20"/>
      <c r="Z973" s="20"/>
      <c r="AA973" s="20"/>
      <c r="AB973" s="20"/>
      <c r="AC973" s="20"/>
    </row>
    <row r="974">
      <c r="A974" s="20"/>
      <c r="B974" s="20"/>
      <c r="C974" s="20"/>
      <c r="D974" s="20"/>
      <c r="E974" s="20"/>
      <c r="F974" s="20"/>
      <c r="G974" s="20"/>
      <c r="H974" s="121"/>
      <c r="I974" s="121"/>
      <c r="J974" s="121"/>
      <c r="K974" s="121"/>
      <c r="L974" s="121"/>
      <c r="M974" s="122"/>
      <c r="N974" s="122"/>
      <c r="O974" s="122"/>
      <c r="P974" s="123"/>
      <c r="Q974" s="123"/>
      <c r="R974" s="123"/>
      <c r="S974" s="20"/>
      <c r="T974" s="20"/>
      <c r="U974" s="20"/>
      <c r="V974" s="20"/>
      <c r="W974" s="20"/>
      <c r="X974" s="20"/>
      <c r="Y974" s="20"/>
      <c r="Z974" s="20"/>
      <c r="AA974" s="20"/>
      <c r="AB974" s="20"/>
      <c r="AC974" s="20"/>
    </row>
    <row r="975">
      <c r="A975" s="20"/>
      <c r="B975" s="20"/>
      <c r="C975" s="20"/>
      <c r="D975" s="20"/>
      <c r="E975" s="20"/>
      <c r="F975" s="20"/>
      <c r="G975" s="20"/>
      <c r="H975" s="121"/>
      <c r="I975" s="121"/>
      <c r="J975" s="121"/>
      <c r="K975" s="121"/>
      <c r="L975" s="121"/>
      <c r="M975" s="122"/>
      <c r="N975" s="122"/>
      <c r="O975" s="122"/>
      <c r="P975" s="123"/>
      <c r="Q975" s="123"/>
      <c r="R975" s="123"/>
      <c r="S975" s="20"/>
      <c r="T975" s="20"/>
      <c r="U975" s="20"/>
      <c r="V975" s="20"/>
      <c r="W975" s="20"/>
      <c r="X975" s="20"/>
      <c r="Y975" s="20"/>
      <c r="Z975" s="20"/>
      <c r="AA975" s="20"/>
      <c r="AB975" s="20"/>
      <c r="AC975" s="20"/>
    </row>
    <row r="976">
      <c r="A976" s="20"/>
      <c r="B976" s="20"/>
      <c r="C976" s="20"/>
      <c r="D976" s="20"/>
      <c r="E976" s="20"/>
      <c r="F976" s="20"/>
      <c r="G976" s="20"/>
      <c r="H976" s="121"/>
      <c r="I976" s="121"/>
      <c r="J976" s="121"/>
      <c r="K976" s="121"/>
      <c r="L976" s="121"/>
      <c r="M976" s="122"/>
      <c r="N976" s="122"/>
      <c r="O976" s="122"/>
      <c r="P976" s="123"/>
      <c r="Q976" s="123"/>
      <c r="R976" s="123"/>
      <c r="S976" s="20"/>
      <c r="T976" s="20"/>
      <c r="U976" s="20"/>
      <c r="V976" s="20"/>
      <c r="W976" s="20"/>
      <c r="X976" s="20"/>
      <c r="Y976" s="20"/>
      <c r="Z976" s="20"/>
      <c r="AA976" s="20"/>
      <c r="AB976" s="20"/>
      <c r="AC976" s="20"/>
    </row>
    <row r="977">
      <c r="A977" s="20"/>
      <c r="B977" s="20"/>
      <c r="C977" s="20"/>
      <c r="D977" s="20"/>
      <c r="E977" s="20"/>
      <c r="F977" s="20"/>
      <c r="G977" s="20"/>
      <c r="H977" s="121"/>
      <c r="I977" s="121"/>
      <c r="J977" s="121"/>
      <c r="K977" s="121"/>
      <c r="L977" s="121"/>
      <c r="M977" s="122"/>
      <c r="N977" s="122"/>
      <c r="O977" s="122"/>
      <c r="P977" s="123"/>
      <c r="Q977" s="123"/>
      <c r="R977" s="123"/>
      <c r="S977" s="20"/>
      <c r="T977" s="20"/>
      <c r="U977" s="20"/>
      <c r="V977" s="20"/>
      <c r="W977" s="20"/>
      <c r="X977" s="20"/>
      <c r="Y977" s="20"/>
      <c r="Z977" s="20"/>
      <c r="AA977" s="20"/>
      <c r="AB977" s="20"/>
      <c r="AC977" s="20"/>
    </row>
    <row r="978">
      <c r="A978" s="20"/>
      <c r="B978" s="20"/>
      <c r="C978" s="20"/>
      <c r="D978" s="20"/>
      <c r="E978" s="20"/>
      <c r="F978" s="20"/>
      <c r="G978" s="20"/>
      <c r="H978" s="121"/>
      <c r="I978" s="121"/>
      <c r="J978" s="121"/>
      <c r="K978" s="121"/>
      <c r="L978" s="121"/>
      <c r="M978" s="122"/>
      <c r="N978" s="122"/>
      <c r="O978" s="122"/>
      <c r="P978" s="123"/>
      <c r="Q978" s="123"/>
      <c r="R978" s="123"/>
      <c r="S978" s="20"/>
      <c r="T978" s="20"/>
      <c r="U978" s="20"/>
      <c r="V978" s="20"/>
      <c r="W978" s="20"/>
      <c r="X978" s="20"/>
      <c r="Y978" s="20"/>
      <c r="Z978" s="20"/>
      <c r="AA978" s="20"/>
      <c r="AB978" s="20"/>
      <c r="AC978" s="20"/>
    </row>
    <row r="979">
      <c r="A979" s="20"/>
      <c r="B979" s="20"/>
      <c r="C979" s="20"/>
      <c r="D979" s="20"/>
      <c r="E979" s="20"/>
      <c r="F979" s="20"/>
      <c r="G979" s="20"/>
      <c r="H979" s="121"/>
      <c r="I979" s="121"/>
      <c r="J979" s="121"/>
      <c r="K979" s="121"/>
      <c r="L979" s="121"/>
      <c r="M979" s="122"/>
      <c r="N979" s="122"/>
      <c r="O979" s="122"/>
      <c r="P979" s="123"/>
      <c r="Q979" s="123"/>
      <c r="R979" s="123"/>
      <c r="S979" s="20"/>
      <c r="T979" s="20"/>
      <c r="U979" s="20"/>
      <c r="V979" s="20"/>
      <c r="W979" s="20"/>
      <c r="X979" s="20"/>
      <c r="Y979" s="20"/>
      <c r="Z979" s="20"/>
      <c r="AA979" s="20"/>
      <c r="AB979" s="20"/>
      <c r="AC979" s="20"/>
    </row>
    <row r="980">
      <c r="A980" s="20"/>
      <c r="B980" s="20"/>
      <c r="C980" s="20"/>
      <c r="D980" s="20"/>
      <c r="E980" s="20"/>
      <c r="F980" s="20"/>
      <c r="G980" s="20"/>
      <c r="H980" s="121"/>
      <c r="I980" s="121"/>
      <c r="J980" s="121"/>
      <c r="K980" s="121"/>
      <c r="L980" s="121"/>
      <c r="M980" s="122"/>
      <c r="N980" s="122"/>
      <c r="O980" s="122"/>
      <c r="P980" s="123"/>
      <c r="Q980" s="123"/>
      <c r="R980" s="123"/>
      <c r="S980" s="20"/>
      <c r="T980" s="20"/>
      <c r="U980" s="20"/>
      <c r="V980" s="20"/>
      <c r="W980" s="20"/>
      <c r="X980" s="20"/>
      <c r="Y980" s="20"/>
      <c r="Z980" s="20"/>
      <c r="AA980" s="20"/>
      <c r="AB980" s="20"/>
      <c r="AC980" s="20"/>
    </row>
    <row r="981">
      <c r="A981" s="20"/>
      <c r="B981" s="20"/>
      <c r="C981" s="20"/>
      <c r="D981" s="20"/>
      <c r="E981" s="20"/>
      <c r="F981" s="20"/>
      <c r="G981" s="20"/>
      <c r="H981" s="121"/>
      <c r="I981" s="121"/>
      <c r="J981" s="121"/>
      <c r="K981" s="121"/>
      <c r="L981" s="121"/>
      <c r="M981" s="122"/>
      <c r="N981" s="122"/>
      <c r="O981" s="122"/>
      <c r="P981" s="123"/>
      <c r="Q981" s="123"/>
      <c r="R981" s="123"/>
      <c r="S981" s="20"/>
      <c r="T981" s="20"/>
      <c r="U981" s="20"/>
      <c r="V981" s="20"/>
      <c r="W981" s="20"/>
      <c r="X981" s="20"/>
      <c r="Y981" s="20"/>
      <c r="Z981" s="20"/>
      <c r="AA981" s="20"/>
      <c r="AB981" s="20"/>
      <c r="AC981" s="20"/>
    </row>
    <row r="982">
      <c r="A982" s="20"/>
      <c r="B982" s="20"/>
      <c r="C982" s="20"/>
      <c r="D982" s="20"/>
      <c r="E982" s="20"/>
      <c r="F982" s="20"/>
      <c r="G982" s="20"/>
      <c r="H982" s="121"/>
      <c r="I982" s="121"/>
      <c r="J982" s="121"/>
      <c r="K982" s="121"/>
      <c r="L982" s="121"/>
      <c r="M982" s="122"/>
      <c r="N982" s="122"/>
      <c r="O982" s="122"/>
      <c r="P982" s="123"/>
      <c r="Q982" s="123"/>
      <c r="R982" s="123"/>
      <c r="S982" s="20"/>
      <c r="T982" s="20"/>
      <c r="U982" s="20"/>
      <c r="V982" s="20"/>
      <c r="W982" s="20"/>
      <c r="X982" s="20"/>
      <c r="Y982" s="20"/>
      <c r="Z982" s="20"/>
      <c r="AA982" s="20"/>
      <c r="AB982" s="20"/>
      <c r="AC982" s="20"/>
    </row>
    <row r="983">
      <c r="A983" s="20"/>
      <c r="B983" s="20"/>
      <c r="C983" s="20"/>
      <c r="D983" s="20"/>
      <c r="E983" s="20"/>
      <c r="F983" s="20"/>
      <c r="G983" s="20"/>
      <c r="H983" s="121"/>
      <c r="I983" s="121"/>
      <c r="J983" s="121"/>
      <c r="K983" s="121"/>
      <c r="L983" s="121"/>
      <c r="M983" s="122"/>
      <c r="N983" s="122"/>
      <c r="O983" s="122"/>
      <c r="P983" s="123"/>
      <c r="Q983" s="123"/>
      <c r="R983" s="123"/>
      <c r="S983" s="20"/>
      <c r="T983" s="20"/>
      <c r="U983" s="20"/>
      <c r="V983" s="20"/>
      <c r="W983" s="20"/>
      <c r="X983" s="20"/>
      <c r="Y983" s="20"/>
      <c r="Z983" s="20"/>
      <c r="AA983" s="20"/>
      <c r="AB983" s="20"/>
      <c r="AC983" s="20"/>
    </row>
    <row r="984">
      <c r="A984" s="20"/>
      <c r="B984" s="20"/>
      <c r="C984" s="20"/>
      <c r="D984" s="20"/>
      <c r="E984" s="20"/>
      <c r="F984" s="20"/>
      <c r="G984" s="20"/>
      <c r="H984" s="121"/>
      <c r="I984" s="121"/>
      <c r="J984" s="121"/>
      <c r="K984" s="121"/>
      <c r="L984" s="121"/>
      <c r="M984" s="122"/>
      <c r="N984" s="122"/>
      <c r="O984" s="122"/>
      <c r="P984" s="123"/>
      <c r="Q984" s="123"/>
      <c r="R984" s="123"/>
      <c r="S984" s="20"/>
      <c r="T984" s="20"/>
      <c r="U984" s="20"/>
      <c r="V984" s="20"/>
      <c r="W984" s="20"/>
      <c r="X984" s="20"/>
      <c r="Y984" s="20"/>
      <c r="Z984" s="20"/>
      <c r="AA984" s="20"/>
      <c r="AB984" s="20"/>
      <c r="AC984" s="20"/>
    </row>
    <row r="985">
      <c r="A985" s="20"/>
      <c r="B985" s="20"/>
      <c r="C985" s="20"/>
      <c r="D985" s="20"/>
      <c r="E985" s="20"/>
      <c r="F985" s="20"/>
      <c r="G985" s="20"/>
      <c r="H985" s="121"/>
      <c r="I985" s="121"/>
      <c r="J985" s="121"/>
      <c r="K985" s="121"/>
      <c r="L985" s="121"/>
      <c r="M985" s="122"/>
      <c r="N985" s="122"/>
      <c r="O985" s="122"/>
      <c r="P985" s="123"/>
      <c r="Q985" s="123"/>
      <c r="R985" s="123"/>
      <c r="S985" s="20"/>
      <c r="T985" s="20"/>
      <c r="U985" s="20"/>
      <c r="V985" s="20"/>
      <c r="W985" s="20"/>
      <c r="X985" s="20"/>
      <c r="Y985" s="20"/>
      <c r="Z985" s="20"/>
      <c r="AA985" s="20"/>
      <c r="AB985" s="20"/>
      <c r="AC985" s="20"/>
    </row>
  </sheetData>
  <mergeCells count="10">
    <mergeCell ref="H1:K1"/>
    <mergeCell ref="M1:N1"/>
    <mergeCell ref="P1:Q1"/>
    <mergeCell ref="A1:A2"/>
    <mergeCell ref="B1:B2"/>
    <mergeCell ref="C1:C2"/>
    <mergeCell ref="D1:D2"/>
    <mergeCell ref="E1:E2"/>
    <mergeCell ref="F1:F2"/>
    <mergeCell ref="G1:G2"/>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4" max="4" width="8.38"/>
    <col customWidth="1" min="6" max="6" width="41.88"/>
    <col customWidth="1" min="7" max="7" width="28.75"/>
  </cols>
  <sheetData>
    <row r="1">
      <c r="A1" s="8" t="s">
        <v>46</v>
      </c>
      <c r="B1" s="4" t="s">
        <v>16</v>
      </c>
      <c r="C1" s="4" t="s">
        <v>25</v>
      </c>
      <c r="D1" s="4" t="s">
        <v>27</v>
      </c>
      <c r="E1" s="4" t="s">
        <v>29</v>
      </c>
      <c r="F1" s="4" t="s">
        <v>31</v>
      </c>
      <c r="G1" s="4" t="s">
        <v>34</v>
      </c>
      <c r="H1" s="4" t="s">
        <v>38</v>
      </c>
      <c r="I1" s="6" t="s">
        <v>40</v>
      </c>
      <c r="N1" s="6" t="s">
        <v>45</v>
      </c>
      <c r="Q1" s="6" t="s">
        <v>47</v>
      </c>
      <c r="S1" s="7" t="s">
        <v>48</v>
      </c>
    </row>
    <row r="2">
      <c r="I2" s="4" t="s">
        <v>4</v>
      </c>
      <c r="J2" s="4" t="s">
        <v>6</v>
      </c>
      <c r="K2" s="4" t="s">
        <v>8</v>
      </c>
      <c r="L2" s="4" t="s">
        <v>10</v>
      </c>
      <c r="M2" s="9" t="s">
        <v>2</v>
      </c>
      <c r="N2" s="4" t="s">
        <v>15</v>
      </c>
      <c r="O2" s="4" t="s">
        <v>18</v>
      </c>
      <c r="P2" s="9" t="s">
        <v>13</v>
      </c>
      <c r="Q2" s="4" t="s">
        <v>23</v>
      </c>
      <c r="R2" s="9" t="s">
        <v>21</v>
      </c>
    </row>
    <row r="3">
      <c r="A3" s="11" t="s">
        <v>55</v>
      </c>
      <c r="B3" s="11" t="s">
        <v>49</v>
      </c>
      <c r="C3" s="11" t="s">
        <v>50</v>
      </c>
      <c r="D3" s="12" t="s">
        <v>51</v>
      </c>
      <c r="E3" s="12" t="s">
        <v>52</v>
      </c>
      <c r="F3" s="12" t="s">
        <v>53</v>
      </c>
      <c r="G3" s="12" t="s">
        <v>54</v>
      </c>
      <c r="H3" s="12">
        <v>2017.0</v>
      </c>
      <c r="I3" s="17">
        <v>1.0</v>
      </c>
      <c r="J3" s="17">
        <v>0.0</v>
      </c>
      <c r="K3" s="17">
        <v>1.0</v>
      </c>
      <c r="L3" s="17">
        <v>0.0</v>
      </c>
      <c r="M3" s="21">
        <f t="shared" ref="M3:M68" si="1">SUM(I3:L3)</f>
        <v>2</v>
      </c>
      <c r="N3" s="17">
        <v>1.0</v>
      </c>
      <c r="O3" s="17">
        <v>0.0</v>
      </c>
      <c r="P3" s="21">
        <f t="shared" ref="P3:P68" si="2">SUM(N3:O3)</f>
        <v>1</v>
      </c>
      <c r="Q3" s="17">
        <v>1.0</v>
      </c>
      <c r="R3" s="21">
        <f t="shared" ref="R3:R68" si="3">SUM(Q3)</f>
        <v>1</v>
      </c>
      <c r="S3" s="26">
        <f t="shared" ref="S3:S68" si="4">SUM(0.25*M3,0.5*P3,R3)</f>
        <v>2</v>
      </c>
    </row>
    <row r="4">
      <c r="A4" s="27" t="s">
        <v>83</v>
      </c>
      <c r="B4" s="27" t="s">
        <v>75</v>
      </c>
      <c r="C4" s="27" t="s">
        <v>76</v>
      </c>
      <c r="D4" s="25" t="s">
        <v>77</v>
      </c>
      <c r="E4" s="25" t="s">
        <v>78</v>
      </c>
      <c r="F4" s="25" t="s">
        <v>79</v>
      </c>
      <c r="G4" s="25" t="s">
        <v>80</v>
      </c>
      <c r="H4" s="25">
        <v>2022.0</v>
      </c>
      <c r="I4" s="17">
        <v>1.0</v>
      </c>
      <c r="J4" s="17">
        <v>1.0</v>
      </c>
      <c r="K4" s="17">
        <v>0.5</v>
      </c>
      <c r="L4" s="17">
        <v>0.0</v>
      </c>
      <c r="M4" s="21">
        <f t="shared" si="1"/>
        <v>2.5</v>
      </c>
      <c r="N4" s="17">
        <v>1.0</v>
      </c>
      <c r="O4" s="17">
        <v>0.5</v>
      </c>
      <c r="P4" s="21">
        <f t="shared" si="2"/>
        <v>1.5</v>
      </c>
      <c r="Q4" s="17">
        <v>0.5</v>
      </c>
      <c r="R4" s="21">
        <f t="shared" si="3"/>
        <v>0.5</v>
      </c>
      <c r="S4" s="26">
        <f t="shared" si="4"/>
        <v>1.875</v>
      </c>
    </row>
    <row r="5">
      <c r="A5" s="11" t="s">
        <v>105</v>
      </c>
      <c r="B5" s="11" t="s">
        <v>93</v>
      </c>
      <c r="C5" s="11" t="s">
        <v>94</v>
      </c>
      <c r="D5" s="34" t="s">
        <v>77</v>
      </c>
      <c r="E5" s="34" t="s">
        <v>96</v>
      </c>
      <c r="F5" s="34" t="s">
        <v>97</v>
      </c>
      <c r="G5" s="34" t="s">
        <v>98</v>
      </c>
      <c r="H5" s="34">
        <v>2018.0</v>
      </c>
      <c r="I5" s="17">
        <v>1.0</v>
      </c>
      <c r="J5" s="17">
        <v>1.0</v>
      </c>
      <c r="K5" s="17">
        <v>1.0</v>
      </c>
      <c r="L5" s="17">
        <v>1.0</v>
      </c>
      <c r="M5" s="21">
        <f t="shared" si="1"/>
        <v>4</v>
      </c>
      <c r="N5" s="17">
        <v>1.0</v>
      </c>
      <c r="O5" s="17">
        <v>1.0</v>
      </c>
      <c r="P5" s="21">
        <f t="shared" si="2"/>
        <v>2</v>
      </c>
      <c r="Q5" s="17">
        <v>1.0</v>
      </c>
      <c r="R5" s="21">
        <f t="shared" si="3"/>
        <v>1</v>
      </c>
      <c r="S5" s="26">
        <f t="shared" si="4"/>
        <v>3</v>
      </c>
      <c r="T5" s="42"/>
      <c r="U5" s="42"/>
      <c r="V5" s="42"/>
      <c r="W5" s="42"/>
      <c r="X5" s="42"/>
      <c r="Y5" s="42"/>
      <c r="Z5" s="42"/>
      <c r="AA5" s="42"/>
      <c r="AB5" s="42"/>
      <c r="AC5" s="42"/>
      <c r="AD5" s="42"/>
    </row>
    <row r="6">
      <c r="A6" s="27" t="s">
        <v>146</v>
      </c>
      <c r="B6" s="27" t="s">
        <v>117</v>
      </c>
      <c r="C6" s="27" t="s">
        <v>124</v>
      </c>
      <c r="D6" s="48" t="s">
        <v>51</v>
      </c>
      <c r="E6" s="48" t="s">
        <v>125</v>
      </c>
      <c r="F6" s="48" t="s">
        <v>126</v>
      </c>
      <c r="G6" s="48" t="s">
        <v>127</v>
      </c>
      <c r="H6" s="48">
        <v>2012.0</v>
      </c>
      <c r="I6" s="17">
        <v>1.0</v>
      </c>
      <c r="J6" s="17">
        <v>1.0</v>
      </c>
      <c r="K6" s="17">
        <v>1.0</v>
      </c>
      <c r="L6" s="17">
        <v>1.0</v>
      </c>
      <c r="M6" s="21">
        <f t="shared" si="1"/>
        <v>4</v>
      </c>
      <c r="N6" s="17">
        <v>0.0</v>
      </c>
      <c r="O6" s="17">
        <v>0.0</v>
      </c>
      <c r="P6" s="21">
        <f t="shared" si="2"/>
        <v>0</v>
      </c>
      <c r="Q6" s="17">
        <v>1.0</v>
      </c>
      <c r="R6" s="21">
        <f t="shared" si="3"/>
        <v>1</v>
      </c>
      <c r="S6" s="26">
        <f t="shared" si="4"/>
        <v>2</v>
      </c>
      <c r="T6" s="42"/>
      <c r="U6" s="42"/>
      <c r="V6" s="42"/>
      <c r="W6" s="42"/>
      <c r="X6" s="42"/>
      <c r="Y6" s="42"/>
    </row>
    <row r="7">
      <c r="A7" s="11" t="s">
        <v>157</v>
      </c>
      <c r="B7" s="4" t="s">
        <v>158</v>
      </c>
      <c r="C7" s="4" t="s">
        <v>159</v>
      </c>
      <c r="D7" s="4" t="s">
        <v>51</v>
      </c>
      <c r="E7" s="58" t="s">
        <v>162</v>
      </c>
      <c r="F7" s="58" t="s">
        <v>164</v>
      </c>
      <c r="G7" s="4" t="s">
        <v>165</v>
      </c>
      <c r="H7" s="4">
        <v>2016.0</v>
      </c>
      <c r="I7" s="17">
        <v>1.0</v>
      </c>
      <c r="J7" s="17">
        <v>1.0</v>
      </c>
      <c r="K7" s="17">
        <v>1.0</v>
      </c>
      <c r="L7" s="17">
        <v>1.0</v>
      </c>
      <c r="M7" s="21">
        <f t="shared" si="1"/>
        <v>4</v>
      </c>
      <c r="N7" s="17">
        <v>0.0</v>
      </c>
      <c r="O7" s="17">
        <v>0.0</v>
      </c>
      <c r="P7" s="21">
        <f t="shared" si="2"/>
        <v>0</v>
      </c>
      <c r="Q7" s="17">
        <v>1.0</v>
      </c>
      <c r="R7" s="21">
        <f t="shared" si="3"/>
        <v>1</v>
      </c>
      <c r="S7" s="26">
        <f t="shared" si="4"/>
        <v>2</v>
      </c>
    </row>
    <row r="8">
      <c r="A8" s="27" t="s">
        <v>170</v>
      </c>
      <c r="B8" s="27" t="s">
        <v>171</v>
      </c>
      <c r="C8" s="27" t="s">
        <v>172</v>
      </c>
      <c r="D8" s="27" t="s">
        <v>51</v>
      </c>
      <c r="E8" s="60" t="s">
        <v>138</v>
      </c>
      <c r="F8" s="60" t="s">
        <v>174</v>
      </c>
      <c r="G8" s="27" t="s">
        <v>175</v>
      </c>
      <c r="H8" s="27">
        <v>2013.0</v>
      </c>
      <c r="I8" s="17">
        <v>1.0</v>
      </c>
      <c r="J8" s="17">
        <v>1.0</v>
      </c>
      <c r="K8" s="17">
        <v>1.0</v>
      </c>
      <c r="L8" s="17">
        <v>1.0</v>
      </c>
      <c r="M8" s="21">
        <f t="shared" si="1"/>
        <v>4</v>
      </c>
      <c r="N8" s="17">
        <v>0.0</v>
      </c>
      <c r="O8" s="17">
        <v>0.0</v>
      </c>
      <c r="P8" s="21">
        <f t="shared" si="2"/>
        <v>0</v>
      </c>
      <c r="Q8" s="17">
        <v>1.0</v>
      </c>
      <c r="R8" s="21">
        <f t="shared" si="3"/>
        <v>1</v>
      </c>
      <c r="S8" s="26">
        <f t="shared" si="4"/>
        <v>2</v>
      </c>
    </row>
    <row r="9">
      <c r="A9" s="11" t="s">
        <v>177</v>
      </c>
      <c r="B9" s="4" t="s">
        <v>178</v>
      </c>
      <c r="C9" s="4" t="s">
        <v>179</v>
      </c>
      <c r="D9" s="4" t="s">
        <v>77</v>
      </c>
      <c r="E9" s="4" t="s">
        <v>180</v>
      </c>
      <c r="F9" s="4" t="s">
        <v>181</v>
      </c>
      <c r="G9" s="4" t="s">
        <v>182</v>
      </c>
      <c r="H9" s="4">
        <v>2016.0</v>
      </c>
      <c r="I9" s="17">
        <v>1.0</v>
      </c>
      <c r="J9" s="17">
        <v>1.0</v>
      </c>
      <c r="K9" s="17">
        <v>1.0</v>
      </c>
      <c r="L9" s="17">
        <v>1.0</v>
      </c>
      <c r="M9" s="21">
        <f t="shared" si="1"/>
        <v>4</v>
      </c>
      <c r="N9" s="17">
        <v>1.0</v>
      </c>
      <c r="O9" s="17">
        <v>1.0</v>
      </c>
      <c r="P9" s="21">
        <f t="shared" si="2"/>
        <v>2</v>
      </c>
      <c r="Q9" s="17">
        <v>1.0</v>
      </c>
      <c r="R9" s="21">
        <f t="shared" si="3"/>
        <v>1</v>
      </c>
      <c r="S9" s="26">
        <f t="shared" si="4"/>
        <v>3</v>
      </c>
    </row>
    <row r="10">
      <c r="A10" s="27" t="s">
        <v>184</v>
      </c>
      <c r="B10" s="27" t="s">
        <v>185</v>
      </c>
      <c r="C10" s="27" t="s">
        <v>186</v>
      </c>
      <c r="D10" s="27" t="s">
        <v>77</v>
      </c>
      <c r="E10" s="27" t="s">
        <v>188</v>
      </c>
      <c r="F10" s="27" t="s">
        <v>190</v>
      </c>
      <c r="G10" s="27" t="s">
        <v>191</v>
      </c>
      <c r="H10" s="27">
        <v>2018.0</v>
      </c>
      <c r="I10" s="17">
        <v>1.0</v>
      </c>
      <c r="J10" s="17">
        <v>1.0</v>
      </c>
      <c r="K10" s="17">
        <v>1.0</v>
      </c>
      <c r="L10" s="17">
        <v>0.0</v>
      </c>
      <c r="M10" s="21">
        <f t="shared" si="1"/>
        <v>3</v>
      </c>
      <c r="N10" s="17">
        <v>1.0</v>
      </c>
      <c r="O10" s="17">
        <v>0.0</v>
      </c>
      <c r="P10" s="21">
        <f t="shared" si="2"/>
        <v>1</v>
      </c>
      <c r="Q10" s="17">
        <v>1.0</v>
      </c>
      <c r="R10" s="21">
        <f t="shared" si="3"/>
        <v>1</v>
      </c>
      <c r="S10" s="26">
        <f t="shared" si="4"/>
        <v>2.25</v>
      </c>
    </row>
    <row r="11">
      <c r="A11" s="11" t="s">
        <v>194</v>
      </c>
      <c r="B11" s="4" t="s">
        <v>195</v>
      </c>
      <c r="C11" s="4" t="s">
        <v>196</v>
      </c>
      <c r="D11" s="65" t="s">
        <v>51</v>
      </c>
      <c r="E11" s="65" t="s">
        <v>199</v>
      </c>
      <c r="F11" s="65" t="s">
        <v>201</v>
      </c>
      <c r="G11" s="65" t="s">
        <v>54</v>
      </c>
      <c r="H11" s="65">
        <v>2016.0</v>
      </c>
      <c r="I11" s="17">
        <v>1.0</v>
      </c>
      <c r="J11" s="17">
        <v>1.0</v>
      </c>
      <c r="K11" s="17">
        <v>1.0</v>
      </c>
      <c r="L11" s="17">
        <v>0.0</v>
      </c>
      <c r="M11" s="21">
        <f t="shared" si="1"/>
        <v>3</v>
      </c>
      <c r="N11" s="17">
        <v>0.5</v>
      </c>
      <c r="O11" s="17">
        <v>0.0</v>
      </c>
      <c r="P11" s="21">
        <f t="shared" si="2"/>
        <v>0.5</v>
      </c>
      <c r="Q11" s="17">
        <v>1.0</v>
      </c>
      <c r="R11" s="21">
        <f t="shared" si="3"/>
        <v>1</v>
      </c>
      <c r="S11" s="26">
        <f t="shared" si="4"/>
        <v>2</v>
      </c>
    </row>
    <row r="12">
      <c r="A12" s="27" t="s">
        <v>207</v>
      </c>
      <c r="B12" s="27" t="s">
        <v>208</v>
      </c>
      <c r="C12" s="27" t="s">
        <v>209</v>
      </c>
      <c r="D12" s="27" t="s">
        <v>77</v>
      </c>
      <c r="E12" s="60" t="s">
        <v>210</v>
      </c>
      <c r="F12" s="60" t="s">
        <v>211</v>
      </c>
      <c r="G12" s="27" t="s">
        <v>213</v>
      </c>
      <c r="H12" s="27">
        <v>2023.0</v>
      </c>
      <c r="I12" s="17">
        <v>1.0</v>
      </c>
      <c r="J12" s="17">
        <v>1.0</v>
      </c>
      <c r="K12" s="17">
        <v>1.0</v>
      </c>
      <c r="L12" s="17">
        <v>0.0</v>
      </c>
      <c r="M12" s="21">
        <f t="shared" si="1"/>
        <v>3</v>
      </c>
      <c r="N12" s="17">
        <v>0.0</v>
      </c>
      <c r="O12" s="17">
        <v>0.0</v>
      </c>
      <c r="P12" s="21">
        <f t="shared" si="2"/>
        <v>0</v>
      </c>
      <c r="Q12" s="17">
        <v>1.0</v>
      </c>
      <c r="R12" s="21">
        <f t="shared" si="3"/>
        <v>1</v>
      </c>
      <c r="S12" s="26">
        <f t="shared" si="4"/>
        <v>1.75</v>
      </c>
    </row>
    <row r="13">
      <c r="A13" s="11" t="s">
        <v>218</v>
      </c>
      <c r="B13" s="4" t="s">
        <v>219</v>
      </c>
      <c r="C13" s="4" t="s">
        <v>220</v>
      </c>
      <c r="D13" s="4" t="s">
        <v>77</v>
      </c>
      <c r="E13" s="58" t="s">
        <v>221</v>
      </c>
      <c r="F13" s="58" t="s">
        <v>222</v>
      </c>
      <c r="G13" s="4" t="s">
        <v>223</v>
      </c>
      <c r="H13" s="4">
        <v>2017.0</v>
      </c>
      <c r="I13" s="17">
        <v>1.0</v>
      </c>
      <c r="J13" s="17">
        <v>0.5</v>
      </c>
      <c r="K13" s="17">
        <v>0.5</v>
      </c>
      <c r="L13" s="17">
        <v>0.0</v>
      </c>
      <c r="M13" s="21">
        <f t="shared" si="1"/>
        <v>2</v>
      </c>
      <c r="N13" s="17">
        <v>0.0</v>
      </c>
      <c r="O13" s="17">
        <v>0.0</v>
      </c>
      <c r="P13" s="21">
        <f t="shared" si="2"/>
        <v>0</v>
      </c>
      <c r="Q13" s="17">
        <v>1.0</v>
      </c>
      <c r="R13" s="21">
        <f t="shared" si="3"/>
        <v>1</v>
      </c>
      <c r="S13" s="26">
        <f t="shared" si="4"/>
        <v>1.5</v>
      </c>
    </row>
    <row r="14">
      <c r="A14" s="27" t="s">
        <v>226</v>
      </c>
      <c r="B14" s="27" t="s">
        <v>227</v>
      </c>
      <c r="C14" s="27" t="s">
        <v>228</v>
      </c>
      <c r="D14" s="25" t="s">
        <v>77</v>
      </c>
      <c r="E14" s="25" t="s">
        <v>229</v>
      </c>
      <c r="F14" s="25" t="s">
        <v>231</v>
      </c>
      <c r="G14" s="25" t="s">
        <v>232</v>
      </c>
      <c r="H14" s="25">
        <v>2013.0</v>
      </c>
      <c r="I14" s="17">
        <v>1.0</v>
      </c>
      <c r="J14" s="17">
        <v>1.0</v>
      </c>
      <c r="K14" s="17">
        <v>1.0</v>
      </c>
      <c r="L14" s="17">
        <v>0.0</v>
      </c>
      <c r="M14" s="21">
        <f t="shared" si="1"/>
        <v>3</v>
      </c>
      <c r="N14" s="17">
        <v>0.5</v>
      </c>
      <c r="O14" s="17">
        <v>0.5</v>
      </c>
      <c r="P14" s="21">
        <f t="shared" si="2"/>
        <v>1</v>
      </c>
      <c r="Q14" s="17">
        <v>1.0</v>
      </c>
      <c r="R14" s="21">
        <f t="shared" si="3"/>
        <v>1</v>
      </c>
      <c r="S14" s="26">
        <f t="shared" si="4"/>
        <v>2.25</v>
      </c>
    </row>
    <row r="15">
      <c r="A15" s="11" t="s">
        <v>239</v>
      </c>
      <c r="B15" s="4" t="s">
        <v>240</v>
      </c>
      <c r="C15" s="4" t="s">
        <v>241</v>
      </c>
      <c r="D15" s="65" t="s">
        <v>77</v>
      </c>
      <c r="E15" s="65" t="s">
        <v>242</v>
      </c>
      <c r="F15" s="65" t="s">
        <v>243</v>
      </c>
      <c r="G15" s="65" t="s">
        <v>132</v>
      </c>
      <c r="H15" s="65">
        <v>2014.0</v>
      </c>
      <c r="I15" s="17">
        <v>1.0</v>
      </c>
      <c r="J15" s="17">
        <v>0.5</v>
      </c>
      <c r="K15" s="17">
        <v>1.0</v>
      </c>
      <c r="L15" s="17">
        <v>1.0</v>
      </c>
      <c r="M15" s="21">
        <f t="shared" si="1"/>
        <v>3.5</v>
      </c>
      <c r="N15" s="17">
        <v>1.0</v>
      </c>
      <c r="O15" s="17">
        <v>0.0</v>
      </c>
      <c r="P15" s="21">
        <f t="shared" si="2"/>
        <v>1</v>
      </c>
      <c r="Q15" s="17">
        <v>1.0</v>
      </c>
      <c r="R15" s="21">
        <f t="shared" si="3"/>
        <v>1</v>
      </c>
      <c r="S15" s="26">
        <f t="shared" si="4"/>
        <v>2.375</v>
      </c>
    </row>
    <row r="16">
      <c r="A16" s="27" t="s">
        <v>250</v>
      </c>
      <c r="B16" s="27" t="s">
        <v>251</v>
      </c>
      <c r="C16" s="27" t="s">
        <v>252</v>
      </c>
      <c r="D16" s="25" t="s">
        <v>77</v>
      </c>
      <c r="E16" s="25" t="s">
        <v>253</v>
      </c>
      <c r="F16" s="25" t="s">
        <v>254</v>
      </c>
      <c r="G16" s="25" t="s">
        <v>80</v>
      </c>
      <c r="H16" s="25">
        <v>2008.0</v>
      </c>
      <c r="I16" s="17">
        <v>1.0</v>
      </c>
      <c r="J16" s="17">
        <v>0.0</v>
      </c>
      <c r="K16" s="17">
        <v>1.0</v>
      </c>
      <c r="L16" s="17">
        <v>0.0</v>
      </c>
      <c r="M16" s="21">
        <f t="shared" si="1"/>
        <v>2</v>
      </c>
      <c r="N16" s="17">
        <v>1.0</v>
      </c>
      <c r="O16" s="17">
        <v>0.0</v>
      </c>
      <c r="P16" s="21">
        <f t="shared" si="2"/>
        <v>1</v>
      </c>
      <c r="Q16" s="17">
        <v>1.0</v>
      </c>
      <c r="R16" s="21">
        <f t="shared" si="3"/>
        <v>1</v>
      </c>
      <c r="S16" s="26">
        <f t="shared" si="4"/>
        <v>2</v>
      </c>
    </row>
    <row r="17">
      <c r="A17" s="11" t="s">
        <v>257</v>
      </c>
      <c r="B17" s="4" t="s">
        <v>258</v>
      </c>
      <c r="C17" s="4" t="s">
        <v>259</v>
      </c>
      <c r="D17" s="65" t="s">
        <v>77</v>
      </c>
      <c r="E17" s="65" t="s">
        <v>260</v>
      </c>
      <c r="F17" s="65" t="s">
        <v>261</v>
      </c>
      <c r="G17" s="65" t="s">
        <v>262</v>
      </c>
      <c r="H17" s="65">
        <v>2005.0</v>
      </c>
      <c r="I17" s="17">
        <v>0.5</v>
      </c>
      <c r="J17" s="17">
        <v>1.0</v>
      </c>
      <c r="K17" s="17">
        <v>0.5</v>
      </c>
      <c r="L17" s="17">
        <v>0.0</v>
      </c>
      <c r="M17" s="21">
        <f t="shared" si="1"/>
        <v>2</v>
      </c>
      <c r="N17" s="17">
        <v>0.0</v>
      </c>
      <c r="O17" s="17">
        <v>0.0</v>
      </c>
      <c r="P17" s="21">
        <f t="shared" si="2"/>
        <v>0</v>
      </c>
      <c r="Q17" s="17">
        <v>1.0</v>
      </c>
      <c r="R17" s="21">
        <f t="shared" si="3"/>
        <v>1</v>
      </c>
      <c r="S17" s="26">
        <f t="shared" si="4"/>
        <v>1.5</v>
      </c>
    </row>
    <row r="18">
      <c r="A18" s="27" t="s">
        <v>268</v>
      </c>
      <c r="B18" s="27" t="s">
        <v>269</v>
      </c>
      <c r="C18" s="27" t="s">
        <v>270</v>
      </c>
      <c r="D18" s="25" t="s">
        <v>51</v>
      </c>
      <c r="E18" s="25" t="s">
        <v>272</v>
      </c>
      <c r="F18" s="25" t="s">
        <v>273</v>
      </c>
      <c r="G18" s="25" t="s">
        <v>275</v>
      </c>
      <c r="H18" s="25">
        <v>2007.0</v>
      </c>
      <c r="I18" s="17">
        <v>1.0</v>
      </c>
      <c r="J18" s="17">
        <v>1.0</v>
      </c>
      <c r="K18" s="17">
        <v>1.0</v>
      </c>
      <c r="L18" s="17">
        <v>0.0</v>
      </c>
      <c r="M18" s="21">
        <f t="shared" si="1"/>
        <v>3</v>
      </c>
      <c r="N18" s="17">
        <v>0.0</v>
      </c>
      <c r="O18" s="17">
        <v>0.0</v>
      </c>
      <c r="P18" s="21">
        <f t="shared" si="2"/>
        <v>0</v>
      </c>
      <c r="Q18" s="17">
        <v>1.0</v>
      </c>
      <c r="R18" s="21">
        <f t="shared" si="3"/>
        <v>1</v>
      </c>
      <c r="S18" s="26">
        <f t="shared" si="4"/>
        <v>1.75</v>
      </c>
    </row>
    <row r="19">
      <c r="A19" s="11" t="s">
        <v>280</v>
      </c>
      <c r="B19" s="4" t="s">
        <v>281</v>
      </c>
      <c r="C19" s="4" t="s">
        <v>282</v>
      </c>
      <c r="D19" s="65" t="s">
        <v>77</v>
      </c>
      <c r="E19" s="65" t="s">
        <v>283</v>
      </c>
      <c r="F19" s="65" t="s">
        <v>284</v>
      </c>
      <c r="G19" s="65" t="s">
        <v>132</v>
      </c>
      <c r="H19" s="65">
        <v>2005.0</v>
      </c>
      <c r="I19" s="17">
        <v>1.0</v>
      </c>
      <c r="J19" s="17">
        <v>0.5</v>
      </c>
      <c r="K19" s="17">
        <v>1.0</v>
      </c>
      <c r="L19" s="17">
        <v>1.0</v>
      </c>
      <c r="M19" s="21">
        <f t="shared" si="1"/>
        <v>3.5</v>
      </c>
      <c r="N19" s="17">
        <v>0.5</v>
      </c>
      <c r="O19" s="17">
        <v>1.0</v>
      </c>
      <c r="P19" s="21">
        <f t="shared" si="2"/>
        <v>1.5</v>
      </c>
      <c r="Q19" s="17">
        <v>0.0</v>
      </c>
      <c r="R19" s="21">
        <f t="shared" si="3"/>
        <v>0</v>
      </c>
      <c r="S19" s="26">
        <f t="shared" si="4"/>
        <v>1.625</v>
      </c>
    </row>
    <row r="20">
      <c r="A20" s="27" t="s">
        <v>290</v>
      </c>
      <c r="B20" s="27" t="s">
        <v>291</v>
      </c>
      <c r="C20" s="27" t="s">
        <v>292</v>
      </c>
      <c r="D20" s="25" t="s">
        <v>77</v>
      </c>
      <c r="E20" s="25" t="s">
        <v>293</v>
      </c>
      <c r="F20" s="25" t="s">
        <v>294</v>
      </c>
      <c r="G20" s="25" t="s">
        <v>296</v>
      </c>
      <c r="H20" s="25">
        <v>2006.0</v>
      </c>
      <c r="I20" s="17">
        <v>1.0</v>
      </c>
      <c r="J20" s="17">
        <v>0.0</v>
      </c>
      <c r="K20" s="17">
        <v>1.0</v>
      </c>
      <c r="L20" s="17">
        <v>1.0</v>
      </c>
      <c r="M20" s="21">
        <f t="shared" si="1"/>
        <v>3</v>
      </c>
      <c r="N20" s="17">
        <v>0.0</v>
      </c>
      <c r="O20" s="17">
        <v>0.0</v>
      </c>
      <c r="P20" s="21">
        <f t="shared" si="2"/>
        <v>0</v>
      </c>
      <c r="Q20" s="17">
        <v>1.0</v>
      </c>
      <c r="R20" s="21">
        <f t="shared" si="3"/>
        <v>1</v>
      </c>
      <c r="S20" s="26">
        <f t="shared" si="4"/>
        <v>1.75</v>
      </c>
    </row>
    <row r="21">
      <c r="A21" s="11" t="s">
        <v>299</v>
      </c>
      <c r="B21" s="4" t="s">
        <v>300</v>
      </c>
      <c r="C21" s="4" t="s">
        <v>302</v>
      </c>
      <c r="D21" s="65" t="s">
        <v>77</v>
      </c>
      <c r="E21" s="65" t="s">
        <v>303</v>
      </c>
      <c r="F21" s="65" t="s">
        <v>305</v>
      </c>
      <c r="G21" s="65" t="s">
        <v>232</v>
      </c>
      <c r="H21" s="65">
        <v>2008.0</v>
      </c>
      <c r="I21" s="17">
        <v>1.0</v>
      </c>
      <c r="J21" s="17">
        <v>0.5</v>
      </c>
      <c r="K21" s="17">
        <v>1.0</v>
      </c>
      <c r="L21" s="17">
        <v>0.0</v>
      </c>
      <c r="M21" s="21">
        <f t="shared" si="1"/>
        <v>2.5</v>
      </c>
      <c r="N21" s="17">
        <v>1.0</v>
      </c>
      <c r="O21" s="17">
        <v>0.0</v>
      </c>
      <c r="P21" s="21">
        <f t="shared" si="2"/>
        <v>1</v>
      </c>
      <c r="Q21" s="17">
        <v>1.0</v>
      </c>
      <c r="R21" s="21">
        <f t="shared" si="3"/>
        <v>1</v>
      </c>
      <c r="S21" s="26">
        <f t="shared" si="4"/>
        <v>2.125</v>
      </c>
    </row>
    <row r="22">
      <c r="A22" s="27" t="s">
        <v>312</v>
      </c>
      <c r="B22" s="27" t="s">
        <v>314</v>
      </c>
      <c r="C22" s="27" t="s">
        <v>315</v>
      </c>
      <c r="D22" s="27" t="s">
        <v>77</v>
      </c>
      <c r="E22" s="27" t="s">
        <v>316</v>
      </c>
      <c r="F22" s="27" t="s">
        <v>317</v>
      </c>
      <c r="G22" s="27" t="s">
        <v>318</v>
      </c>
      <c r="H22" s="27">
        <v>2002.0</v>
      </c>
      <c r="I22" s="17">
        <v>0.0</v>
      </c>
      <c r="J22" s="17">
        <v>0.0</v>
      </c>
      <c r="K22" s="17">
        <v>0.0</v>
      </c>
      <c r="L22" s="17">
        <v>0.0</v>
      </c>
      <c r="M22" s="21">
        <f t="shared" si="1"/>
        <v>0</v>
      </c>
      <c r="N22" s="17">
        <v>1.0</v>
      </c>
      <c r="O22" s="17">
        <v>0.5</v>
      </c>
      <c r="P22" s="21">
        <f t="shared" si="2"/>
        <v>1.5</v>
      </c>
      <c r="Q22" s="17">
        <v>1.0</v>
      </c>
      <c r="R22" s="21">
        <f t="shared" si="3"/>
        <v>1</v>
      </c>
      <c r="S22" s="26">
        <f t="shared" si="4"/>
        <v>1.75</v>
      </c>
    </row>
    <row r="23">
      <c r="A23" s="11" t="s">
        <v>321</v>
      </c>
      <c r="B23" s="4" t="s">
        <v>322</v>
      </c>
      <c r="C23" s="4" t="s">
        <v>323</v>
      </c>
      <c r="D23" s="65" t="s">
        <v>51</v>
      </c>
      <c r="E23" s="65" t="s">
        <v>324</v>
      </c>
      <c r="F23" s="65" t="s">
        <v>325</v>
      </c>
      <c r="G23" s="65" t="s">
        <v>127</v>
      </c>
      <c r="H23" s="65">
        <v>2004.0</v>
      </c>
      <c r="I23" s="17">
        <v>1.0</v>
      </c>
      <c r="J23" s="17">
        <v>0.5</v>
      </c>
      <c r="K23" s="17">
        <v>1.0</v>
      </c>
      <c r="L23" s="17">
        <v>0.0</v>
      </c>
      <c r="M23" s="21">
        <f t="shared" si="1"/>
        <v>2.5</v>
      </c>
      <c r="N23" s="17">
        <v>0.5</v>
      </c>
      <c r="O23" s="17">
        <v>0.5</v>
      </c>
      <c r="P23" s="21">
        <f t="shared" si="2"/>
        <v>1</v>
      </c>
      <c r="Q23" s="17">
        <v>0.5</v>
      </c>
      <c r="R23" s="21">
        <f t="shared" si="3"/>
        <v>0.5</v>
      </c>
      <c r="S23" s="26">
        <f t="shared" si="4"/>
        <v>1.625</v>
      </c>
    </row>
    <row r="24">
      <c r="A24" s="27" t="s">
        <v>328</v>
      </c>
      <c r="B24" s="27" t="s">
        <v>329</v>
      </c>
      <c r="C24" s="27" t="s">
        <v>330</v>
      </c>
      <c r="D24" s="27" t="s">
        <v>77</v>
      </c>
      <c r="E24" s="27" t="s">
        <v>331</v>
      </c>
      <c r="F24" s="27" t="s">
        <v>332</v>
      </c>
      <c r="G24" s="27" t="s">
        <v>132</v>
      </c>
      <c r="H24" s="27">
        <v>2009.0</v>
      </c>
      <c r="I24" s="17">
        <v>1.0</v>
      </c>
      <c r="J24" s="17">
        <v>0.0</v>
      </c>
      <c r="K24" s="17">
        <v>1.0</v>
      </c>
      <c r="L24" s="17">
        <v>0.0</v>
      </c>
      <c r="M24" s="21">
        <f t="shared" si="1"/>
        <v>2</v>
      </c>
      <c r="N24" s="17">
        <v>1.0</v>
      </c>
      <c r="O24" s="17">
        <v>0.0</v>
      </c>
      <c r="P24" s="21">
        <f t="shared" si="2"/>
        <v>1</v>
      </c>
      <c r="Q24" s="17">
        <v>1.0</v>
      </c>
      <c r="R24" s="21">
        <f t="shared" si="3"/>
        <v>1</v>
      </c>
      <c r="S24" s="26">
        <f t="shared" si="4"/>
        <v>2</v>
      </c>
    </row>
    <row r="25">
      <c r="A25" s="11" t="s">
        <v>334</v>
      </c>
      <c r="B25" s="4" t="s">
        <v>336</v>
      </c>
      <c r="C25" s="4" t="s">
        <v>338</v>
      </c>
      <c r="D25" s="4" t="s">
        <v>51</v>
      </c>
      <c r="E25" s="77" t="s">
        <v>339</v>
      </c>
      <c r="F25" s="77" t="s">
        <v>341</v>
      </c>
      <c r="G25" s="4" t="s">
        <v>342</v>
      </c>
      <c r="H25" s="4">
        <v>2011.0</v>
      </c>
      <c r="I25" s="17">
        <v>1.0</v>
      </c>
      <c r="J25" s="17">
        <v>0.0</v>
      </c>
      <c r="K25" s="17">
        <v>1.0</v>
      </c>
      <c r="L25" s="17">
        <v>0.0</v>
      </c>
      <c r="M25" s="21">
        <f t="shared" si="1"/>
        <v>2</v>
      </c>
      <c r="N25" s="17">
        <v>1.0</v>
      </c>
      <c r="O25" s="17">
        <v>0.0</v>
      </c>
      <c r="P25" s="21">
        <f t="shared" si="2"/>
        <v>1</v>
      </c>
      <c r="Q25" s="17">
        <v>0.5</v>
      </c>
      <c r="R25" s="21">
        <f t="shared" si="3"/>
        <v>0.5</v>
      </c>
      <c r="S25" s="26">
        <f t="shared" si="4"/>
        <v>1.5</v>
      </c>
    </row>
    <row r="26">
      <c r="A26" s="27" t="s">
        <v>345</v>
      </c>
      <c r="B26" s="27" t="s">
        <v>346</v>
      </c>
      <c r="C26" s="27" t="s">
        <v>348</v>
      </c>
      <c r="D26" s="25" t="s">
        <v>51</v>
      </c>
      <c r="E26" s="25" t="s">
        <v>350</v>
      </c>
      <c r="F26" s="25" t="s">
        <v>351</v>
      </c>
      <c r="G26" s="25" t="s">
        <v>352</v>
      </c>
      <c r="H26" s="25">
        <v>2005.0</v>
      </c>
      <c r="I26" s="17">
        <v>1.0</v>
      </c>
      <c r="J26" s="17">
        <v>0.5</v>
      </c>
      <c r="K26" s="17">
        <v>1.0</v>
      </c>
      <c r="L26" s="17">
        <v>0.5</v>
      </c>
      <c r="M26" s="21">
        <f t="shared" si="1"/>
        <v>3</v>
      </c>
      <c r="N26" s="17">
        <v>1.0</v>
      </c>
      <c r="O26" s="17">
        <v>0.0</v>
      </c>
      <c r="P26" s="21">
        <f t="shared" si="2"/>
        <v>1</v>
      </c>
      <c r="Q26" s="17">
        <v>0.5</v>
      </c>
      <c r="R26" s="21">
        <f t="shared" si="3"/>
        <v>0.5</v>
      </c>
      <c r="S26" s="26">
        <f t="shared" si="4"/>
        <v>1.75</v>
      </c>
    </row>
    <row r="27">
      <c r="A27" s="11" t="s">
        <v>356</v>
      </c>
      <c r="B27" s="4" t="s">
        <v>358</v>
      </c>
      <c r="C27" s="4" t="s">
        <v>359</v>
      </c>
      <c r="D27" s="65" t="s">
        <v>51</v>
      </c>
      <c r="E27" s="65" t="s">
        <v>360</v>
      </c>
      <c r="F27" s="65" t="s">
        <v>361</v>
      </c>
      <c r="G27" s="65" t="s">
        <v>352</v>
      </c>
      <c r="H27" s="65">
        <v>2005.0</v>
      </c>
      <c r="I27" s="17">
        <v>1.0</v>
      </c>
      <c r="J27" s="17">
        <v>1.0</v>
      </c>
      <c r="K27" s="17">
        <v>1.0</v>
      </c>
      <c r="L27" s="17">
        <v>0.0</v>
      </c>
      <c r="M27" s="21">
        <f t="shared" si="1"/>
        <v>3</v>
      </c>
      <c r="N27" s="17">
        <v>1.0</v>
      </c>
      <c r="O27" s="17">
        <v>0.0</v>
      </c>
      <c r="P27" s="21">
        <f t="shared" si="2"/>
        <v>1</v>
      </c>
      <c r="Q27" s="17">
        <v>1.0</v>
      </c>
      <c r="R27" s="21">
        <f t="shared" si="3"/>
        <v>1</v>
      </c>
      <c r="S27" s="26">
        <f t="shared" si="4"/>
        <v>2.25</v>
      </c>
    </row>
    <row r="28">
      <c r="A28" s="27" t="s">
        <v>364</v>
      </c>
      <c r="B28" s="27" t="s">
        <v>365</v>
      </c>
      <c r="C28" s="27" t="s">
        <v>366</v>
      </c>
      <c r="D28" s="25" t="s">
        <v>51</v>
      </c>
      <c r="E28" s="25" t="s">
        <v>368</v>
      </c>
      <c r="F28" s="25" t="s">
        <v>369</v>
      </c>
      <c r="G28" s="25" t="s">
        <v>370</v>
      </c>
      <c r="H28" s="25">
        <v>2005.0</v>
      </c>
      <c r="I28" s="17">
        <v>0.0</v>
      </c>
      <c r="J28" s="17">
        <v>0.0</v>
      </c>
      <c r="K28" s="17">
        <v>0.0</v>
      </c>
      <c r="L28" s="17">
        <v>0.0</v>
      </c>
      <c r="M28" s="21">
        <f t="shared" si="1"/>
        <v>0</v>
      </c>
      <c r="N28" s="17">
        <v>1.0</v>
      </c>
      <c r="O28" s="17">
        <v>0.0</v>
      </c>
      <c r="P28" s="21">
        <f t="shared" si="2"/>
        <v>1</v>
      </c>
      <c r="Q28" s="17">
        <v>1.0</v>
      </c>
      <c r="R28" s="21">
        <f t="shared" si="3"/>
        <v>1</v>
      </c>
      <c r="S28" s="26">
        <f t="shared" si="4"/>
        <v>1.5</v>
      </c>
    </row>
    <row r="29">
      <c r="A29" s="11" t="s">
        <v>371</v>
      </c>
      <c r="B29" s="4" t="s">
        <v>372</v>
      </c>
      <c r="C29" s="4" t="s">
        <v>373</v>
      </c>
      <c r="D29" s="65" t="s">
        <v>77</v>
      </c>
      <c r="E29" s="65" t="s">
        <v>374</v>
      </c>
      <c r="F29" s="65" t="s">
        <v>375</v>
      </c>
      <c r="G29" s="65" t="s">
        <v>132</v>
      </c>
      <c r="H29" s="65">
        <v>2005.0</v>
      </c>
      <c r="I29" s="17">
        <v>1.0</v>
      </c>
      <c r="J29" s="17">
        <v>1.0</v>
      </c>
      <c r="K29" s="17">
        <v>1.0</v>
      </c>
      <c r="L29" s="17">
        <v>1.0</v>
      </c>
      <c r="M29" s="21">
        <f t="shared" si="1"/>
        <v>4</v>
      </c>
      <c r="N29" s="17">
        <v>0.0</v>
      </c>
      <c r="O29" s="17">
        <v>0.0</v>
      </c>
      <c r="P29" s="21">
        <f t="shared" si="2"/>
        <v>0</v>
      </c>
      <c r="Q29" s="17">
        <v>1.0</v>
      </c>
      <c r="R29" s="21">
        <f t="shared" si="3"/>
        <v>1</v>
      </c>
      <c r="S29" s="26">
        <f t="shared" si="4"/>
        <v>2</v>
      </c>
    </row>
    <row r="30">
      <c r="A30" s="27" t="s">
        <v>377</v>
      </c>
      <c r="B30" s="27" t="s">
        <v>378</v>
      </c>
      <c r="C30" s="27" t="s">
        <v>379</v>
      </c>
      <c r="D30" s="25" t="s">
        <v>77</v>
      </c>
      <c r="E30" s="25" t="s">
        <v>380</v>
      </c>
      <c r="F30" s="25" t="s">
        <v>381</v>
      </c>
      <c r="G30" s="25" t="s">
        <v>191</v>
      </c>
      <c r="H30" s="25">
        <v>2003.0</v>
      </c>
      <c r="I30" s="17">
        <v>1.0</v>
      </c>
      <c r="J30" s="17">
        <v>0.0</v>
      </c>
      <c r="K30" s="17">
        <v>1.0</v>
      </c>
      <c r="L30" s="17">
        <v>0.0</v>
      </c>
      <c r="M30" s="21">
        <f t="shared" si="1"/>
        <v>2</v>
      </c>
      <c r="N30" s="17">
        <v>0.0</v>
      </c>
      <c r="O30" s="17">
        <v>0.0</v>
      </c>
      <c r="P30" s="21">
        <f t="shared" si="2"/>
        <v>0</v>
      </c>
      <c r="Q30" s="17">
        <v>1.0</v>
      </c>
      <c r="R30" s="21">
        <f t="shared" si="3"/>
        <v>1</v>
      </c>
      <c r="S30" s="26">
        <f t="shared" si="4"/>
        <v>1.5</v>
      </c>
    </row>
    <row r="31">
      <c r="A31" s="11" t="s">
        <v>385</v>
      </c>
      <c r="B31" s="4" t="s">
        <v>387</v>
      </c>
      <c r="C31" s="4" t="s">
        <v>389</v>
      </c>
      <c r="D31" s="65" t="s">
        <v>77</v>
      </c>
      <c r="E31" s="65" t="s">
        <v>391</v>
      </c>
      <c r="F31" s="65" t="s">
        <v>394</v>
      </c>
      <c r="G31" s="65" t="s">
        <v>132</v>
      </c>
      <c r="H31" s="65">
        <v>2007.0</v>
      </c>
      <c r="I31" s="17">
        <v>1.0</v>
      </c>
      <c r="J31" s="17">
        <v>0.5</v>
      </c>
      <c r="K31" s="17">
        <v>1.0</v>
      </c>
      <c r="L31" s="17">
        <v>0.0</v>
      </c>
      <c r="M31" s="21">
        <f t="shared" si="1"/>
        <v>2.5</v>
      </c>
      <c r="N31" s="17">
        <v>1.0</v>
      </c>
      <c r="O31" s="17">
        <v>0.0</v>
      </c>
      <c r="P31" s="21">
        <f t="shared" si="2"/>
        <v>1</v>
      </c>
      <c r="Q31" s="17">
        <v>0.5</v>
      </c>
      <c r="R31" s="21">
        <f t="shared" si="3"/>
        <v>0.5</v>
      </c>
      <c r="S31" s="26">
        <f t="shared" si="4"/>
        <v>1.625</v>
      </c>
    </row>
    <row r="32">
      <c r="A32" s="27" t="s">
        <v>400</v>
      </c>
      <c r="B32" s="27" t="s">
        <v>402</v>
      </c>
      <c r="C32" s="27" t="s">
        <v>404</v>
      </c>
      <c r="D32" s="25" t="s">
        <v>51</v>
      </c>
      <c r="E32" s="25" t="s">
        <v>405</v>
      </c>
      <c r="F32" s="25" t="s">
        <v>406</v>
      </c>
      <c r="G32" s="25" t="s">
        <v>407</v>
      </c>
      <c r="H32" s="25">
        <v>2005.0</v>
      </c>
      <c r="I32" s="17">
        <v>1.0</v>
      </c>
      <c r="J32" s="17">
        <v>0.0</v>
      </c>
      <c r="K32" s="17">
        <v>1.0</v>
      </c>
      <c r="L32" s="17">
        <v>0.0</v>
      </c>
      <c r="M32" s="21">
        <f t="shared" si="1"/>
        <v>2</v>
      </c>
      <c r="N32" s="17">
        <v>0.0</v>
      </c>
      <c r="O32" s="17">
        <v>0.0</v>
      </c>
      <c r="P32" s="21">
        <f t="shared" si="2"/>
        <v>0</v>
      </c>
      <c r="Q32" s="17">
        <v>1.0</v>
      </c>
      <c r="R32" s="21">
        <f t="shared" si="3"/>
        <v>1</v>
      </c>
      <c r="S32" s="26">
        <f t="shared" si="4"/>
        <v>1.5</v>
      </c>
    </row>
    <row r="33">
      <c r="A33" s="11" t="s">
        <v>414</v>
      </c>
      <c r="B33" s="4" t="s">
        <v>415</v>
      </c>
      <c r="C33" s="4" t="s">
        <v>416</v>
      </c>
      <c r="D33" s="4" t="s">
        <v>51</v>
      </c>
      <c r="E33" s="4" t="s">
        <v>417</v>
      </c>
      <c r="F33" s="4" t="s">
        <v>418</v>
      </c>
      <c r="G33" s="4" t="s">
        <v>205</v>
      </c>
      <c r="H33" s="4">
        <v>2015.0</v>
      </c>
      <c r="I33" s="17">
        <v>1.0</v>
      </c>
      <c r="J33" s="17">
        <v>1.0</v>
      </c>
      <c r="K33" s="17">
        <v>1.0</v>
      </c>
      <c r="L33" s="17">
        <v>1.0</v>
      </c>
      <c r="M33" s="21">
        <f t="shared" si="1"/>
        <v>4</v>
      </c>
      <c r="N33" s="17">
        <v>1.0</v>
      </c>
      <c r="O33" s="17">
        <v>0.0</v>
      </c>
      <c r="P33" s="21">
        <f t="shared" si="2"/>
        <v>1</v>
      </c>
      <c r="Q33" s="17">
        <v>1.0</v>
      </c>
      <c r="R33" s="21">
        <f t="shared" si="3"/>
        <v>1</v>
      </c>
      <c r="S33" s="26">
        <f t="shared" si="4"/>
        <v>2.5</v>
      </c>
    </row>
    <row r="34">
      <c r="A34" s="27" t="s">
        <v>422</v>
      </c>
      <c r="B34" s="27" t="s">
        <v>424</v>
      </c>
      <c r="C34" s="27" t="s">
        <v>425</v>
      </c>
      <c r="D34" s="27" t="s">
        <v>51</v>
      </c>
      <c r="E34" s="27" t="s">
        <v>426</v>
      </c>
      <c r="F34" s="27" t="s">
        <v>427</v>
      </c>
      <c r="G34" s="27" t="s">
        <v>428</v>
      </c>
      <c r="H34" s="27">
        <v>2010.0</v>
      </c>
      <c r="I34" s="17">
        <v>1.0</v>
      </c>
      <c r="J34" s="17">
        <v>0.0</v>
      </c>
      <c r="K34" s="17">
        <v>1.0</v>
      </c>
      <c r="L34" s="17">
        <v>0.0</v>
      </c>
      <c r="M34" s="21">
        <f t="shared" si="1"/>
        <v>2</v>
      </c>
      <c r="N34" s="17">
        <v>0.0</v>
      </c>
      <c r="O34" s="17">
        <v>0.0</v>
      </c>
      <c r="P34" s="21">
        <f t="shared" si="2"/>
        <v>0</v>
      </c>
      <c r="Q34" s="17">
        <v>1.0</v>
      </c>
      <c r="R34" s="21">
        <f t="shared" si="3"/>
        <v>1</v>
      </c>
      <c r="S34" s="26">
        <f t="shared" si="4"/>
        <v>1.5</v>
      </c>
    </row>
    <row r="35">
      <c r="A35" s="11" t="s">
        <v>439</v>
      </c>
      <c r="B35" s="4" t="s">
        <v>440</v>
      </c>
      <c r="C35" s="4" t="s">
        <v>441</v>
      </c>
      <c r="D35" s="4" t="s">
        <v>77</v>
      </c>
      <c r="E35" s="4" t="s">
        <v>442</v>
      </c>
      <c r="F35" s="4" t="s">
        <v>443</v>
      </c>
      <c r="G35" s="4" t="s">
        <v>132</v>
      </c>
      <c r="H35" s="4">
        <v>2002.0</v>
      </c>
      <c r="I35" s="17">
        <v>0.5</v>
      </c>
      <c r="J35" s="17">
        <v>0.0</v>
      </c>
      <c r="K35" s="17">
        <v>0.5</v>
      </c>
      <c r="L35" s="17">
        <v>0.0</v>
      </c>
      <c r="M35" s="21">
        <f t="shared" si="1"/>
        <v>1</v>
      </c>
      <c r="N35" s="17">
        <v>1.0</v>
      </c>
      <c r="O35" s="17">
        <v>0.5</v>
      </c>
      <c r="P35" s="21">
        <f t="shared" si="2"/>
        <v>1.5</v>
      </c>
      <c r="Q35" s="17">
        <v>0.5</v>
      </c>
      <c r="R35" s="21">
        <f t="shared" si="3"/>
        <v>0.5</v>
      </c>
      <c r="S35" s="26">
        <f t="shared" si="4"/>
        <v>1.5</v>
      </c>
    </row>
    <row r="36">
      <c r="A36" s="27" t="s">
        <v>447</v>
      </c>
      <c r="B36" s="27" t="s">
        <v>448</v>
      </c>
      <c r="C36" s="27" t="s">
        <v>449</v>
      </c>
      <c r="D36" s="27" t="s">
        <v>77</v>
      </c>
      <c r="E36" s="27" t="s">
        <v>450</v>
      </c>
      <c r="F36" s="27" t="s">
        <v>451</v>
      </c>
      <c r="G36" s="27" t="s">
        <v>452</v>
      </c>
      <c r="H36" s="27">
        <v>2011.0</v>
      </c>
      <c r="I36" s="17">
        <v>1.0</v>
      </c>
      <c r="J36" s="17">
        <v>0.0</v>
      </c>
      <c r="K36" s="17">
        <v>1.0</v>
      </c>
      <c r="L36" s="17">
        <v>0.0</v>
      </c>
      <c r="M36" s="21">
        <f t="shared" si="1"/>
        <v>2</v>
      </c>
      <c r="N36" s="17">
        <v>1.0</v>
      </c>
      <c r="O36" s="17">
        <v>0.0</v>
      </c>
      <c r="P36" s="21">
        <f t="shared" si="2"/>
        <v>1</v>
      </c>
      <c r="Q36" s="17">
        <v>1.0</v>
      </c>
      <c r="R36" s="21">
        <f t="shared" si="3"/>
        <v>1</v>
      </c>
      <c r="S36" s="26">
        <f t="shared" si="4"/>
        <v>2</v>
      </c>
    </row>
    <row r="37">
      <c r="A37" s="11" t="s">
        <v>457</v>
      </c>
      <c r="B37" s="4" t="s">
        <v>459</v>
      </c>
      <c r="C37" s="4" t="s">
        <v>461</v>
      </c>
      <c r="D37" s="4" t="s">
        <v>51</v>
      </c>
      <c r="E37" s="58" t="s">
        <v>464</v>
      </c>
      <c r="F37" s="4" t="s">
        <v>465</v>
      </c>
      <c r="G37" s="58" t="s">
        <v>466</v>
      </c>
      <c r="H37" s="4">
        <v>2009.0</v>
      </c>
      <c r="I37" s="17">
        <v>1.0</v>
      </c>
      <c r="J37" s="17">
        <v>1.0</v>
      </c>
      <c r="K37" s="17">
        <v>1.0</v>
      </c>
      <c r="L37" s="17">
        <v>0.0</v>
      </c>
      <c r="M37" s="21">
        <f t="shared" si="1"/>
        <v>3</v>
      </c>
      <c r="N37" s="17">
        <v>0.5</v>
      </c>
      <c r="O37" s="17">
        <v>0.0</v>
      </c>
      <c r="P37" s="21">
        <f t="shared" si="2"/>
        <v>0.5</v>
      </c>
      <c r="Q37" s="17">
        <v>0.5</v>
      </c>
      <c r="R37" s="21">
        <f t="shared" si="3"/>
        <v>0.5</v>
      </c>
      <c r="S37" s="26">
        <f t="shared" si="4"/>
        <v>1.5</v>
      </c>
    </row>
    <row r="38">
      <c r="A38" s="27" t="s">
        <v>470</v>
      </c>
      <c r="B38" s="27" t="s">
        <v>471</v>
      </c>
      <c r="C38" s="27" t="s">
        <v>472</v>
      </c>
      <c r="D38" s="27" t="s">
        <v>51</v>
      </c>
      <c r="E38" s="27" t="s">
        <v>473</v>
      </c>
      <c r="F38" s="27" t="s">
        <v>474</v>
      </c>
      <c r="G38" s="27" t="s">
        <v>476</v>
      </c>
      <c r="H38" s="27">
        <v>2007.0</v>
      </c>
      <c r="I38" s="17">
        <v>1.0</v>
      </c>
      <c r="J38" s="17">
        <v>0.0</v>
      </c>
      <c r="K38" s="17">
        <v>1.0</v>
      </c>
      <c r="L38" s="17">
        <v>0.0</v>
      </c>
      <c r="M38" s="21">
        <f t="shared" si="1"/>
        <v>2</v>
      </c>
      <c r="N38" s="17">
        <v>0.5</v>
      </c>
      <c r="O38" s="17">
        <v>0.0</v>
      </c>
      <c r="P38" s="21">
        <f t="shared" si="2"/>
        <v>0.5</v>
      </c>
      <c r="Q38" s="17">
        <v>1.0</v>
      </c>
      <c r="R38" s="21">
        <f t="shared" si="3"/>
        <v>1</v>
      </c>
      <c r="S38" s="26">
        <f t="shared" si="4"/>
        <v>1.75</v>
      </c>
    </row>
    <row r="39">
      <c r="A39" s="11" t="s">
        <v>482</v>
      </c>
      <c r="B39" s="4" t="s">
        <v>483</v>
      </c>
      <c r="C39" s="4" t="s">
        <v>484</v>
      </c>
      <c r="D39" s="4" t="s">
        <v>77</v>
      </c>
      <c r="E39" s="83" t="s">
        <v>485</v>
      </c>
      <c r="F39" s="83" t="s">
        <v>488</v>
      </c>
      <c r="G39" s="4" t="s">
        <v>489</v>
      </c>
      <c r="H39" s="4">
        <v>2016.0</v>
      </c>
      <c r="I39" s="17">
        <v>1.0</v>
      </c>
      <c r="J39" s="17">
        <v>0.0</v>
      </c>
      <c r="K39" s="17">
        <v>1.0</v>
      </c>
      <c r="L39" s="17">
        <v>0.0</v>
      </c>
      <c r="M39" s="21">
        <f t="shared" si="1"/>
        <v>2</v>
      </c>
      <c r="N39" s="17">
        <v>1.0</v>
      </c>
      <c r="O39" s="17">
        <v>0.0</v>
      </c>
      <c r="P39" s="21">
        <f t="shared" si="2"/>
        <v>1</v>
      </c>
      <c r="Q39" s="17">
        <v>0.5</v>
      </c>
      <c r="R39" s="21">
        <f t="shared" si="3"/>
        <v>0.5</v>
      </c>
      <c r="S39" s="26">
        <f t="shared" si="4"/>
        <v>1.5</v>
      </c>
    </row>
    <row r="40">
      <c r="A40" s="27" t="s">
        <v>495</v>
      </c>
      <c r="B40" s="27" t="s">
        <v>496</v>
      </c>
      <c r="C40" s="27" t="s">
        <v>497</v>
      </c>
      <c r="D40" s="27" t="s">
        <v>77</v>
      </c>
      <c r="E40" s="27" t="s">
        <v>498</v>
      </c>
      <c r="F40" s="27" t="s">
        <v>499</v>
      </c>
      <c r="G40" s="27" t="s">
        <v>500</v>
      </c>
      <c r="H40" s="27">
        <v>2005.0</v>
      </c>
      <c r="I40" s="17">
        <v>1.0</v>
      </c>
      <c r="J40" s="17">
        <v>0.0</v>
      </c>
      <c r="K40" s="17">
        <v>1.0</v>
      </c>
      <c r="L40" s="17">
        <v>1.0</v>
      </c>
      <c r="M40" s="21">
        <f t="shared" si="1"/>
        <v>3</v>
      </c>
      <c r="N40" s="17">
        <v>1.0</v>
      </c>
      <c r="O40" s="17">
        <v>0.0</v>
      </c>
      <c r="P40" s="21">
        <f t="shared" si="2"/>
        <v>1</v>
      </c>
      <c r="Q40" s="17">
        <v>1.0</v>
      </c>
      <c r="R40" s="21">
        <f t="shared" si="3"/>
        <v>1</v>
      </c>
      <c r="S40" s="26">
        <f t="shared" si="4"/>
        <v>2.25</v>
      </c>
    </row>
    <row r="41">
      <c r="A41" s="11" t="s">
        <v>505</v>
      </c>
      <c r="B41" s="4" t="s">
        <v>506</v>
      </c>
      <c r="C41" s="4" t="s">
        <v>507</v>
      </c>
      <c r="D41" s="4" t="s">
        <v>77</v>
      </c>
      <c r="E41" s="58" t="s">
        <v>508</v>
      </c>
      <c r="F41" s="58" t="s">
        <v>510</v>
      </c>
      <c r="G41" s="4" t="s">
        <v>512</v>
      </c>
      <c r="H41" s="4">
        <v>2020.0</v>
      </c>
      <c r="I41" s="17">
        <v>1.0</v>
      </c>
      <c r="J41" s="17">
        <v>0.5</v>
      </c>
      <c r="K41" s="17">
        <v>1.0</v>
      </c>
      <c r="L41" s="17">
        <v>1.0</v>
      </c>
      <c r="M41" s="21">
        <f t="shared" si="1"/>
        <v>3.5</v>
      </c>
      <c r="N41" s="17">
        <v>0.5</v>
      </c>
      <c r="O41" s="17">
        <v>0.0</v>
      </c>
      <c r="P41" s="21">
        <f t="shared" si="2"/>
        <v>0.5</v>
      </c>
      <c r="Q41" s="17">
        <v>1.0</v>
      </c>
      <c r="R41" s="21">
        <f t="shared" si="3"/>
        <v>1</v>
      </c>
      <c r="S41" s="26">
        <f t="shared" si="4"/>
        <v>2.125</v>
      </c>
    </row>
    <row r="42">
      <c r="A42" s="27" t="s">
        <v>516</v>
      </c>
      <c r="B42" s="27" t="s">
        <v>518</v>
      </c>
      <c r="C42" s="27" t="s">
        <v>520</v>
      </c>
      <c r="D42" s="27" t="s">
        <v>51</v>
      </c>
      <c r="E42" s="60" t="s">
        <v>521</v>
      </c>
      <c r="F42" s="60" t="s">
        <v>522</v>
      </c>
      <c r="G42" s="27" t="s">
        <v>523</v>
      </c>
      <c r="H42" s="27">
        <v>2019.0</v>
      </c>
      <c r="I42" s="17">
        <v>1.0</v>
      </c>
      <c r="J42" s="17">
        <v>0.0</v>
      </c>
      <c r="K42" s="17">
        <v>1.0</v>
      </c>
      <c r="L42" s="17">
        <v>0.0</v>
      </c>
      <c r="M42" s="21">
        <f t="shared" si="1"/>
        <v>2</v>
      </c>
      <c r="N42" s="17">
        <v>0.5</v>
      </c>
      <c r="O42" s="17">
        <v>0.0</v>
      </c>
      <c r="P42" s="21">
        <f t="shared" si="2"/>
        <v>0.5</v>
      </c>
      <c r="Q42" s="17">
        <v>1.0</v>
      </c>
      <c r="R42" s="21">
        <f t="shared" si="3"/>
        <v>1</v>
      </c>
      <c r="S42" s="26">
        <f t="shared" si="4"/>
        <v>1.75</v>
      </c>
    </row>
    <row r="43">
      <c r="A43" s="11" t="s">
        <v>527</v>
      </c>
      <c r="B43" s="4" t="s">
        <v>528</v>
      </c>
      <c r="C43" s="4" t="s">
        <v>529</v>
      </c>
      <c r="D43" s="4" t="s">
        <v>51</v>
      </c>
      <c r="E43" s="4" t="s">
        <v>530</v>
      </c>
      <c r="F43" s="4" t="s">
        <v>531</v>
      </c>
      <c r="G43" s="4" t="s">
        <v>532</v>
      </c>
      <c r="H43" s="4">
        <v>2021.0</v>
      </c>
      <c r="I43" s="17">
        <v>1.0</v>
      </c>
      <c r="J43" s="17">
        <v>0.0</v>
      </c>
      <c r="K43" s="17">
        <v>1.0</v>
      </c>
      <c r="L43" s="17">
        <v>0.0</v>
      </c>
      <c r="M43" s="21">
        <f t="shared" si="1"/>
        <v>2</v>
      </c>
      <c r="N43" s="17">
        <v>0.0</v>
      </c>
      <c r="O43" s="17">
        <v>0.0</v>
      </c>
      <c r="P43" s="21">
        <f t="shared" si="2"/>
        <v>0</v>
      </c>
      <c r="Q43" s="17">
        <v>1.0</v>
      </c>
      <c r="R43" s="21">
        <f t="shared" si="3"/>
        <v>1</v>
      </c>
      <c r="S43" s="26">
        <f t="shared" si="4"/>
        <v>1.5</v>
      </c>
    </row>
    <row r="44">
      <c r="A44" s="27" t="s">
        <v>539</v>
      </c>
      <c r="B44" s="27" t="s">
        <v>540</v>
      </c>
      <c r="C44" s="27" t="s">
        <v>541</v>
      </c>
      <c r="D44" s="27" t="s">
        <v>77</v>
      </c>
      <c r="E44" s="60" t="s">
        <v>542</v>
      </c>
      <c r="F44" s="60" t="s">
        <v>543</v>
      </c>
      <c r="G44" s="27" t="s">
        <v>191</v>
      </c>
      <c r="H44" s="27">
        <v>2021.0</v>
      </c>
      <c r="I44" s="17">
        <v>1.0</v>
      </c>
      <c r="J44" s="17">
        <v>1.0</v>
      </c>
      <c r="K44" s="17">
        <v>1.0</v>
      </c>
      <c r="L44" s="17">
        <v>0.0</v>
      </c>
      <c r="M44" s="21">
        <f t="shared" si="1"/>
        <v>3</v>
      </c>
      <c r="N44" s="17">
        <v>1.0</v>
      </c>
      <c r="O44" s="17">
        <v>1.0</v>
      </c>
      <c r="P44" s="21">
        <f t="shared" si="2"/>
        <v>2</v>
      </c>
      <c r="Q44" s="17">
        <v>1.0</v>
      </c>
      <c r="R44" s="21">
        <f t="shared" si="3"/>
        <v>1</v>
      </c>
      <c r="S44" s="26">
        <f t="shared" si="4"/>
        <v>2.75</v>
      </c>
    </row>
    <row r="45">
      <c r="A45" s="11" t="s">
        <v>547</v>
      </c>
      <c r="B45" s="4" t="s">
        <v>548</v>
      </c>
      <c r="C45" s="4" t="s">
        <v>549</v>
      </c>
      <c r="D45" s="4" t="s">
        <v>77</v>
      </c>
      <c r="E45" s="58" t="s">
        <v>550</v>
      </c>
      <c r="F45" s="58" t="s">
        <v>551</v>
      </c>
      <c r="G45" s="4" t="s">
        <v>552</v>
      </c>
      <c r="H45" s="4">
        <v>2021.0</v>
      </c>
      <c r="I45" s="17">
        <v>1.0</v>
      </c>
      <c r="J45" s="17">
        <v>0.0</v>
      </c>
      <c r="K45" s="17">
        <v>1.0</v>
      </c>
      <c r="L45" s="17">
        <v>0.0</v>
      </c>
      <c r="M45" s="21">
        <f t="shared" si="1"/>
        <v>2</v>
      </c>
      <c r="N45" s="17">
        <v>0.0</v>
      </c>
      <c r="O45" s="17">
        <v>0.0</v>
      </c>
      <c r="P45" s="21">
        <f t="shared" si="2"/>
        <v>0</v>
      </c>
      <c r="Q45" s="17">
        <v>1.0</v>
      </c>
      <c r="R45" s="21">
        <f t="shared" si="3"/>
        <v>1</v>
      </c>
      <c r="S45" s="26">
        <f t="shared" si="4"/>
        <v>1.5</v>
      </c>
    </row>
    <row r="46">
      <c r="A46" s="27" t="s">
        <v>553</v>
      </c>
      <c r="B46" s="27" t="s">
        <v>554</v>
      </c>
      <c r="C46" s="27" t="s">
        <v>555</v>
      </c>
      <c r="D46" s="27" t="s">
        <v>77</v>
      </c>
      <c r="E46" s="60" t="s">
        <v>558</v>
      </c>
      <c r="F46" s="60" t="s">
        <v>559</v>
      </c>
      <c r="G46" s="27" t="s">
        <v>560</v>
      </c>
      <c r="H46" s="27">
        <v>2023.0</v>
      </c>
      <c r="I46" s="17">
        <v>1.0</v>
      </c>
      <c r="J46" s="17">
        <v>0.0</v>
      </c>
      <c r="K46" s="17">
        <v>1.0</v>
      </c>
      <c r="L46" s="17">
        <v>1.0</v>
      </c>
      <c r="M46" s="21">
        <f t="shared" si="1"/>
        <v>3</v>
      </c>
      <c r="N46" s="17">
        <v>1.0</v>
      </c>
      <c r="O46" s="17">
        <v>0.0</v>
      </c>
      <c r="P46" s="21">
        <f t="shared" si="2"/>
        <v>1</v>
      </c>
      <c r="Q46" s="17">
        <v>1.0</v>
      </c>
      <c r="R46" s="21">
        <f t="shared" si="3"/>
        <v>1</v>
      </c>
      <c r="S46" s="26">
        <f t="shared" si="4"/>
        <v>2.25</v>
      </c>
    </row>
    <row r="47">
      <c r="A47" s="11" t="s">
        <v>567</v>
      </c>
      <c r="B47" s="4" t="s">
        <v>568</v>
      </c>
      <c r="C47" s="4" t="s">
        <v>569</v>
      </c>
      <c r="D47" s="4" t="s">
        <v>51</v>
      </c>
      <c r="E47" s="58" t="s">
        <v>570</v>
      </c>
      <c r="F47" s="58" t="s">
        <v>571</v>
      </c>
      <c r="G47" s="4" t="s">
        <v>572</v>
      </c>
      <c r="H47" s="4">
        <v>2018.0</v>
      </c>
      <c r="I47" s="17">
        <v>1.0</v>
      </c>
      <c r="J47" s="17">
        <v>0.0</v>
      </c>
      <c r="K47" s="17">
        <v>1.0</v>
      </c>
      <c r="L47" s="17">
        <v>0.0</v>
      </c>
      <c r="M47" s="21">
        <f t="shared" si="1"/>
        <v>2</v>
      </c>
      <c r="N47" s="17">
        <v>0.0</v>
      </c>
      <c r="O47" s="17">
        <v>0.0</v>
      </c>
      <c r="P47" s="21">
        <f t="shared" si="2"/>
        <v>0</v>
      </c>
      <c r="Q47" s="17">
        <v>1.0</v>
      </c>
      <c r="R47" s="21">
        <f t="shared" si="3"/>
        <v>1</v>
      </c>
      <c r="S47" s="26">
        <f t="shared" si="4"/>
        <v>1.5</v>
      </c>
    </row>
    <row r="48">
      <c r="A48" s="27" t="s">
        <v>579</v>
      </c>
      <c r="B48" s="27" t="s">
        <v>580</v>
      </c>
      <c r="C48" s="27" t="s">
        <v>581</v>
      </c>
      <c r="D48" s="27" t="s">
        <v>77</v>
      </c>
      <c r="E48" s="60" t="s">
        <v>582</v>
      </c>
      <c r="F48" s="60" t="s">
        <v>583</v>
      </c>
      <c r="G48" s="27" t="s">
        <v>278</v>
      </c>
      <c r="H48" s="27">
        <v>2017.0</v>
      </c>
      <c r="I48" s="17">
        <v>1.0</v>
      </c>
      <c r="J48" s="17">
        <v>0.0</v>
      </c>
      <c r="K48" s="17">
        <v>1.0</v>
      </c>
      <c r="L48" s="17">
        <v>0.0</v>
      </c>
      <c r="M48" s="21">
        <f t="shared" si="1"/>
        <v>2</v>
      </c>
      <c r="N48" s="17">
        <v>0.5</v>
      </c>
      <c r="O48" s="17">
        <v>0.0</v>
      </c>
      <c r="P48" s="21">
        <f t="shared" si="2"/>
        <v>0.5</v>
      </c>
      <c r="Q48" s="17">
        <v>1.0</v>
      </c>
      <c r="R48" s="21">
        <f t="shared" si="3"/>
        <v>1</v>
      </c>
      <c r="S48" s="26">
        <f t="shared" si="4"/>
        <v>1.75</v>
      </c>
    </row>
    <row r="49">
      <c r="A49" s="11" t="s">
        <v>592</v>
      </c>
      <c r="B49" s="4" t="s">
        <v>593</v>
      </c>
      <c r="C49" s="4" t="s">
        <v>594</v>
      </c>
      <c r="D49" s="4" t="s">
        <v>77</v>
      </c>
      <c r="E49" s="83" t="s">
        <v>596</v>
      </c>
      <c r="F49" s="83" t="s">
        <v>597</v>
      </c>
      <c r="G49" s="4" t="s">
        <v>598</v>
      </c>
      <c r="H49" s="4">
        <v>2020.0</v>
      </c>
      <c r="I49" s="17">
        <v>1.0</v>
      </c>
      <c r="J49" s="17">
        <v>0.5</v>
      </c>
      <c r="K49" s="17">
        <v>1.0</v>
      </c>
      <c r="L49" s="17">
        <v>1.0</v>
      </c>
      <c r="M49" s="21">
        <f t="shared" si="1"/>
        <v>3.5</v>
      </c>
      <c r="N49" s="17">
        <v>1.0</v>
      </c>
      <c r="O49" s="17">
        <v>0.5</v>
      </c>
      <c r="P49" s="21">
        <f t="shared" si="2"/>
        <v>1.5</v>
      </c>
      <c r="Q49" s="17">
        <v>1.0</v>
      </c>
      <c r="R49" s="21">
        <f t="shared" si="3"/>
        <v>1</v>
      </c>
      <c r="S49" s="26">
        <f t="shared" si="4"/>
        <v>2.625</v>
      </c>
    </row>
    <row r="50">
      <c r="A50" s="27" t="s">
        <v>604</v>
      </c>
      <c r="B50" s="27" t="s">
        <v>606</v>
      </c>
      <c r="C50" s="27" t="s">
        <v>607</v>
      </c>
      <c r="D50" s="27" t="s">
        <v>77</v>
      </c>
      <c r="E50" s="60" t="s">
        <v>609</v>
      </c>
      <c r="F50" s="27" t="s">
        <v>611</v>
      </c>
      <c r="G50" s="27" t="s">
        <v>612</v>
      </c>
      <c r="H50" s="27">
        <v>2010.0</v>
      </c>
      <c r="I50" s="17">
        <v>1.0</v>
      </c>
      <c r="J50" s="17">
        <v>0.5</v>
      </c>
      <c r="K50" s="17">
        <v>1.0</v>
      </c>
      <c r="L50" s="17">
        <v>0.0</v>
      </c>
      <c r="M50" s="21">
        <f t="shared" si="1"/>
        <v>2.5</v>
      </c>
      <c r="N50" s="17">
        <v>1.0</v>
      </c>
      <c r="O50" s="17">
        <v>0.0</v>
      </c>
      <c r="P50" s="21">
        <f t="shared" si="2"/>
        <v>1</v>
      </c>
      <c r="Q50" s="17">
        <v>1.0</v>
      </c>
      <c r="R50" s="21">
        <f t="shared" si="3"/>
        <v>1</v>
      </c>
      <c r="S50" s="26">
        <f t="shared" si="4"/>
        <v>2.125</v>
      </c>
    </row>
    <row r="51">
      <c r="A51" s="11" t="s">
        <v>616</v>
      </c>
      <c r="B51" s="4" t="s">
        <v>617</v>
      </c>
      <c r="C51" s="4" t="s">
        <v>618</v>
      </c>
      <c r="D51" s="4" t="s">
        <v>77</v>
      </c>
      <c r="E51" s="58" t="s">
        <v>619</v>
      </c>
      <c r="F51" s="58" t="s">
        <v>620</v>
      </c>
      <c r="G51" s="4" t="s">
        <v>621</v>
      </c>
      <c r="H51" s="4">
        <v>2010.0</v>
      </c>
      <c r="I51" s="17">
        <v>1.0</v>
      </c>
      <c r="J51" s="17">
        <v>0.0</v>
      </c>
      <c r="K51" s="17">
        <v>1.0</v>
      </c>
      <c r="L51" s="17">
        <v>1.0</v>
      </c>
      <c r="M51" s="21">
        <f t="shared" si="1"/>
        <v>3</v>
      </c>
      <c r="N51" s="17">
        <v>0.0</v>
      </c>
      <c r="O51" s="17">
        <v>0.0</v>
      </c>
      <c r="P51" s="21">
        <f t="shared" si="2"/>
        <v>0</v>
      </c>
      <c r="Q51" s="17">
        <v>1.0</v>
      </c>
      <c r="R51" s="21">
        <f t="shared" si="3"/>
        <v>1</v>
      </c>
      <c r="S51" s="26">
        <f t="shared" si="4"/>
        <v>1.75</v>
      </c>
    </row>
    <row r="52">
      <c r="A52" s="27" t="s">
        <v>630</v>
      </c>
      <c r="B52" s="27" t="s">
        <v>631</v>
      </c>
      <c r="C52" s="27" t="s">
        <v>632</v>
      </c>
      <c r="D52" s="27" t="s">
        <v>51</v>
      </c>
      <c r="E52" s="60" t="s">
        <v>633</v>
      </c>
      <c r="F52" s="60" t="s">
        <v>634</v>
      </c>
      <c r="G52" s="27" t="s">
        <v>635</v>
      </c>
      <c r="H52" s="27">
        <v>2007.0</v>
      </c>
      <c r="I52" s="17">
        <v>1.0</v>
      </c>
      <c r="J52" s="17">
        <v>1.0</v>
      </c>
      <c r="K52" s="17">
        <v>1.0</v>
      </c>
      <c r="L52" s="17">
        <v>0.0</v>
      </c>
      <c r="M52" s="21">
        <f t="shared" si="1"/>
        <v>3</v>
      </c>
      <c r="N52" s="17">
        <v>0.5</v>
      </c>
      <c r="O52" s="17">
        <v>0.0</v>
      </c>
      <c r="P52" s="21">
        <f t="shared" si="2"/>
        <v>0.5</v>
      </c>
      <c r="Q52" s="17">
        <v>0.5</v>
      </c>
      <c r="R52" s="21">
        <f t="shared" si="3"/>
        <v>0.5</v>
      </c>
      <c r="S52" s="26">
        <f t="shared" si="4"/>
        <v>1.5</v>
      </c>
    </row>
    <row r="53">
      <c r="A53" s="11" t="s">
        <v>638</v>
      </c>
      <c r="B53" s="4" t="s">
        <v>639</v>
      </c>
      <c r="C53" s="4" t="s">
        <v>640</v>
      </c>
      <c r="D53" s="4" t="s">
        <v>77</v>
      </c>
      <c r="E53" s="58" t="s">
        <v>641</v>
      </c>
      <c r="F53" s="4" t="s">
        <v>642</v>
      </c>
      <c r="G53" s="4" t="s">
        <v>643</v>
      </c>
      <c r="H53" s="4">
        <v>2017.0</v>
      </c>
      <c r="I53" s="17">
        <v>1.0</v>
      </c>
      <c r="J53" s="17">
        <v>0.0</v>
      </c>
      <c r="K53" s="17">
        <v>1.0</v>
      </c>
      <c r="L53" s="17">
        <v>0.0</v>
      </c>
      <c r="M53" s="21">
        <f t="shared" si="1"/>
        <v>2</v>
      </c>
      <c r="N53" s="17">
        <v>0.0</v>
      </c>
      <c r="O53" s="17">
        <v>0.0</v>
      </c>
      <c r="P53" s="21">
        <f t="shared" si="2"/>
        <v>0</v>
      </c>
      <c r="Q53" s="17">
        <v>1.0</v>
      </c>
      <c r="R53" s="21">
        <f t="shared" si="3"/>
        <v>1</v>
      </c>
      <c r="S53" s="26">
        <f t="shared" si="4"/>
        <v>1.5</v>
      </c>
    </row>
    <row r="54">
      <c r="A54" s="27" t="s">
        <v>646</v>
      </c>
      <c r="B54" s="27" t="s">
        <v>647</v>
      </c>
      <c r="C54" s="27" t="s">
        <v>648</v>
      </c>
      <c r="D54" s="27" t="s">
        <v>51</v>
      </c>
      <c r="E54" s="60" t="s">
        <v>649</v>
      </c>
      <c r="F54" s="60" t="s">
        <v>650</v>
      </c>
      <c r="G54" s="27" t="s">
        <v>651</v>
      </c>
      <c r="H54" s="27">
        <v>2011.0</v>
      </c>
      <c r="I54" s="17">
        <v>1.0</v>
      </c>
      <c r="J54" s="17">
        <v>0.5</v>
      </c>
      <c r="K54" s="17">
        <v>1.0</v>
      </c>
      <c r="L54" s="17">
        <v>0.5</v>
      </c>
      <c r="M54" s="21">
        <f t="shared" si="1"/>
        <v>3</v>
      </c>
      <c r="N54" s="17">
        <v>0.5</v>
      </c>
      <c r="O54" s="17">
        <v>0.0</v>
      </c>
      <c r="P54" s="21">
        <f t="shared" si="2"/>
        <v>0.5</v>
      </c>
      <c r="Q54" s="17">
        <v>0.5</v>
      </c>
      <c r="R54" s="21">
        <f t="shared" si="3"/>
        <v>0.5</v>
      </c>
      <c r="S54" s="26">
        <f t="shared" si="4"/>
        <v>1.5</v>
      </c>
    </row>
    <row r="55">
      <c r="A55" s="11" t="s">
        <v>654</v>
      </c>
      <c r="B55" s="4" t="s">
        <v>657</v>
      </c>
      <c r="C55" s="4" t="s">
        <v>659</v>
      </c>
      <c r="D55" s="4" t="s">
        <v>77</v>
      </c>
      <c r="E55" s="58" t="s">
        <v>660</v>
      </c>
      <c r="F55" s="58" t="s">
        <v>663</v>
      </c>
      <c r="G55" s="58" t="s">
        <v>665</v>
      </c>
      <c r="H55" s="4">
        <v>2013.0</v>
      </c>
      <c r="I55" s="17">
        <v>1.0</v>
      </c>
      <c r="J55" s="17">
        <v>1.0</v>
      </c>
      <c r="K55" s="17">
        <v>1.0</v>
      </c>
      <c r="L55" s="17">
        <v>0.0</v>
      </c>
      <c r="M55" s="21">
        <f t="shared" si="1"/>
        <v>3</v>
      </c>
      <c r="N55" s="17">
        <v>1.0</v>
      </c>
      <c r="O55" s="17">
        <v>0.0</v>
      </c>
      <c r="P55" s="21">
        <f t="shared" si="2"/>
        <v>1</v>
      </c>
      <c r="Q55" s="17">
        <v>1.0</v>
      </c>
      <c r="R55" s="21">
        <f t="shared" si="3"/>
        <v>1</v>
      </c>
      <c r="S55" s="26">
        <f t="shared" si="4"/>
        <v>2.25</v>
      </c>
    </row>
    <row r="56">
      <c r="A56" s="27" t="s">
        <v>668</v>
      </c>
      <c r="B56" s="27" t="s">
        <v>669</v>
      </c>
      <c r="C56" s="27" t="s">
        <v>670</v>
      </c>
      <c r="D56" s="27" t="s">
        <v>77</v>
      </c>
      <c r="E56" s="60" t="s">
        <v>671</v>
      </c>
      <c r="F56" s="60" t="s">
        <v>672</v>
      </c>
      <c r="G56" s="27" t="s">
        <v>673</v>
      </c>
      <c r="H56" s="27">
        <v>2018.0</v>
      </c>
      <c r="I56" s="17">
        <v>0.5</v>
      </c>
      <c r="J56" s="17">
        <v>0.0</v>
      </c>
      <c r="K56" s="17">
        <v>0.5</v>
      </c>
      <c r="L56" s="17">
        <v>0.0</v>
      </c>
      <c r="M56" s="21">
        <f t="shared" si="1"/>
        <v>1</v>
      </c>
      <c r="N56" s="17">
        <v>1.0</v>
      </c>
      <c r="O56" s="17">
        <v>0.0</v>
      </c>
      <c r="P56" s="21">
        <f t="shared" si="2"/>
        <v>1</v>
      </c>
      <c r="Q56" s="17">
        <v>1.0</v>
      </c>
      <c r="R56" s="21">
        <f t="shared" si="3"/>
        <v>1</v>
      </c>
      <c r="S56" s="26">
        <f t="shared" si="4"/>
        <v>1.75</v>
      </c>
    </row>
    <row r="57">
      <c r="A57" s="11" t="s">
        <v>725</v>
      </c>
      <c r="B57" s="4" t="s">
        <v>726</v>
      </c>
      <c r="C57" s="4" t="s">
        <v>727</v>
      </c>
      <c r="D57" s="4" t="s">
        <v>77</v>
      </c>
      <c r="E57" s="58" t="s">
        <v>728</v>
      </c>
      <c r="F57" s="58" t="s">
        <v>729</v>
      </c>
      <c r="G57" s="4" t="s">
        <v>182</v>
      </c>
      <c r="H57" s="4">
        <v>2019.0</v>
      </c>
      <c r="I57" s="17">
        <v>1.0</v>
      </c>
      <c r="J57" s="17">
        <v>1.0</v>
      </c>
      <c r="K57" s="17">
        <v>1.0</v>
      </c>
      <c r="L57" s="17">
        <v>0.0</v>
      </c>
      <c r="M57" s="21">
        <f t="shared" si="1"/>
        <v>3</v>
      </c>
      <c r="N57" s="17">
        <v>0.0</v>
      </c>
      <c r="O57" s="17">
        <v>0.0</v>
      </c>
      <c r="P57" s="21">
        <f t="shared" si="2"/>
        <v>0</v>
      </c>
      <c r="Q57" s="17">
        <v>1.0</v>
      </c>
      <c r="R57" s="21">
        <f t="shared" si="3"/>
        <v>1</v>
      </c>
      <c r="S57" s="26">
        <f t="shared" si="4"/>
        <v>1.75</v>
      </c>
    </row>
    <row r="58">
      <c r="A58" s="27" t="s">
        <v>736</v>
      </c>
      <c r="B58" s="27" t="s">
        <v>737</v>
      </c>
      <c r="C58" s="27" t="s">
        <v>738</v>
      </c>
      <c r="D58" s="27" t="s">
        <v>77</v>
      </c>
      <c r="E58" s="60" t="s">
        <v>739</v>
      </c>
      <c r="F58" s="27" t="s">
        <v>740</v>
      </c>
      <c r="G58" s="27" t="s">
        <v>665</v>
      </c>
      <c r="H58" s="27">
        <v>2018.0</v>
      </c>
      <c r="I58" s="17">
        <v>1.0</v>
      </c>
      <c r="J58" s="17">
        <v>0.5</v>
      </c>
      <c r="K58" s="17">
        <v>1.0</v>
      </c>
      <c r="L58" s="17">
        <v>1.0</v>
      </c>
      <c r="M58" s="21">
        <f t="shared" si="1"/>
        <v>3.5</v>
      </c>
      <c r="N58" s="17">
        <v>0.5</v>
      </c>
      <c r="O58" s="17">
        <v>0.0</v>
      </c>
      <c r="P58" s="21">
        <f t="shared" si="2"/>
        <v>0.5</v>
      </c>
      <c r="Q58" s="17">
        <v>0.5</v>
      </c>
      <c r="R58" s="21">
        <f t="shared" si="3"/>
        <v>0.5</v>
      </c>
      <c r="S58" s="26">
        <f t="shared" si="4"/>
        <v>1.625</v>
      </c>
    </row>
    <row r="59">
      <c r="A59" s="11" t="s">
        <v>747</v>
      </c>
      <c r="B59" s="4" t="s">
        <v>748</v>
      </c>
      <c r="C59" s="4" t="s">
        <v>749</v>
      </c>
      <c r="D59" s="4" t="s">
        <v>51</v>
      </c>
      <c r="E59" s="83" t="s">
        <v>750</v>
      </c>
      <c r="F59" s="83" t="s">
        <v>751</v>
      </c>
      <c r="G59" s="4" t="s">
        <v>752</v>
      </c>
      <c r="H59" s="4">
        <v>2020.0</v>
      </c>
      <c r="I59" s="17">
        <v>1.0</v>
      </c>
      <c r="J59" s="17">
        <v>0.0</v>
      </c>
      <c r="K59" s="17">
        <v>1.0</v>
      </c>
      <c r="L59" s="17">
        <v>0.0</v>
      </c>
      <c r="M59" s="21">
        <f t="shared" si="1"/>
        <v>2</v>
      </c>
      <c r="N59" s="17">
        <v>0.0</v>
      </c>
      <c r="O59" s="17">
        <v>0.0</v>
      </c>
      <c r="P59" s="21">
        <f t="shared" si="2"/>
        <v>0</v>
      </c>
      <c r="Q59" s="17">
        <v>1.0</v>
      </c>
      <c r="R59" s="21">
        <f t="shared" si="3"/>
        <v>1</v>
      </c>
      <c r="S59" s="26">
        <f t="shared" si="4"/>
        <v>1.5</v>
      </c>
    </row>
    <row r="60">
      <c r="A60" s="27" t="s">
        <v>755</v>
      </c>
      <c r="B60" s="27" t="s">
        <v>756</v>
      </c>
      <c r="C60" s="27" t="s">
        <v>757</v>
      </c>
      <c r="D60" s="27" t="s">
        <v>51</v>
      </c>
      <c r="E60" s="60" t="s">
        <v>758</v>
      </c>
      <c r="F60" s="60" t="s">
        <v>759</v>
      </c>
      <c r="G60" s="27" t="s">
        <v>760</v>
      </c>
      <c r="H60" s="27">
        <v>2017.0</v>
      </c>
      <c r="I60" s="17">
        <v>1.0</v>
      </c>
      <c r="J60" s="17">
        <v>0.0</v>
      </c>
      <c r="K60" s="17">
        <v>1.0</v>
      </c>
      <c r="L60" s="17">
        <v>0.0</v>
      </c>
      <c r="M60" s="21">
        <f t="shared" si="1"/>
        <v>2</v>
      </c>
      <c r="N60" s="17">
        <v>1.0</v>
      </c>
      <c r="O60" s="17">
        <v>0.0</v>
      </c>
      <c r="P60" s="21">
        <f t="shared" si="2"/>
        <v>1</v>
      </c>
      <c r="Q60" s="17">
        <v>1.0</v>
      </c>
      <c r="R60" s="21">
        <f t="shared" si="3"/>
        <v>1</v>
      </c>
      <c r="S60" s="26">
        <f t="shared" si="4"/>
        <v>2</v>
      </c>
    </row>
    <row r="61">
      <c r="A61" s="11" t="s">
        <v>767</v>
      </c>
      <c r="B61" s="4" t="s">
        <v>768</v>
      </c>
      <c r="C61" s="88" t="s">
        <v>769</v>
      </c>
      <c r="D61" s="89" t="s">
        <v>77</v>
      </c>
      <c r="E61" s="89" t="s">
        <v>770</v>
      </c>
      <c r="F61" s="89" t="s">
        <v>771</v>
      </c>
      <c r="G61" s="89" t="s">
        <v>772</v>
      </c>
      <c r="H61" s="90">
        <v>2012.0</v>
      </c>
      <c r="I61" s="17">
        <v>1.0</v>
      </c>
      <c r="J61" s="17">
        <v>1.0</v>
      </c>
      <c r="K61" s="17">
        <v>1.0</v>
      </c>
      <c r="L61" s="17">
        <v>0.5</v>
      </c>
      <c r="M61" s="21">
        <f t="shared" si="1"/>
        <v>3.5</v>
      </c>
      <c r="N61" s="17">
        <v>0.0</v>
      </c>
      <c r="O61" s="17">
        <v>0.0</v>
      </c>
      <c r="P61" s="21">
        <f t="shared" si="2"/>
        <v>0</v>
      </c>
      <c r="Q61" s="17">
        <v>1.0</v>
      </c>
      <c r="R61" s="21">
        <f t="shared" si="3"/>
        <v>1</v>
      </c>
      <c r="S61" s="26">
        <f t="shared" si="4"/>
        <v>1.875</v>
      </c>
    </row>
    <row r="62">
      <c r="A62" s="27" t="s">
        <v>773</v>
      </c>
      <c r="B62" s="27" t="s">
        <v>774</v>
      </c>
      <c r="C62" s="91" t="s">
        <v>775</v>
      </c>
      <c r="D62" s="92" t="s">
        <v>77</v>
      </c>
      <c r="E62" s="92" t="s">
        <v>776</v>
      </c>
      <c r="F62" s="92" t="s">
        <v>777</v>
      </c>
      <c r="G62" s="92" t="s">
        <v>778</v>
      </c>
      <c r="H62" s="93">
        <v>2013.0</v>
      </c>
      <c r="I62" s="17">
        <v>1.0</v>
      </c>
      <c r="J62" s="17">
        <v>1.0</v>
      </c>
      <c r="K62" s="17">
        <v>1.0</v>
      </c>
      <c r="L62" s="17">
        <v>0.0</v>
      </c>
      <c r="M62" s="21">
        <f t="shared" si="1"/>
        <v>3</v>
      </c>
      <c r="N62" s="17">
        <v>0.0</v>
      </c>
      <c r="O62" s="17">
        <v>0.0</v>
      </c>
      <c r="P62" s="21">
        <f t="shared" si="2"/>
        <v>0</v>
      </c>
      <c r="Q62" s="17">
        <v>1.0</v>
      </c>
      <c r="R62" s="21">
        <f t="shared" si="3"/>
        <v>1</v>
      </c>
      <c r="S62" s="26">
        <f t="shared" si="4"/>
        <v>1.75</v>
      </c>
    </row>
    <row r="63">
      <c r="A63" s="11" t="s">
        <v>783</v>
      </c>
      <c r="B63" s="4" t="s">
        <v>785</v>
      </c>
      <c r="C63" s="88" t="s">
        <v>786</v>
      </c>
      <c r="D63" s="89" t="s">
        <v>51</v>
      </c>
      <c r="E63" s="89" t="s">
        <v>787</v>
      </c>
      <c r="F63" s="89" t="s">
        <v>788</v>
      </c>
      <c r="G63" s="89" t="s">
        <v>789</v>
      </c>
      <c r="H63" s="90">
        <v>2003.0</v>
      </c>
      <c r="I63" s="17">
        <v>1.0</v>
      </c>
      <c r="J63" s="17">
        <v>0.5</v>
      </c>
      <c r="K63" s="17">
        <v>1.0</v>
      </c>
      <c r="L63" s="17">
        <v>0.5</v>
      </c>
      <c r="M63" s="21">
        <f t="shared" si="1"/>
        <v>3</v>
      </c>
      <c r="N63" s="17">
        <v>0.0</v>
      </c>
      <c r="O63" s="17">
        <v>0.0</v>
      </c>
      <c r="P63" s="21">
        <f t="shared" si="2"/>
        <v>0</v>
      </c>
      <c r="Q63" s="17">
        <v>1.0</v>
      </c>
      <c r="R63" s="21">
        <f t="shared" si="3"/>
        <v>1</v>
      </c>
      <c r="S63" s="26">
        <f t="shared" si="4"/>
        <v>1.75</v>
      </c>
    </row>
    <row r="64">
      <c r="A64" s="27" t="s">
        <v>790</v>
      </c>
      <c r="B64" s="27" t="s">
        <v>791</v>
      </c>
      <c r="C64" s="91" t="s">
        <v>792</v>
      </c>
      <c r="D64" s="92" t="s">
        <v>51</v>
      </c>
      <c r="E64" s="92" t="s">
        <v>793</v>
      </c>
      <c r="F64" s="92" t="s">
        <v>794</v>
      </c>
      <c r="G64" s="92" t="s">
        <v>795</v>
      </c>
      <c r="H64" s="93">
        <v>2009.0</v>
      </c>
      <c r="I64" s="17">
        <v>1.0</v>
      </c>
      <c r="J64" s="17">
        <v>0.5</v>
      </c>
      <c r="K64" s="17">
        <v>0.5</v>
      </c>
      <c r="L64" s="17">
        <v>0.0</v>
      </c>
      <c r="M64" s="21">
        <f t="shared" si="1"/>
        <v>2</v>
      </c>
      <c r="N64" s="17">
        <v>0.0</v>
      </c>
      <c r="O64" s="17">
        <v>0.0</v>
      </c>
      <c r="P64" s="21">
        <f t="shared" si="2"/>
        <v>0</v>
      </c>
      <c r="Q64" s="17">
        <v>1.0</v>
      </c>
      <c r="R64" s="21">
        <f t="shared" si="3"/>
        <v>1</v>
      </c>
      <c r="S64" s="26">
        <f t="shared" si="4"/>
        <v>1.5</v>
      </c>
    </row>
    <row r="65">
      <c r="A65" s="11" t="s">
        <v>796</v>
      </c>
      <c r="B65" s="4" t="s">
        <v>797</v>
      </c>
      <c r="C65" s="88" t="s">
        <v>798</v>
      </c>
      <c r="D65" s="89" t="s">
        <v>51</v>
      </c>
      <c r="E65" s="89" t="s">
        <v>149</v>
      </c>
      <c r="F65" s="89" t="s">
        <v>799</v>
      </c>
      <c r="G65" s="89" t="s">
        <v>800</v>
      </c>
      <c r="H65" s="90">
        <v>2007.0</v>
      </c>
      <c r="I65" s="17">
        <v>1.0</v>
      </c>
      <c r="J65" s="17">
        <v>1.0</v>
      </c>
      <c r="K65" s="17">
        <v>1.0</v>
      </c>
      <c r="L65" s="17">
        <v>1.0</v>
      </c>
      <c r="M65" s="21">
        <f t="shared" si="1"/>
        <v>4</v>
      </c>
      <c r="N65" s="17">
        <v>0.5</v>
      </c>
      <c r="O65" s="17">
        <v>0.5</v>
      </c>
      <c r="P65" s="21">
        <f t="shared" si="2"/>
        <v>1</v>
      </c>
      <c r="Q65" s="17">
        <v>1.0</v>
      </c>
      <c r="R65" s="21">
        <f t="shared" si="3"/>
        <v>1</v>
      </c>
      <c r="S65" s="26">
        <f t="shared" si="4"/>
        <v>2.5</v>
      </c>
    </row>
    <row r="66">
      <c r="A66" s="27" t="s">
        <v>808</v>
      </c>
      <c r="B66" s="27" t="s">
        <v>809</v>
      </c>
      <c r="C66" s="91" t="s">
        <v>810</v>
      </c>
      <c r="D66" s="92" t="s">
        <v>51</v>
      </c>
      <c r="E66" s="92" t="s">
        <v>811</v>
      </c>
      <c r="F66" s="92" t="s">
        <v>812</v>
      </c>
      <c r="G66" s="92" t="s">
        <v>813</v>
      </c>
      <c r="H66" s="93">
        <v>2010.0</v>
      </c>
      <c r="I66" s="17">
        <v>1.0</v>
      </c>
      <c r="J66" s="17">
        <v>1.0</v>
      </c>
      <c r="K66" s="17">
        <v>1.0</v>
      </c>
      <c r="L66" s="17">
        <v>0.0</v>
      </c>
      <c r="M66" s="21">
        <f t="shared" si="1"/>
        <v>3</v>
      </c>
      <c r="N66" s="17">
        <v>0.0</v>
      </c>
      <c r="O66" s="17">
        <v>0.0</v>
      </c>
      <c r="P66" s="21">
        <f t="shared" si="2"/>
        <v>0</v>
      </c>
      <c r="Q66" s="17">
        <v>1.0</v>
      </c>
      <c r="R66" s="21">
        <f t="shared" si="3"/>
        <v>1</v>
      </c>
      <c r="S66" s="26">
        <f t="shared" si="4"/>
        <v>1.75</v>
      </c>
    </row>
    <row r="67">
      <c r="A67" s="11" t="s">
        <v>820</v>
      </c>
      <c r="B67" s="4" t="s">
        <v>821</v>
      </c>
      <c r="C67" s="88" t="s">
        <v>822</v>
      </c>
      <c r="D67" s="89" t="s">
        <v>77</v>
      </c>
      <c r="E67" s="94" t="s">
        <v>823</v>
      </c>
      <c r="F67" s="94" t="s">
        <v>824</v>
      </c>
      <c r="G67" s="89" t="s">
        <v>827</v>
      </c>
      <c r="H67" s="90">
        <v>2010.0</v>
      </c>
      <c r="I67" s="17">
        <v>0.5</v>
      </c>
      <c r="J67" s="17">
        <v>1.0</v>
      </c>
      <c r="K67" s="17">
        <v>0.5</v>
      </c>
      <c r="L67" s="17">
        <v>0.0</v>
      </c>
      <c r="M67" s="21">
        <f t="shared" si="1"/>
        <v>2</v>
      </c>
      <c r="N67" s="17">
        <v>0.0</v>
      </c>
      <c r="O67" s="17">
        <v>0.0</v>
      </c>
      <c r="P67" s="21">
        <f t="shared" si="2"/>
        <v>0</v>
      </c>
      <c r="Q67" s="17">
        <v>1.0</v>
      </c>
      <c r="R67" s="21">
        <f t="shared" si="3"/>
        <v>1</v>
      </c>
      <c r="S67" s="26">
        <f t="shared" si="4"/>
        <v>1.5</v>
      </c>
    </row>
    <row r="68">
      <c r="A68" s="27" t="s">
        <v>831</v>
      </c>
      <c r="B68" s="24" t="s">
        <v>833</v>
      </c>
      <c r="C68" s="24" t="s">
        <v>836</v>
      </c>
      <c r="D68" s="24" t="s">
        <v>77</v>
      </c>
      <c r="E68" s="24" t="s">
        <v>838</v>
      </c>
      <c r="F68" s="24" t="s">
        <v>840</v>
      </c>
      <c r="G68" s="24" t="s">
        <v>841</v>
      </c>
      <c r="H68" s="24">
        <v>2013.0</v>
      </c>
      <c r="I68" s="17">
        <v>0.5</v>
      </c>
      <c r="J68" s="17">
        <v>0.5</v>
      </c>
      <c r="K68" s="17">
        <v>0.5</v>
      </c>
      <c r="L68" s="17">
        <v>0.5</v>
      </c>
      <c r="M68" s="21">
        <f t="shared" si="1"/>
        <v>2</v>
      </c>
      <c r="N68" s="17">
        <v>0.0</v>
      </c>
      <c r="O68" s="17">
        <v>0.0</v>
      </c>
      <c r="P68" s="21">
        <f t="shared" si="2"/>
        <v>0</v>
      </c>
      <c r="Q68" s="17">
        <v>1.0</v>
      </c>
      <c r="R68" s="21">
        <f t="shared" si="3"/>
        <v>1</v>
      </c>
      <c r="S68" s="26">
        <f t="shared" si="4"/>
        <v>1.5</v>
      </c>
    </row>
    <row r="69">
      <c r="I69" s="26"/>
      <c r="J69" s="26"/>
      <c r="K69" s="26"/>
      <c r="L69" s="26"/>
      <c r="M69" s="21"/>
      <c r="N69" s="26"/>
      <c r="O69" s="26"/>
      <c r="P69" s="21"/>
      <c r="Q69" s="26"/>
      <c r="R69" s="21"/>
      <c r="S69" s="26"/>
    </row>
    <row r="70">
      <c r="I70" s="26"/>
      <c r="J70" s="26"/>
      <c r="K70" s="26"/>
      <c r="L70" s="26"/>
      <c r="M70" s="21"/>
      <c r="N70" s="26"/>
      <c r="O70" s="26"/>
      <c r="P70" s="21"/>
      <c r="Q70" s="26"/>
      <c r="R70" s="21"/>
      <c r="S70" s="26"/>
    </row>
    <row r="71">
      <c r="I71" s="26"/>
      <c r="J71" s="26"/>
      <c r="K71" s="26"/>
      <c r="L71" s="26"/>
      <c r="M71" s="21"/>
      <c r="N71" s="26"/>
      <c r="O71" s="26"/>
      <c r="P71" s="21"/>
      <c r="Q71" s="26"/>
      <c r="R71" s="21"/>
      <c r="S71" s="26"/>
    </row>
    <row r="72">
      <c r="I72" s="26"/>
      <c r="J72" s="26"/>
      <c r="K72" s="26"/>
      <c r="L72" s="26"/>
      <c r="M72" s="21"/>
      <c r="N72" s="26"/>
      <c r="O72" s="26"/>
      <c r="P72" s="21"/>
      <c r="Q72" s="26"/>
      <c r="R72" s="21"/>
      <c r="S72" s="26"/>
    </row>
    <row r="73">
      <c r="I73" s="26"/>
      <c r="J73" s="26"/>
      <c r="K73" s="26"/>
      <c r="L73" s="26"/>
      <c r="M73" s="21"/>
      <c r="N73" s="26"/>
      <c r="O73" s="26"/>
      <c r="P73" s="21"/>
      <c r="Q73" s="26"/>
      <c r="R73" s="21"/>
      <c r="S73" s="26"/>
    </row>
    <row r="74">
      <c r="I74" s="26"/>
      <c r="J74" s="26"/>
      <c r="K74" s="26"/>
      <c r="L74" s="26"/>
      <c r="M74" s="21"/>
      <c r="N74" s="26"/>
      <c r="O74" s="26"/>
      <c r="P74" s="21"/>
      <c r="Q74" s="26"/>
      <c r="R74" s="21"/>
      <c r="S74" s="26"/>
    </row>
    <row r="75">
      <c r="I75" s="26"/>
      <c r="J75" s="26"/>
      <c r="K75" s="26"/>
      <c r="L75" s="26"/>
      <c r="M75" s="21"/>
      <c r="N75" s="26"/>
      <c r="O75" s="26"/>
      <c r="P75" s="21"/>
      <c r="Q75" s="26"/>
      <c r="R75" s="21"/>
      <c r="S75" s="26"/>
    </row>
    <row r="76">
      <c r="I76" s="26"/>
      <c r="J76" s="26"/>
      <c r="K76" s="26"/>
      <c r="L76" s="26"/>
      <c r="M76" s="21"/>
      <c r="N76" s="26"/>
      <c r="O76" s="26"/>
      <c r="P76" s="21"/>
      <c r="Q76" s="26"/>
      <c r="R76" s="21"/>
      <c r="S76" s="26"/>
    </row>
    <row r="77">
      <c r="M77" s="21"/>
      <c r="P77" s="21"/>
      <c r="R77" s="21"/>
      <c r="S77" s="26"/>
    </row>
    <row r="78">
      <c r="M78" s="21"/>
      <c r="P78" s="21"/>
      <c r="R78" s="21"/>
      <c r="S78" s="26"/>
    </row>
    <row r="79">
      <c r="M79" s="21"/>
      <c r="P79" s="21"/>
      <c r="R79" s="21"/>
      <c r="S79" s="26"/>
    </row>
    <row r="80">
      <c r="M80" s="21"/>
      <c r="P80" s="21"/>
      <c r="R80" s="21"/>
      <c r="S80" s="26"/>
    </row>
    <row r="81">
      <c r="M81" s="21"/>
      <c r="P81" s="21"/>
      <c r="R81" s="21"/>
      <c r="S81" s="26"/>
    </row>
    <row r="82">
      <c r="M82" s="21"/>
      <c r="P82" s="21"/>
      <c r="R82" s="21"/>
      <c r="S82" s="26"/>
    </row>
    <row r="83">
      <c r="M83" s="21"/>
      <c r="P83" s="21"/>
      <c r="R83" s="21"/>
      <c r="S83" s="26"/>
    </row>
    <row r="84">
      <c r="M84" s="21"/>
      <c r="P84" s="21"/>
      <c r="R84" s="21"/>
      <c r="S84" s="26"/>
    </row>
    <row r="85">
      <c r="M85" s="21"/>
      <c r="P85" s="21"/>
      <c r="R85" s="21"/>
      <c r="S85" s="26"/>
    </row>
    <row r="86">
      <c r="M86" s="21"/>
      <c r="P86" s="21"/>
      <c r="R86" s="21"/>
      <c r="S86" s="26"/>
    </row>
    <row r="87">
      <c r="M87" s="21"/>
      <c r="P87" s="21"/>
      <c r="R87" s="21"/>
      <c r="S87" s="26"/>
    </row>
    <row r="88">
      <c r="M88" s="21"/>
      <c r="P88" s="21"/>
      <c r="R88" s="21"/>
      <c r="S88" s="26"/>
    </row>
    <row r="89">
      <c r="M89" s="21"/>
      <c r="P89" s="21"/>
      <c r="R89" s="21"/>
      <c r="S89" s="26"/>
    </row>
    <row r="90">
      <c r="M90" s="21"/>
      <c r="P90" s="21"/>
      <c r="R90" s="21"/>
      <c r="S90" s="26"/>
    </row>
    <row r="91">
      <c r="M91" s="21"/>
      <c r="P91" s="21"/>
      <c r="R91" s="21"/>
      <c r="S91" s="26"/>
    </row>
    <row r="92">
      <c r="M92" s="21"/>
      <c r="P92" s="21"/>
      <c r="R92" s="21"/>
      <c r="S92" s="26"/>
    </row>
    <row r="93">
      <c r="M93" s="21"/>
      <c r="P93" s="21"/>
      <c r="R93" s="21"/>
      <c r="S93" s="26"/>
    </row>
    <row r="94">
      <c r="M94" s="21"/>
      <c r="P94" s="21"/>
      <c r="R94" s="21"/>
      <c r="S94" s="26"/>
    </row>
    <row r="95">
      <c r="M95" s="21"/>
      <c r="P95" s="21"/>
      <c r="R95" s="21"/>
      <c r="S95" s="26"/>
    </row>
    <row r="96">
      <c r="M96" s="21"/>
      <c r="P96" s="21"/>
      <c r="R96" s="21"/>
      <c r="S96" s="26"/>
    </row>
    <row r="97">
      <c r="M97" s="21"/>
      <c r="P97" s="21"/>
      <c r="R97" s="21"/>
      <c r="S97" s="26"/>
    </row>
    <row r="98">
      <c r="M98" s="21"/>
      <c r="P98" s="21"/>
      <c r="R98" s="21"/>
      <c r="S98" s="26"/>
    </row>
    <row r="99">
      <c r="M99" s="21"/>
      <c r="P99" s="21"/>
      <c r="R99" s="21"/>
      <c r="S99" s="26"/>
    </row>
    <row r="100">
      <c r="M100" s="21"/>
      <c r="P100" s="21"/>
      <c r="R100" s="21"/>
      <c r="S100" s="26"/>
    </row>
    <row r="101">
      <c r="M101" s="21"/>
      <c r="P101" s="21"/>
      <c r="R101" s="21"/>
      <c r="S101" s="26"/>
    </row>
    <row r="102">
      <c r="M102" s="21"/>
      <c r="P102" s="21"/>
      <c r="R102" s="21"/>
      <c r="S102" s="26"/>
    </row>
    <row r="103">
      <c r="M103" s="21"/>
      <c r="P103" s="21"/>
      <c r="R103" s="21"/>
      <c r="S103" s="26"/>
    </row>
    <row r="104">
      <c r="M104" s="21"/>
      <c r="P104" s="21"/>
      <c r="R104" s="21"/>
      <c r="S104" s="26"/>
    </row>
    <row r="105">
      <c r="M105" s="21"/>
      <c r="P105" s="21"/>
      <c r="R105" s="21"/>
      <c r="S105" s="26"/>
    </row>
    <row r="106">
      <c r="M106" s="21"/>
      <c r="P106" s="21"/>
      <c r="R106" s="21"/>
      <c r="S106" s="26"/>
    </row>
    <row r="107">
      <c r="M107" s="21"/>
      <c r="P107" s="21"/>
      <c r="R107" s="21"/>
      <c r="S107" s="26"/>
    </row>
    <row r="108">
      <c r="M108" s="21"/>
      <c r="P108" s="21"/>
      <c r="R108" s="21"/>
      <c r="S108" s="26"/>
    </row>
    <row r="109">
      <c r="M109" s="21"/>
      <c r="P109" s="21"/>
      <c r="R109" s="21"/>
      <c r="S109" s="26"/>
    </row>
    <row r="110">
      <c r="M110" s="21"/>
      <c r="P110" s="21"/>
      <c r="R110" s="21"/>
      <c r="S110" s="26"/>
    </row>
    <row r="111">
      <c r="M111" s="21"/>
      <c r="P111" s="21"/>
      <c r="R111" s="21"/>
      <c r="S111" s="26"/>
    </row>
    <row r="112">
      <c r="M112" s="21"/>
      <c r="P112" s="21"/>
      <c r="R112" s="21"/>
      <c r="S112" s="26"/>
    </row>
    <row r="113">
      <c r="M113" s="21"/>
      <c r="P113" s="21"/>
      <c r="R113" s="21"/>
      <c r="S113" s="26"/>
    </row>
    <row r="114">
      <c r="M114" s="21"/>
      <c r="P114" s="21"/>
      <c r="R114" s="21"/>
      <c r="S114" s="26"/>
    </row>
    <row r="115">
      <c r="M115" s="21"/>
      <c r="P115" s="21"/>
      <c r="R115" s="21"/>
      <c r="S115" s="26"/>
    </row>
    <row r="116">
      <c r="M116" s="21"/>
      <c r="P116" s="21"/>
      <c r="R116" s="21"/>
      <c r="S116" s="26"/>
    </row>
    <row r="117">
      <c r="M117" s="21"/>
      <c r="P117" s="21"/>
      <c r="R117" s="21"/>
      <c r="S117" s="26"/>
    </row>
    <row r="118">
      <c r="M118" s="21"/>
      <c r="P118" s="21"/>
      <c r="R118" s="21"/>
      <c r="S118" s="26"/>
    </row>
    <row r="119">
      <c r="M119" s="21"/>
      <c r="P119" s="21"/>
      <c r="R119" s="21"/>
      <c r="S119" s="26"/>
    </row>
    <row r="120">
      <c r="M120" s="21"/>
      <c r="P120" s="21"/>
      <c r="R120" s="21"/>
      <c r="S120" s="26"/>
    </row>
    <row r="121">
      <c r="M121" s="21"/>
      <c r="P121" s="21"/>
      <c r="R121" s="21"/>
      <c r="S121" s="26"/>
    </row>
    <row r="122">
      <c r="M122" s="21"/>
      <c r="P122" s="21"/>
      <c r="R122" s="21"/>
      <c r="S122" s="26"/>
    </row>
    <row r="123">
      <c r="M123" s="21"/>
      <c r="P123" s="21"/>
      <c r="R123" s="21"/>
      <c r="S123" s="26"/>
    </row>
    <row r="124">
      <c r="M124" s="21"/>
      <c r="P124" s="21"/>
      <c r="R124" s="21"/>
      <c r="S124" s="26"/>
    </row>
    <row r="125">
      <c r="M125" s="21"/>
      <c r="P125" s="21"/>
      <c r="R125" s="21"/>
      <c r="S125" s="26"/>
    </row>
    <row r="126">
      <c r="M126" s="21"/>
      <c r="P126" s="21"/>
      <c r="R126" s="21"/>
      <c r="S126" s="26"/>
    </row>
    <row r="127">
      <c r="M127" s="21"/>
      <c r="P127" s="21"/>
      <c r="R127" s="21"/>
      <c r="S127" s="26"/>
    </row>
    <row r="128">
      <c r="M128" s="21"/>
      <c r="P128" s="21"/>
      <c r="R128" s="21"/>
      <c r="S128" s="26"/>
    </row>
    <row r="129">
      <c r="M129" s="21"/>
      <c r="P129" s="21"/>
      <c r="R129" s="21"/>
      <c r="S129" s="26"/>
    </row>
    <row r="130">
      <c r="M130" s="21"/>
      <c r="P130" s="21"/>
      <c r="R130" s="21"/>
      <c r="S130" s="26"/>
    </row>
    <row r="131">
      <c r="M131" s="21"/>
      <c r="P131" s="21"/>
      <c r="R131" s="21"/>
      <c r="S131" s="26"/>
    </row>
    <row r="132">
      <c r="M132" s="21"/>
      <c r="P132" s="21"/>
      <c r="R132" s="21"/>
      <c r="S132" s="26"/>
    </row>
    <row r="133">
      <c r="M133" s="21"/>
      <c r="P133" s="21"/>
      <c r="R133" s="21"/>
      <c r="S133" s="26"/>
    </row>
    <row r="134">
      <c r="M134" s="21"/>
      <c r="P134" s="21"/>
      <c r="R134" s="21"/>
      <c r="S134" s="26"/>
    </row>
    <row r="135">
      <c r="M135" s="21"/>
      <c r="P135" s="21"/>
      <c r="R135" s="21"/>
      <c r="S135" s="26"/>
    </row>
    <row r="136">
      <c r="M136" s="21"/>
      <c r="P136" s="21"/>
      <c r="R136" s="21"/>
      <c r="S136" s="26"/>
    </row>
    <row r="137">
      <c r="M137" s="21"/>
      <c r="P137" s="21"/>
      <c r="R137" s="21"/>
      <c r="S137" s="26"/>
    </row>
    <row r="138">
      <c r="M138" s="21"/>
      <c r="P138" s="21"/>
      <c r="R138" s="21"/>
      <c r="S138" s="26"/>
    </row>
    <row r="139">
      <c r="M139" s="21"/>
      <c r="P139" s="21"/>
      <c r="R139" s="21"/>
      <c r="S139" s="26"/>
    </row>
    <row r="140">
      <c r="M140" s="21"/>
      <c r="P140" s="21"/>
      <c r="R140" s="21"/>
      <c r="S140" s="26"/>
    </row>
    <row r="141">
      <c r="M141" s="21"/>
      <c r="P141" s="21"/>
      <c r="R141" s="21"/>
      <c r="S141" s="26"/>
    </row>
    <row r="142">
      <c r="M142" s="21"/>
      <c r="P142" s="21"/>
      <c r="R142" s="21"/>
      <c r="S142" s="26"/>
    </row>
    <row r="143">
      <c r="M143" s="21"/>
      <c r="P143" s="21"/>
      <c r="R143" s="21"/>
      <c r="S143" s="26"/>
    </row>
    <row r="144">
      <c r="M144" s="21"/>
      <c r="P144" s="21"/>
      <c r="R144" s="21"/>
      <c r="S144" s="26"/>
    </row>
    <row r="145">
      <c r="M145" s="21"/>
      <c r="P145" s="21"/>
      <c r="R145" s="21"/>
      <c r="S145" s="26"/>
    </row>
    <row r="146">
      <c r="M146" s="21"/>
      <c r="P146" s="21"/>
      <c r="R146" s="21"/>
      <c r="S146" s="26"/>
    </row>
    <row r="147">
      <c r="M147" s="21"/>
      <c r="P147" s="21"/>
      <c r="R147" s="21"/>
      <c r="S147" s="26"/>
    </row>
    <row r="148">
      <c r="M148" s="21"/>
      <c r="P148" s="21"/>
      <c r="R148" s="21"/>
      <c r="S148" s="26"/>
    </row>
    <row r="149">
      <c r="M149" s="21"/>
      <c r="P149" s="21"/>
      <c r="R149" s="21"/>
      <c r="S149" s="26"/>
    </row>
    <row r="150">
      <c r="M150" s="21"/>
      <c r="P150" s="21"/>
      <c r="R150" s="21"/>
      <c r="S150" s="26"/>
    </row>
    <row r="151">
      <c r="M151" s="21"/>
      <c r="P151" s="21"/>
      <c r="R151" s="21"/>
      <c r="S151" s="26"/>
    </row>
    <row r="152">
      <c r="M152" s="21"/>
      <c r="P152" s="21"/>
      <c r="R152" s="21"/>
      <c r="S152" s="26"/>
    </row>
    <row r="153">
      <c r="M153" s="21"/>
      <c r="P153" s="21"/>
      <c r="R153" s="21"/>
      <c r="S153" s="26"/>
    </row>
    <row r="154">
      <c r="M154" s="21"/>
      <c r="P154" s="21"/>
      <c r="R154" s="21"/>
      <c r="S154" s="26"/>
    </row>
    <row r="155">
      <c r="M155" s="21"/>
      <c r="P155" s="21"/>
      <c r="R155" s="21"/>
      <c r="S155" s="26"/>
    </row>
    <row r="156">
      <c r="M156" s="21"/>
      <c r="P156" s="21"/>
      <c r="R156" s="21"/>
      <c r="S156" s="26"/>
    </row>
    <row r="157">
      <c r="M157" s="21"/>
      <c r="P157" s="21"/>
      <c r="R157" s="21"/>
      <c r="S157" s="26"/>
    </row>
    <row r="158">
      <c r="M158" s="21"/>
      <c r="P158" s="21"/>
      <c r="R158" s="21"/>
      <c r="S158" s="26"/>
    </row>
    <row r="159">
      <c r="M159" s="21"/>
      <c r="P159" s="21"/>
      <c r="R159" s="21"/>
      <c r="S159" s="26"/>
    </row>
    <row r="160">
      <c r="M160" s="21"/>
      <c r="P160" s="21"/>
      <c r="R160" s="21"/>
      <c r="S160" s="26"/>
    </row>
    <row r="161">
      <c r="M161" s="21"/>
      <c r="P161" s="21"/>
      <c r="R161" s="21"/>
      <c r="S161" s="26"/>
    </row>
    <row r="162">
      <c r="M162" s="21"/>
      <c r="P162" s="21"/>
      <c r="R162" s="21"/>
      <c r="S162" s="26"/>
    </row>
    <row r="163">
      <c r="M163" s="21"/>
      <c r="P163" s="21"/>
      <c r="R163" s="21"/>
      <c r="S163" s="26"/>
    </row>
    <row r="164">
      <c r="M164" s="21"/>
      <c r="P164" s="21"/>
      <c r="R164" s="21"/>
      <c r="S164" s="26"/>
    </row>
    <row r="165">
      <c r="M165" s="21"/>
      <c r="P165" s="21"/>
      <c r="R165" s="21"/>
      <c r="S165" s="26"/>
    </row>
    <row r="166">
      <c r="M166" s="21"/>
      <c r="P166" s="21"/>
      <c r="R166" s="21"/>
      <c r="S166" s="26"/>
    </row>
    <row r="167">
      <c r="M167" s="21"/>
      <c r="P167" s="21"/>
      <c r="R167" s="21"/>
      <c r="S167" s="26"/>
    </row>
    <row r="168">
      <c r="M168" s="21"/>
      <c r="P168" s="21"/>
      <c r="R168" s="21"/>
      <c r="S168" s="26"/>
    </row>
    <row r="169">
      <c r="M169" s="21"/>
      <c r="P169" s="21"/>
      <c r="R169" s="21"/>
      <c r="S169" s="26"/>
    </row>
    <row r="170">
      <c r="M170" s="21"/>
      <c r="P170" s="21"/>
      <c r="R170" s="21"/>
      <c r="S170" s="26"/>
    </row>
    <row r="171">
      <c r="M171" s="21"/>
      <c r="P171" s="21"/>
      <c r="R171" s="21"/>
      <c r="S171" s="26"/>
    </row>
    <row r="172">
      <c r="M172" s="21"/>
      <c r="P172" s="21"/>
      <c r="R172" s="21"/>
      <c r="S172" s="26"/>
    </row>
    <row r="173">
      <c r="M173" s="21"/>
      <c r="P173" s="21"/>
      <c r="R173" s="21"/>
      <c r="S173" s="26"/>
    </row>
    <row r="174">
      <c r="M174" s="21"/>
      <c r="P174" s="21"/>
      <c r="R174" s="21"/>
      <c r="S174" s="26"/>
    </row>
    <row r="175">
      <c r="M175" s="21"/>
      <c r="P175" s="21"/>
      <c r="R175" s="21"/>
      <c r="S175" s="26"/>
    </row>
    <row r="176">
      <c r="M176" s="21"/>
      <c r="P176" s="21"/>
      <c r="R176" s="21"/>
      <c r="S176" s="26"/>
    </row>
    <row r="177">
      <c r="M177" s="21"/>
      <c r="P177" s="21"/>
      <c r="R177" s="21"/>
      <c r="S177" s="26"/>
    </row>
    <row r="178">
      <c r="M178" s="21"/>
      <c r="P178" s="21"/>
      <c r="R178" s="21"/>
      <c r="S178" s="26"/>
    </row>
    <row r="179">
      <c r="M179" s="21"/>
      <c r="P179" s="21"/>
      <c r="R179" s="21"/>
      <c r="S179" s="26"/>
    </row>
    <row r="180">
      <c r="M180" s="21"/>
      <c r="P180" s="21"/>
      <c r="R180" s="21"/>
      <c r="S180" s="26"/>
    </row>
    <row r="181">
      <c r="M181" s="21"/>
      <c r="P181" s="21"/>
      <c r="R181" s="21"/>
      <c r="S181" s="26"/>
    </row>
    <row r="182">
      <c r="M182" s="21"/>
      <c r="P182" s="21"/>
      <c r="R182" s="21"/>
      <c r="S182" s="26"/>
    </row>
    <row r="183">
      <c r="M183" s="21"/>
      <c r="P183" s="21"/>
      <c r="R183" s="21"/>
      <c r="S183" s="26"/>
    </row>
    <row r="184">
      <c r="M184" s="21"/>
      <c r="P184" s="21"/>
      <c r="R184" s="21"/>
      <c r="S184" s="26"/>
    </row>
    <row r="185">
      <c r="M185" s="21"/>
      <c r="P185" s="21"/>
      <c r="R185" s="21"/>
      <c r="S185" s="26"/>
    </row>
    <row r="186">
      <c r="M186" s="21"/>
      <c r="P186" s="21"/>
      <c r="R186" s="21"/>
      <c r="S186" s="26"/>
    </row>
    <row r="187">
      <c r="M187" s="21"/>
      <c r="P187" s="21"/>
      <c r="R187" s="21"/>
      <c r="S187" s="26"/>
    </row>
    <row r="188">
      <c r="M188" s="21"/>
      <c r="P188" s="21"/>
      <c r="R188" s="21"/>
      <c r="S188" s="26"/>
    </row>
    <row r="189">
      <c r="M189" s="21"/>
      <c r="P189" s="21"/>
      <c r="R189" s="21"/>
      <c r="S189" s="26"/>
    </row>
    <row r="190">
      <c r="M190" s="21"/>
      <c r="P190" s="21"/>
      <c r="R190" s="21"/>
      <c r="S190" s="26"/>
    </row>
    <row r="191">
      <c r="M191" s="21"/>
      <c r="P191" s="21"/>
      <c r="R191" s="21"/>
      <c r="S191" s="26"/>
    </row>
    <row r="192">
      <c r="M192" s="21"/>
      <c r="P192" s="21"/>
      <c r="R192" s="21"/>
      <c r="S192" s="26"/>
    </row>
    <row r="193">
      <c r="M193" s="21"/>
      <c r="P193" s="21"/>
      <c r="R193" s="21"/>
      <c r="S193" s="26"/>
    </row>
    <row r="194">
      <c r="M194" s="21"/>
      <c r="P194" s="21"/>
      <c r="R194" s="21"/>
      <c r="S194" s="26"/>
    </row>
    <row r="195">
      <c r="M195" s="21"/>
      <c r="P195" s="21"/>
      <c r="R195" s="21"/>
      <c r="S195" s="26"/>
    </row>
    <row r="196">
      <c r="M196" s="21"/>
      <c r="P196" s="21"/>
      <c r="R196" s="21"/>
      <c r="S196" s="26"/>
    </row>
    <row r="197">
      <c r="M197" s="21"/>
      <c r="P197" s="21"/>
      <c r="R197" s="21"/>
      <c r="S197" s="26"/>
    </row>
    <row r="198">
      <c r="M198" s="21"/>
      <c r="P198" s="21"/>
      <c r="R198" s="21"/>
      <c r="S198" s="26"/>
    </row>
    <row r="199">
      <c r="M199" s="21"/>
      <c r="P199" s="21"/>
      <c r="R199" s="21"/>
      <c r="S199" s="26"/>
    </row>
    <row r="200">
      <c r="M200" s="21"/>
      <c r="P200" s="21"/>
      <c r="R200" s="21"/>
      <c r="S200" s="26"/>
    </row>
    <row r="201">
      <c r="M201" s="21"/>
      <c r="P201" s="21"/>
      <c r="R201" s="21"/>
      <c r="S201" s="26"/>
    </row>
    <row r="202">
      <c r="M202" s="21"/>
      <c r="P202" s="21"/>
      <c r="R202" s="21"/>
      <c r="S202" s="26"/>
    </row>
    <row r="203">
      <c r="M203" s="21"/>
      <c r="P203" s="21"/>
      <c r="R203" s="21"/>
      <c r="S203" s="26"/>
    </row>
    <row r="204">
      <c r="M204" s="21"/>
      <c r="P204" s="21"/>
      <c r="R204" s="21"/>
      <c r="S204" s="26"/>
    </row>
    <row r="205">
      <c r="M205" s="21"/>
      <c r="P205" s="21"/>
      <c r="R205" s="21"/>
      <c r="S205" s="26"/>
    </row>
    <row r="206">
      <c r="M206" s="21"/>
      <c r="P206" s="21"/>
      <c r="R206" s="21"/>
      <c r="S206" s="26"/>
    </row>
    <row r="207">
      <c r="M207" s="21"/>
      <c r="P207" s="21"/>
      <c r="R207" s="21"/>
      <c r="S207" s="26"/>
    </row>
    <row r="208">
      <c r="M208" s="21"/>
      <c r="P208" s="21"/>
      <c r="R208" s="21"/>
      <c r="S208" s="26"/>
    </row>
    <row r="209">
      <c r="M209" s="21"/>
      <c r="P209" s="21"/>
      <c r="R209" s="21"/>
      <c r="S209" s="26"/>
    </row>
    <row r="210">
      <c r="M210" s="21"/>
      <c r="P210" s="21"/>
      <c r="R210" s="21"/>
      <c r="S210" s="26"/>
    </row>
    <row r="211">
      <c r="M211" s="21"/>
      <c r="P211" s="21"/>
      <c r="R211" s="21"/>
      <c r="S211" s="26"/>
    </row>
    <row r="212">
      <c r="M212" s="21"/>
      <c r="P212" s="21"/>
      <c r="R212" s="21"/>
      <c r="S212" s="26"/>
    </row>
    <row r="213">
      <c r="M213" s="21"/>
      <c r="P213" s="21"/>
      <c r="R213" s="21"/>
      <c r="S213" s="26"/>
    </row>
    <row r="214">
      <c r="M214" s="21"/>
      <c r="P214" s="21"/>
      <c r="R214" s="21"/>
      <c r="S214" s="26"/>
    </row>
    <row r="215">
      <c r="M215" s="21"/>
      <c r="P215" s="21"/>
      <c r="R215" s="21"/>
      <c r="S215" s="26"/>
    </row>
    <row r="216">
      <c r="M216" s="21"/>
      <c r="P216" s="21"/>
      <c r="R216" s="21"/>
      <c r="S216" s="26"/>
    </row>
    <row r="217">
      <c r="M217" s="21"/>
      <c r="P217" s="21"/>
      <c r="R217" s="21"/>
      <c r="S217" s="26"/>
    </row>
    <row r="218">
      <c r="M218" s="21"/>
      <c r="P218" s="21"/>
      <c r="R218" s="21"/>
      <c r="S218" s="26"/>
    </row>
    <row r="219">
      <c r="M219" s="21"/>
      <c r="P219" s="21"/>
      <c r="R219" s="21"/>
      <c r="S219" s="26"/>
    </row>
    <row r="220">
      <c r="M220" s="21"/>
      <c r="P220" s="21"/>
      <c r="R220" s="21"/>
      <c r="S220" s="26"/>
    </row>
    <row r="221">
      <c r="M221" s="21"/>
      <c r="P221" s="21"/>
      <c r="R221" s="21"/>
      <c r="S221" s="26"/>
    </row>
    <row r="222">
      <c r="M222" s="21"/>
      <c r="P222" s="21"/>
      <c r="R222" s="21"/>
      <c r="S222" s="26"/>
    </row>
    <row r="223">
      <c r="M223" s="21"/>
      <c r="P223" s="21"/>
      <c r="R223" s="21"/>
      <c r="S223" s="26"/>
    </row>
    <row r="224">
      <c r="M224" s="21"/>
      <c r="P224" s="21"/>
      <c r="R224" s="21"/>
      <c r="S224" s="26"/>
    </row>
    <row r="225">
      <c r="M225" s="21"/>
      <c r="P225" s="21"/>
      <c r="R225" s="21"/>
      <c r="S225" s="26"/>
    </row>
    <row r="226">
      <c r="M226" s="21"/>
      <c r="P226" s="21"/>
      <c r="R226" s="21"/>
      <c r="S226" s="26"/>
    </row>
    <row r="227">
      <c r="M227" s="21"/>
      <c r="P227" s="21"/>
      <c r="R227" s="21"/>
      <c r="S227" s="26"/>
    </row>
    <row r="228">
      <c r="M228" s="21"/>
      <c r="P228" s="21"/>
      <c r="R228" s="21"/>
      <c r="S228" s="26"/>
    </row>
    <row r="229">
      <c r="M229" s="21"/>
      <c r="P229" s="21"/>
      <c r="R229" s="21"/>
      <c r="S229" s="26"/>
    </row>
    <row r="230">
      <c r="M230" s="21"/>
      <c r="P230" s="21"/>
      <c r="R230" s="21"/>
      <c r="S230" s="26"/>
    </row>
    <row r="231">
      <c r="M231" s="21"/>
      <c r="P231" s="21"/>
      <c r="R231" s="21"/>
      <c r="S231" s="26"/>
    </row>
    <row r="232">
      <c r="M232" s="21"/>
      <c r="P232" s="21"/>
      <c r="R232" s="21"/>
      <c r="S232" s="26"/>
    </row>
    <row r="233">
      <c r="M233" s="21"/>
      <c r="P233" s="21"/>
      <c r="R233" s="21"/>
      <c r="S233" s="26"/>
    </row>
    <row r="234">
      <c r="M234" s="21"/>
      <c r="P234" s="21"/>
      <c r="R234" s="21"/>
      <c r="S234" s="26"/>
    </row>
    <row r="235">
      <c r="M235" s="21"/>
      <c r="P235" s="21"/>
      <c r="R235" s="21"/>
      <c r="S235" s="26"/>
    </row>
    <row r="236">
      <c r="M236" s="21"/>
      <c r="P236" s="21"/>
      <c r="R236" s="21"/>
      <c r="S236" s="26"/>
    </row>
    <row r="237">
      <c r="M237" s="21"/>
      <c r="P237" s="21"/>
      <c r="R237" s="21"/>
      <c r="S237" s="26"/>
    </row>
    <row r="238">
      <c r="M238" s="21"/>
      <c r="P238" s="21"/>
      <c r="R238" s="21"/>
      <c r="S238" s="26"/>
    </row>
    <row r="239">
      <c r="M239" s="21"/>
      <c r="P239" s="21"/>
      <c r="R239" s="21"/>
      <c r="S239" s="26"/>
    </row>
    <row r="240">
      <c r="M240" s="21"/>
      <c r="P240" s="21"/>
      <c r="R240" s="21"/>
      <c r="S240" s="26"/>
    </row>
    <row r="241">
      <c r="M241" s="21"/>
      <c r="P241" s="21"/>
      <c r="R241" s="21"/>
      <c r="S241" s="26"/>
    </row>
    <row r="242">
      <c r="M242" s="21"/>
      <c r="P242" s="21"/>
      <c r="R242" s="21"/>
      <c r="S242" s="26"/>
    </row>
    <row r="243">
      <c r="M243" s="21"/>
      <c r="P243" s="21"/>
      <c r="R243" s="21"/>
      <c r="S243" s="26"/>
    </row>
    <row r="244">
      <c r="M244" s="21"/>
      <c r="P244" s="21"/>
      <c r="R244" s="21"/>
      <c r="S244" s="26"/>
    </row>
    <row r="245">
      <c r="M245" s="21"/>
      <c r="P245" s="21"/>
      <c r="R245" s="21"/>
      <c r="S245" s="26"/>
    </row>
    <row r="246">
      <c r="M246" s="21"/>
      <c r="P246" s="21"/>
      <c r="R246" s="21"/>
      <c r="S246" s="26"/>
    </row>
    <row r="247">
      <c r="M247" s="21"/>
      <c r="P247" s="21"/>
      <c r="R247" s="21"/>
      <c r="S247" s="26"/>
    </row>
    <row r="248">
      <c r="M248" s="21"/>
      <c r="P248" s="21"/>
      <c r="R248" s="21"/>
      <c r="S248" s="26"/>
    </row>
    <row r="249">
      <c r="M249" s="21"/>
      <c r="P249" s="21"/>
      <c r="R249" s="21"/>
      <c r="S249" s="26"/>
    </row>
    <row r="250">
      <c r="M250" s="21"/>
      <c r="P250" s="21"/>
      <c r="R250" s="21"/>
      <c r="S250" s="26"/>
    </row>
    <row r="251">
      <c r="M251" s="21"/>
      <c r="P251" s="21"/>
      <c r="R251" s="21"/>
      <c r="S251" s="26"/>
    </row>
    <row r="252">
      <c r="M252" s="21"/>
      <c r="P252" s="21"/>
      <c r="R252" s="21"/>
      <c r="S252" s="26"/>
    </row>
    <row r="253">
      <c r="M253" s="21"/>
      <c r="P253" s="21"/>
      <c r="R253" s="21"/>
      <c r="S253" s="26"/>
    </row>
    <row r="254">
      <c r="M254" s="21"/>
      <c r="P254" s="21"/>
      <c r="R254" s="21"/>
      <c r="S254" s="26"/>
    </row>
    <row r="255">
      <c r="M255" s="21"/>
      <c r="P255" s="21"/>
      <c r="R255" s="21"/>
      <c r="S255" s="26"/>
    </row>
    <row r="256">
      <c r="M256" s="21"/>
      <c r="P256" s="21"/>
      <c r="R256" s="21"/>
      <c r="S256" s="26"/>
    </row>
    <row r="257">
      <c r="M257" s="21"/>
      <c r="P257" s="21"/>
      <c r="R257" s="21"/>
      <c r="S257" s="26"/>
    </row>
    <row r="258">
      <c r="M258" s="21"/>
      <c r="P258" s="21"/>
      <c r="R258" s="21"/>
      <c r="S258" s="26"/>
    </row>
    <row r="259">
      <c r="M259" s="21"/>
      <c r="P259" s="21"/>
      <c r="R259" s="21"/>
      <c r="S259" s="26"/>
    </row>
    <row r="260">
      <c r="M260" s="21"/>
      <c r="P260" s="21"/>
      <c r="R260" s="21"/>
      <c r="S260" s="26"/>
    </row>
    <row r="261">
      <c r="M261" s="21"/>
      <c r="P261" s="21"/>
      <c r="R261" s="21"/>
      <c r="S261" s="26"/>
    </row>
    <row r="262">
      <c r="M262" s="21"/>
      <c r="P262" s="21"/>
      <c r="R262" s="21"/>
      <c r="S262" s="26"/>
    </row>
    <row r="263">
      <c r="M263" s="21"/>
      <c r="P263" s="21"/>
      <c r="R263" s="21"/>
      <c r="S263" s="26"/>
    </row>
    <row r="264">
      <c r="M264" s="21"/>
      <c r="P264" s="21"/>
      <c r="R264" s="21"/>
      <c r="S264" s="26"/>
    </row>
    <row r="265">
      <c r="M265" s="21"/>
      <c r="P265" s="21"/>
      <c r="R265" s="21"/>
      <c r="S265" s="26"/>
    </row>
    <row r="266">
      <c r="M266" s="21"/>
      <c r="P266" s="21"/>
      <c r="R266" s="21"/>
      <c r="S266" s="26"/>
    </row>
    <row r="267">
      <c r="M267" s="21"/>
      <c r="P267" s="21"/>
      <c r="R267" s="21"/>
      <c r="S267" s="26"/>
    </row>
    <row r="268">
      <c r="M268" s="21"/>
      <c r="P268" s="21"/>
      <c r="R268" s="21"/>
      <c r="S268" s="26"/>
    </row>
    <row r="269">
      <c r="M269" s="21"/>
      <c r="P269" s="21"/>
      <c r="R269" s="21"/>
      <c r="S269" s="26"/>
    </row>
    <row r="270">
      <c r="M270" s="21"/>
      <c r="P270" s="21"/>
      <c r="R270" s="21"/>
      <c r="S270" s="26"/>
    </row>
    <row r="271">
      <c r="M271" s="21"/>
      <c r="P271" s="21"/>
      <c r="R271" s="21"/>
      <c r="S271" s="26"/>
    </row>
    <row r="272">
      <c r="M272" s="21"/>
      <c r="P272" s="21"/>
      <c r="R272" s="21"/>
      <c r="S272" s="26"/>
    </row>
    <row r="273">
      <c r="M273" s="21"/>
      <c r="P273" s="21"/>
      <c r="R273" s="21"/>
      <c r="S273" s="26"/>
    </row>
    <row r="274">
      <c r="M274" s="21"/>
      <c r="P274" s="21"/>
      <c r="R274" s="21"/>
      <c r="S274" s="26"/>
    </row>
    <row r="275">
      <c r="M275" s="21"/>
      <c r="P275" s="21"/>
      <c r="R275" s="21"/>
      <c r="S275" s="26"/>
    </row>
    <row r="276">
      <c r="M276" s="21"/>
      <c r="P276" s="21"/>
      <c r="R276" s="21"/>
      <c r="S276" s="26"/>
    </row>
    <row r="277">
      <c r="M277" s="21"/>
      <c r="P277" s="21"/>
      <c r="R277" s="21"/>
      <c r="S277" s="26"/>
    </row>
    <row r="278">
      <c r="M278" s="21"/>
      <c r="P278" s="21"/>
      <c r="R278" s="21"/>
      <c r="S278" s="26"/>
    </row>
    <row r="279">
      <c r="M279" s="21"/>
      <c r="P279" s="21"/>
      <c r="R279" s="21"/>
      <c r="S279" s="26"/>
    </row>
    <row r="280">
      <c r="M280" s="21"/>
      <c r="P280" s="21"/>
      <c r="R280" s="21"/>
      <c r="S280" s="26"/>
    </row>
    <row r="281">
      <c r="M281" s="21"/>
      <c r="P281" s="21"/>
      <c r="R281" s="21"/>
      <c r="S281" s="26"/>
    </row>
    <row r="282">
      <c r="M282" s="21"/>
      <c r="P282" s="21"/>
      <c r="R282" s="21"/>
      <c r="S282" s="26"/>
    </row>
    <row r="283">
      <c r="M283" s="21"/>
      <c r="P283" s="21"/>
      <c r="R283" s="21"/>
      <c r="S283" s="26"/>
    </row>
    <row r="284">
      <c r="M284" s="21"/>
      <c r="P284" s="21"/>
      <c r="R284" s="21"/>
      <c r="S284" s="26"/>
    </row>
    <row r="285">
      <c r="M285" s="21"/>
      <c r="P285" s="21"/>
      <c r="R285" s="21"/>
      <c r="S285" s="26"/>
    </row>
    <row r="286">
      <c r="M286" s="21"/>
      <c r="P286" s="21"/>
      <c r="R286" s="21"/>
      <c r="S286" s="26"/>
    </row>
    <row r="287">
      <c r="M287" s="21"/>
      <c r="P287" s="21"/>
      <c r="R287" s="21"/>
      <c r="S287" s="26"/>
    </row>
    <row r="288">
      <c r="M288" s="21"/>
      <c r="P288" s="21"/>
      <c r="R288" s="21"/>
      <c r="S288" s="26"/>
    </row>
    <row r="289">
      <c r="M289" s="21"/>
      <c r="P289" s="21"/>
      <c r="R289" s="21"/>
      <c r="S289" s="26"/>
    </row>
    <row r="290">
      <c r="M290" s="21"/>
      <c r="P290" s="21"/>
      <c r="R290" s="21"/>
      <c r="S290" s="26"/>
    </row>
    <row r="291">
      <c r="M291" s="21"/>
      <c r="P291" s="21"/>
      <c r="R291" s="21"/>
      <c r="S291" s="26"/>
    </row>
    <row r="292">
      <c r="M292" s="21"/>
      <c r="P292" s="21"/>
      <c r="R292" s="21"/>
      <c r="S292" s="26"/>
    </row>
    <row r="293">
      <c r="M293" s="21"/>
      <c r="P293" s="21"/>
      <c r="R293" s="21"/>
      <c r="S293" s="26"/>
    </row>
    <row r="294">
      <c r="M294" s="21"/>
      <c r="P294" s="21"/>
      <c r="R294" s="21"/>
      <c r="S294" s="26"/>
    </row>
    <row r="295">
      <c r="M295" s="21"/>
      <c r="P295" s="21"/>
      <c r="R295" s="21"/>
      <c r="S295" s="26"/>
    </row>
    <row r="296">
      <c r="M296" s="21"/>
      <c r="P296" s="21"/>
      <c r="R296" s="21"/>
      <c r="S296" s="26"/>
    </row>
    <row r="297">
      <c r="M297" s="21"/>
      <c r="P297" s="21"/>
      <c r="R297" s="21"/>
      <c r="S297" s="26"/>
    </row>
    <row r="298">
      <c r="M298" s="21"/>
      <c r="P298" s="21"/>
      <c r="R298" s="21"/>
      <c r="S298" s="26"/>
    </row>
    <row r="299">
      <c r="M299" s="21"/>
      <c r="P299" s="21"/>
      <c r="R299" s="21"/>
      <c r="S299" s="26"/>
    </row>
    <row r="300">
      <c r="M300" s="21"/>
      <c r="P300" s="21"/>
      <c r="R300" s="21"/>
      <c r="S300" s="26"/>
    </row>
    <row r="301">
      <c r="M301" s="21"/>
      <c r="P301" s="21"/>
      <c r="R301" s="21"/>
      <c r="S301" s="26"/>
    </row>
    <row r="302">
      <c r="M302" s="21"/>
      <c r="P302" s="21"/>
      <c r="R302" s="21"/>
      <c r="S302" s="26"/>
    </row>
    <row r="303">
      <c r="M303" s="21"/>
      <c r="P303" s="21"/>
      <c r="R303" s="21"/>
      <c r="S303" s="26"/>
    </row>
    <row r="304">
      <c r="M304" s="21"/>
      <c r="P304" s="21"/>
      <c r="R304" s="21"/>
      <c r="S304" s="26"/>
    </row>
    <row r="305">
      <c r="M305" s="21"/>
      <c r="P305" s="21"/>
      <c r="R305" s="21"/>
      <c r="S305" s="26"/>
    </row>
    <row r="306">
      <c r="M306" s="21"/>
      <c r="P306" s="21"/>
      <c r="R306" s="21"/>
      <c r="S306" s="26"/>
    </row>
    <row r="307">
      <c r="M307" s="21"/>
      <c r="P307" s="21"/>
      <c r="R307" s="21"/>
      <c r="S307" s="26"/>
    </row>
    <row r="308">
      <c r="M308" s="21"/>
      <c r="P308" s="21"/>
      <c r="R308" s="21"/>
      <c r="S308" s="26"/>
    </row>
    <row r="309">
      <c r="M309" s="21"/>
      <c r="P309" s="21"/>
      <c r="R309" s="21"/>
      <c r="S309" s="26"/>
    </row>
    <row r="310">
      <c r="M310" s="21"/>
      <c r="P310" s="21"/>
      <c r="R310" s="21"/>
      <c r="S310" s="26"/>
    </row>
    <row r="311">
      <c r="M311" s="21"/>
      <c r="P311" s="21"/>
      <c r="R311" s="21"/>
      <c r="S311" s="26"/>
    </row>
    <row r="312">
      <c r="M312" s="21"/>
      <c r="P312" s="21"/>
      <c r="R312" s="21"/>
      <c r="S312" s="26"/>
    </row>
    <row r="313">
      <c r="M313" s="21"/>
      <c r="P313" s="21"/>
      <c r="R313" s="21"/>
      <c r="S313" s="26"/>
    </row>
    <row r="314">
      <c r="M314" s="21"/>
      <c r="P314" s="21"/>
      <c r="R314" s="21"/>
      <c r="S314" s="26"/>
    </row>
    <row r="315">
      <c r="M315" s="21"/>
      <c r="P315" s="21"/>
      <c r="R315" s="21"/>
      <c r="S315" s="26"/>
    </row>
    <row r="316">
      <c r="M316" s="21"/>
      <c r="P316" s="21"/>
      <c r="R316" s="21"/>
      <c r="S316" s="26"/>
    </row>
    <row r="317">
      <c r="M317" s="21"/>
      <c r="P317" s="21"/>
      <c r="R317" s="21"/>
      <c r="S317" s="26"/>
    </row>
    <row r="318">
      <c r="M318" s="21"/>
      <c r="P318" s="21"/>
      <c r="R318" s="21"/>
      <c r="S318" s="26"/>
    </row>
    <row r="319">
      <c r="M319" s="21"/>
      <c r="P319" s="21"/>
      <c r="R319" s="21"/>
      <c r="S319" s="26"/>
    </row>
    <row r="320">
      <c r="M320" s="21"/>
      <c r="P320" s="21"/>
      <c r="R320" s="21"/>
      <c r="S320" s="26"/>
    </row>
    <row r="321">
      <c r="M321" s="21"/>
      <c r="P321" s="21"/>
      <c r="R321" s="21"/>
      <c r="S321" s="26"/>
    </row>
    <row r="322">
      <c r="M322" s="21"/>
      <c r="P322" s="21"/>
      <c r="R322" s="21"/>
      <c r="S322" s="26"/>
    </row>
    <row r="323">
      <c r="M323" s="21"/>
      <c r="P323" s="21"/>
      <c r="R323" s="21"/>
      <c r="S323" s="26"/>
    </row>
    <row r="324">
      <c r="M324" s="21"/>
      <c r="P324" s="21"/>
      <c r="R324" s="21"/>
      <c r="S324" s="26"/>
    </row>
    <row r="325">
      <c r="M325" s="21"/>
      <c r="P325" s="21"/>
      <c r="R325" s="21"/>
      <c r="S325" s="26"/>
    </row>
    <row r="326">
      <c r="M326" s="21"/>
      <c r="P326" s="21"/>
      <c r="R326" s="21"/>
      <c r="S326" s="26"/>
    </row>
    <row r="327">
      <c r="M327" s="21"/>
      <c r="P327" s="21"/>
      <c r="R327" s="21"/>
      <c r="S327" s="26"/>
    </row>
    <row r="328">
      <c r="M328" s="21"/>
      <c r="P328" s="21"/>
      <c r="R328" s="21"/>
      <c r="S328" s="26"/>
    </row>
    <row r="329">
      <c r="M329" s="21"/>
      <c r="P329" s="21"/>
      <c r="R329" s="21"/>
      <c r="S329" s="26"/>
    </row>
    <row r="330">
      <c r="M330" s="21"/>
      <c r="P330" s="21"/>
      <c r="R330" s="21"/>
      <c r="S330" s="26"/>
    </row>
    <row r="331">
      <c r="M331" s="21"/>
      <c r="P331" s="21"/>
      <c r="R331" s="21"/>
      <c r="S331" s="26"/>
    </row>
    <row r="332">
      <c r="M332" s="21"/>
      <c r="P332" s="21"/>
      <c r="R332" s="21"/>
      <c r="S332" s="26"/>
    </row>
    <row r="333">
      <c r="M333" s="21"/>
      <c r="P333" s="21"/>
      <c r="R333" s="21"/>
      <c r="S333" s="26"/>
    </row>
    <row r="334">
      <c r="M334" s="21"/>
      <c r="P334" s="21"/>
      <c r="R334" s="21"/>
      <c r="S334" s="26"/>
    </row>
    <row r="335">
      <c r="M335" s="21"/>
      <c r="P335" s="21"/>
      <c r="R335" s="21"/>
      <c r="S335" s="26"/>
    </row>
    <row r="336">
      <c r="M336" s="21"/>
      <c r="P336" s="21"/>
      <c r="R336" s="21"/>
      <c r="S336" s="26"/>
    </row>
    <row r="337">
      <c r="M337" s="21"/>
      <c r="P337" s="21"/>
      <c r="R337" s="21"/>
      <c r="S337" s="26"/>
    </row>
    <row r="338">
      <c r="M338" s="21"/>
      <c r="P338" s="21"/>
      <c r="R338" s="21"/>
      <c r="S338" s="26"/>
    </row>
    <row r="339">
      <c r="M339" s="21"/>
      <c r="P339" s="21"/>
      <c r="R339" s="21"/>
      <c r="S339" s="26"/>
    </row>
    <row r="340">
      <c r="M340" s="21"/>
      <c r="P340" s="21"/>
      <c r="R340" s="21"/>
      <c r="S340" s="26"/>
    </row>
    <row r="341">
      <c r="M341" s="21"/>
      <c r="P341" s="21"/>
      <c r="R341" s="21"/>
      <c r="S341" s="26"/>
    </row>
    <row r="342">
      <c r="M342" s="21"/>
      <c r="P342" s="21"/>
      <c r="R342" s="21"/>
      <c r="S342" s="26"/>
    </row>
    <row r="343">
      <c r="M343" s="21"/>
      <c r="P343" s="21"/>
      <c r="R343" s="21"/>
      <c r="S343" s="26"/>
    </row>
    <row r="344">
      <c r="M344" s="21"/>
      <c r="P344" s="21"/>
      <c r="R344" s="21"/>
      <c r="S344" s="26"/>
    </row>
    <row r="345">
      <c r="M345" s="21"/>
      <c r="P345" s="21"/>
      <c r="R345" s="21"/>
      <c r="S345" s="26"/>
    </row>
    <row r="346">
      <c r="M346" s="21"/>
      <c r="P346" s="21"/>
      <c r="R346" s="21"/>
      <c r="S346" s="26"/>
    </row>
    <row r="347">
      <c r="M347" s="21"/>
      <c r="P347" s="21"/>
      <c r="R347" s="21"/>
      <c r="S347" s="26"/>
    </row>
    <row r="348">
      <c r="M348" s="21"/>
      <c r="P348" s="21"/>
      <c r="R348" s="21"/>
      <c r="S348" s="26"/>
    </row>
    <row r="349">
      <c r="M349" s="21"/>
      <c r="P349" s="21"/>
      <c r="R349" s="21"/>
      <c r="S349" s="26"/>
    </row>
    <row r="350">
      <c r="M350" s="21"/>
      <c r="P350" s="21"/>
      <c r="R350" s="21"/>
      <c r="S350" s="26"/>
    </row>
    <row r="351">
      <c r="M351" s="21"/>
      <c r="P351" s="21"/>
      <c r="R351" s="21"/>
      <c r="S351" s="26"/>
    </row>
    <row r="352">
      <c r="M352" s="21"/>
      <c r="P352" s="21"/>
      <c r="R352" s="21"/>
      <c r="S352" s="26"/>
    </row>
    <row r="353">
      <c r="M353" s="21"/>
      <c r="P353" s="21"/>
      <c r="R353" s="21"/>
      <c r="S353" s="26"/>
    </row>
    <row r="354">
      <c r="M354" s="21"/>
      <c r="P354" s="21"/>
      <c r="R354" s="21"/>
      <c r="S354" s="26"/>
    </row>
    <row r="355">
      <c r="M355" s="21"/>
      <c r="P355" s="21"/>
      <c r="R355" s="21"/>
      <c r="S355" s="26"/>
    </row>
    <row r="356">
      <c r="M356" s="21"/>
      <c r="P356" s="21"/>
      <c r="R356" s="21"/>
      <c r="S356" s="26"/>
    </row>
    <row r="357">
      <c r="M357" s="21"/>
      <c r="P357" s="21"/>
      <c r="R357" s="21"/>
      <c r="S357" s="26"/>
    </row>
    <row r="358">
      <c r="M358" s="21"/>
      <c r="P358" s="21"/>
      <c r="R358" s="21"/>
      <c r="S358" s="26"/>
    </row>
    <row r="359">
      <c r="M359" s="21"/>
      <c r="P359" s="21"/>
      <c r="R359" s="21"/>
      <c r="S359" s="26"/>
    </row>
    <row r="360">
      <c r="M360" s="21"/>
      <c r="P360" s="21"/>
      <c r="R360" s="21"/>
      <c r="S360" s="26"/>
    </row>
    <row r="361">
      <c r="M361" s="21"/>
      <c r="P361" s="21"/>
      <c r="R361" s="21"/>
      <c r="S361" s="26"/>
    </row>
    <row r="362">
      <c r="M362" s="21"/>
      <c r="P362" s="21"/>
      <c r="R362" s="21"/>
      <c r="S362" s="26"/>
    </row>
    <row r="363">
      <c r="M363" s="21"/>
      <c r="P363" s="21"/>
      <c r="R363" s="21"/>
      <c r="S363" s="26"/>
    </row>
    <row r="364">
      <c r="M364" s="21"/>
      <c r="P364" s="21"/>
      <c r="R364" s="21"/>
      <c r="S364" s="26"/>
    </row>
    <row r="365">
      <c r="M365" s="21"/>
      <c r="P365" s="21"/>
      <c r="R365" s="21"/>
      <c r="S365" s="26"/>
    </row>
    <row r="366">
      <c r="M366" s="21"/>
      <c r="P366" s="21"/>
      <c r="R366" s="21"/>
      <c r="S366" s="26"/>
    </row>
    <row r="367">
      <c r="M367" s="21"/>
      <c r="P367" s="21"/>
      <c r="R367" s="21"/>
      <c r="S367" s="26"/>
    </row>
    <row r="368">
      <c r="M368" s="21"/>
      <c r="P368" s="21"/>
      <c r="R368" s="21"/>
      <c r="S368" s="26"/>
    </row>
    <row r="369">
      <c r="M369" s="21"/>
      <c r="P369" s="21"/>
      <c r="R369" s="21"/>
      <c r="S369" s="26"/>
    </row>
    <row r="370">
      <c r="M370" s="21"/>
      <c r="P370" s="21"/>
      <c r="R370" s="21"/>
      <c r="S370" s="26"/>
    </row>
    <row r="371">
      <c r="M371" s="21"/>
      <c r="P371" s="21"/>
      <c r="R371" s="21"/>
      <c r="S371" s="26"/>
    </row>
    <row r="372">
      <c r="M372" s="21"/>
      <c r="P372" s="21"/>
      <c r="R372" s="21"/>
      <c r="S372" s="26"/>
    </row>
    <row r="373">
      <c r="M373" s="21"/>
      <c r="P373" s="21"/>
      <c r="R373" s="21"/>
      <c r="S373" s="26"/>
    </row>
    <row r="374">
      <c r="M374" s="21"/>
      <c r="P374" s="21"/>
      <c r="R374" s="21"/>
      <c r="S374" s="26"/>
    </row>
    <row r="375">
      <c r="M375" s="21"/>
      <c r="P375" s="21"/>
      <c r="R375" s="21"/>
      <c r="S375" s="26"/>
    </row>
    <row r="376">
      <c r="M376" s="21"/>
      <c r="P376" s="21"/>
      <c r="R376" s="21"/>
      <c r="S376" s="26"/>
    </row>
    <row r="377">
      <c r="M377" s="21"/>
      <c r="P377" s="21"/>
      <c r="R377" s="21"/>
      <c r="S377" s="26"/>
    </row>
    <row r="378">
      <c r="M378" s="21"/>
      <c r="P378" s="21"/>
      <c r="R378" s="21"/>
      <c r="S378" s="26"/>
    </row>
    <row r="379">
      <c r="M379" s="21"/>
      <c r="P379" s="21"/>
      <c r="R379" s="21"/>
      <c r="S379" s="26"/>
    </row>
    <row r="380">
      <c r="M380" s="21"/>
      <c r="P380" s="21"/>
      <c r="R380" s="21"/>
      <c r="S380" s="26"/>
    </row>
    <row r="381">
      <c r="M381" s="21"/>
      <c r="P381" s="21"/>
      <c r="R381" s="21"/>
      <c r="S381" s="26"/>
    </row>
    <row r="382">
      <c r="M382" s="21"/>
      <c r="P382" s="21"/>
      <c r="R382" s="21"/>
      <c r="S382" s="26"/>
    </row>
    <row r="383">
      <c r="M383" s="21"/>
      <c r="P383" s="21"/>
      <c r="R383" s="21"/>
      <c r="S383" s="26"/>
    </row>
    <row r="384">
      <c r="M384" s="21"/>
      <c r="P384" s="21"/>
      <c r="R384" s="21"/>
      <c r="S384" s="26"/>
    </row>
    <row r="385">
      <c r="M385" s="21"/>
      <c r="P385" s="21"/>
      <c r="R385" s="21"/>
      <c r="S385" s="26"/>
    </row>
    <row r="386">
      <c r="M386" s="21"/>
      <c r="P386" s="21"/>
      <c r="R386" s="21"/>
      <c r="S386" s="26"/>
    </row>
    <row r="387">
      <c r="M387" s="21"/>
      <c r="P387" s="21"/>
      <c r="R387" s="21"/>
      <c r="S387" s="26"/>
    </row>
    <row r="388">
      <c r="M388" s="21"/>
      <c r="P388" s="21"/>
      <c r="R388" s="21"/>
      <c r="S388" s="26"/>
    </row>
    <row r="389">
      <c r="M389" s="21"/>
      <c r="P389" s="21"/>
      <c r="R389" s="21"/>
      <c r="S389" s="26"/>
    </row>
    <row r="390">
      <c r="M390" s="21"/>
      <c r="P390" s="21"/>
      <c r="R390" s="21"/>
      <c r="S390" s="26"/>
    </row>
    <row r="391">
      <c r="M391" s="21"/>
      <c r="P391" s="21"/>
      <c r="R391" s="21"/>
      <c r="S391" s="26"/>
    </row>
    <row r="392">
      <c r="M392" s="21"/>
      <c r="P392" s="21"/>
      <c r="R392" s="21"/>
      <c r="S392" s="26"/>
    </row>
    <row r="393">
      <c r="M393" s="21"/>
      <c r="P393" s="21"/>
      <c r="R393" s="21"/>
      <c r="S393" s="26"/>
    </row>
    <row r="394">
      <c r="M394" s="21"/>
      <c r="P394" s="21"/>
      <c r="R394" s="21"/>
      <c r="S394" s="26"/>
    </row>
    <row r="395">
      <c r="M395" s="21"/>
      <c r="P395" s="21"/>
      <c r="R395" s="21"/>
      <c r="S395" s="26"/>
    </row>
    <row r="396">
      <c r="M396" s="21"/>
      <c r="P396" s="21"/>
      <c r="R396" s="21"/>
      <c r="S396" s="26"/>
    </row>
    <row r="397">
      <c r="M397" s="21"/>
      <c r="P397" s="21"/>
      <c r="R397" s="21"/>
      <c r="S397" s="26"/>
    </row>
    <row r="398">
      <c r="M398" s="21"/>
      <c r="P398" s="21"/>
      <c r="R398" s="21"/>
      <c r="S398" s="26"/>
    </row>
    <row r="399">
      <c r="M399" s="21"/>
      <c r="P399" s="21"/>
      <c r="R399" s="21"/>
      <c r="S399" s="26"/>
    </row>
    <row r="400">
      <c r="M400" s="21"/>
      <c r="P400" s="21"/>
      <c r="R400" s="21"/>
      <c r="S400" s="26"/>
    </row>
    <row r="401">
      <c r="M401" s="21"/>
      <c r="P401" s="21"/>
      <c r="R401" s="21"/>
      <c r="S401" s="26"/>
    </row>
    <row r="402">
      <c r="M402" s="21"/>
      <c r="P402" s="21"/>
      <c r="R402" s="21"/>
      <c r="S402" s="26"/>
    </row>
    <row r="403">
      <c r="M403" s="21"/>
      <c r="P403" s="21"/>
      <c r="R403" s="21"/>
      <c r="S403" s="26"/>
    </row>
    <row r="404">
      <c r="M404" s="21"/>
      <c r="P404" s="21"/>
      <c r="R404" s="21"/>
      <c r="S404" s="26"/>
    </row>
    <row r="405">
      <c r="M405" s="21"/>
      <c r="P405" s="21"/>
      <c r="R405" s="21"/>
      <c r="S405" s="26"/>
    </row>
    <row r="406">
      <c r="M406" s="21"/>
      <c r="P406" s="21"/>
      <c r="R406" s="21"/>
      <c r="S406" s="26"/>
    </row>
    <row r="407">
      <c r="M407" s="21"/>
      <c r="P407" s="21"/>
      <c r="R407" s="21"/>
      <c r="S407" s="26"/>
    </row>
    <row r="408">
      <c r="M408" s="21"/>
      <c r="P408" s="21"/>
      <c r="R408" s="21"/>
      <c r="S408" s="26"/>
    </row>
    <row r="409">
      <c r="M409" s="21"/>
      <c r="P409" s="21"/>
      <c r="R409" s="21"/>
      <c r="S409" s="26"/>
    </row>
    <row r="410">
      <c r="M410" s="21"/>
      <c r="P410" s="21"/>
      <c r="R410" s="21"/>
      <c r="S410" s="26"/>
    </row>
    <row r="411">
      <c r="M411" s="21"/>
      <c r="P411" s="21"/>
      <c r="R411" s="21"/>
      <c r="S411" s="26"/>
    </row>
    <row r="412">
      <c r="M412" s="21"/>
      <c r="P412" s="21"/>
      <c r="R412" s="21"/>
      <c r="S412" s="26"/>
    </row>
    <row r="413">
      <c r="M413" s="21"/>
      <c r="P413" s="21"/>
      <c r="R413" s="21"/>
      <c r="S413" s="26"/>
    </row>
    <row r="414">
      <c r="M414" s="21"/>
      <c r="P414" s="21"/>
      <c r="R414" s="21"/>
      <c r="S414" s="26"/>
    </row>
    <row r="415">
      <c r="M415" s="21"/>
      <c r="P415" s="21"/>
      <c r="R415" s="21"/>
      <c r="S415" s="26"/>
    </row>
    <row r="416">
      <c r="M416" s="21"/>
      <c r="P416" s="21"/>
      <c r="R416" s="21"/>
      <c r="S416" s="26"/>
    </row>
    <row r="417">
      <c r="M417" s="21"/>
      <c r="P417" s="21"/>
      <c r="R417" s="21"/>
      <c r="S417" s="26"/>
    </row>
    <row r="418">
      <c r="M418" s="21"/>
      <c r="P418" s="21"/>
      <c r="R418" s="21"/>
      <c r="S418" s="26"/>
    </row>
    <row r="419">
      <c r="M419" s="21"/>
      <c r="P419" s="21"/>
      <c r="R419" s="21"/>
      <c r="S419" s="26"/>
    </row>
    <row r="420">
      <c r="M420" s="21"/>
      <c r="P420" s="21"/>
      <c r="R420" s="21"/>
      <c r="S420" s="26"/>
    </row>
    <row r="421">
      <c r="M421" s="21"/>
      <c r="P421" s="21"/>
      <c r="R421" s="21"/>
      <c r="S421" s="26"/>
    </row>
    <row r="422">
      <c r="M422" s="21"/>
      <c r="P422" s="21"/>
      <c r="R422" s="21"/>
      <c r="S422" s="26"/>
    </row>
    <row r="423">
      <c r="M423" s="21"/>
      <c r="P423" s="21"/>
      <c r="R423" s="21"/>
      <c r="S423" s="26"/>
    </row>
    <row r="424">
      <c r="M424" s="21"/>
      <c r="P424" s="21"/>
      <c r="R424" s="21"/>
      <c r="S424" s="26"/>
    </row>
    <row r="425">
      <c r="M425" s="21"/>
      <c r="P425" s="21"/>
      <c r="R425" s="21"/>
      <c r="S425" s="26"/>
    </row>
    <row r="426">
      <c r="M426" s="21"/>
      <c r="P426" s="21"/>
      <c r="R426" s="21"/>
      <c r="S426" s="26"/>
    </row>
    <row r="427">
      <c r="M427" s="21"/>
      <c r="P427" s="21"/>
      <c r="R427" s="21"/>
      <c r="S427" s="26"/>
    </row>
    <row r="428">
      <c r="M428" s="21"/>
      <c r="P428" s="21"/>
      <c r="R428" s="21"/>
      <c r="S428" s="26"/>
    </row>
    <row r="429">
      <c r="M429" s="21"/>
      <c r="P429" s="21"/>
      <c r="R429" s="21"/>
      <c r="S429" s="26"/>
    </row>
    <row r="430">
      <c r="M430" s="21"/>
      <c r="P430" s="21"/>
      <c r="R430" s="21"/>
      <c r="S430" s="26"/>
    </row>
    <row r="431">
      <c r="M431" s="21"/>
      <c r="P431" s="21"/>
      <c r="R431" s="21"/>
      <c r="S431" s="26"/>
    </row>
    <row r="432">
      <c r="M432" s="21"/>
      <c r="P432" s="21"/>
      <c r="R432" s="21"/>
      <c r="S432" s="26"/>
    </row>
    <row r="433">
      <c r="M433" s="21"/>
      <c r="P433" s="21"/>
      <c r="R433" s="21"/>
      <c r="S433" s="26"/>
    </row>
    <row r="434">
      <c r="M434" s="21"/>
      <c r="P434" s="21"/>
      <c r="R434" s="21"/>
      <c r="S434" s="26"/>
    </row>
    <row r="435">
      <c r="M435" s="21"/>
      <c r="P435" s="21"/>
      <c r="R435" s="21"/>
      <c r="S435" s="26"/>
    </row>
    <row r="436">
      <c r="M436" s="21"/>
      <c r="P436" s="21"/>
      <c r="R436" s="21"/>
      <c r="S436" s="26"/>
    </row>
    <row r="437">
      <c r="M437" s="21"/>
      <c r="P437" s="21"/>
      <c r="R437" s="21"/>
      <c r="S437" s="26"/>
    </row>
    <row r="438">
      <c r="M438" s="21"/>
      <c r="P438" s="21"/>
      <c r="R438" s="21"/>
      <c r="S438" s="26"/>
    </row>
    <row r="439">
      <c r="M439" s="21"/>
      <c r="P439" s="21"/>
      <c r="R439" s="21"/>
      <c r="S439" s="26"/>
    </row>
    <row r="440">
      <c r="M440" s="21"/>
      <c r="P440" s="21"/>
      <c r="R440" s="21"/>
      <c r="S440" s="26"/>
    </row>
    <row r="441">
      <c r="M441" s="21"/>
      <c r="P441" s="21"/>
      <c r="R441" s="21"/>
      <c r="S441" s="26"/>
    </row>
    <row r="442">
      <c r="M442" s="21"/>
      <c r="P442" s="21"/>
      <c r="R442" s="21"/>
      <c r="S442" s="26"/>
    </row>
    <row r="443">
      <c r="M443" s="21"/>
      <c r="P443" s="21"/>
      <c r="R443" s="21"/>
      <c r="S443" s="26"/>
    </row>
    <row r="444">
      <c r="M444" s="21"/>
      <c r="P444" s="21"/>
      <c r="R444" s="21"/>
      <c r="S444" s="26"/>
    </row>
    <row r="445">
      <c r="M445" s="21"/>
      <c r="P445" s="21"/>
      <c r="R445" s="21"/>
      <c r="S445" s="26"/>
    </row>
    <row r="446">
      <c r="M446" s="21"/>
      <c r="P446" s="21"/>
      <c r="R446" s="21"/>
      <c r="S446" s="26"/>
    </row>
    <row r="447">
      <c r="M447" s="21"/>
      <c r="P447" s="21"/>
      <c r="R447" s="21"/>
      <c r="S447" s="26"/>
    </row>
    <row r="448">
      <c r="M448" s="21"/>
      <c r="P448" s="21"/>
      <c r="R448" s="21"/>
      <c r="S448" s="26"/>
    </row>
    <row r="449">
      <c r="M449" s="21"/>
      <c r="P449" s="21"/>
      <c r="R449" s="21"/>
      <c r="S449" s="26"/>
    </row>
    <row r="450">
      <c r="M450" s="21"/>
      <c r="P450" s="21"/>
      <c r="R450" s="21"/>
      <c r="S450" s="26"/>
    </row>
    <row r="451">
      <c r="M451" s="21"/>
      <c r="P451" s="21"/>
      <c r="R451" s="21"/>
      <c r="S451" s="26"/>
    </row>
    <row r="452">
      <c r="M452" s="21"/>
      <c r="P452" s="21"/>
      <c r="R452" s="21"/>
      <c r="S452" s="26"/>
    </row>
    <row r="453">
      <c r="M453" s="21"/>
      <c r="P453" s="21"/>
      <c r="R453" s="21"/>
      <c r="S453" s="26"/>
    </row>
    <row r="454">
      <c r="M454" s="21"/>
      <c r="P454" s="21"/>
      <c r="R454" s="21"/>
      <c r="S454" s="26"/>
    </row>
    <row r="455">
      <c r="M455" s="21"/>
      <c r="P455" s="21"/>
      <c r="R455" s="21"/>
      <c r="S455" s="26"/>
    </row>
    <row r="456">
      <c r="M456" s="21"/>
      <c r="P456" s="21"/>
      <c r="R456" s="21"/>
      <c r="S456" s="26"/>
    </row>
    <row r="457">
      <c r="M457" s="21"/>
      <c r="P457" s="21"/>
      <c r="R457" s="21"/>
      <c r="S457" s="26"/>
    </row>
    <row r="458">
      <c r="M458" s="21"/>
      <c r="P458" s="21"/>
      <c r="R458" s="21"/>
      <c r="S458" s="26"/>
    </row>
    <row r="459">
      <c r="M459" s="21"/>
      <c r="P459" s="21"/>
      <c r="R459" s="21"/>
      <c r="S459" s="26"/>
    </row>
    <row r="460">
      <c r="M460" s="21"/>
      <c r="P460" s="21"/>
      <c r="R460" s="21"/>
      <c r="S460" s="26"/>
    </row>
    <row r="461">
      <c r="M461" s="21"/>
      <c r="P461" s="21"/>
      <c r="R461" s="21"/>
      <c r="S461" s="26"/>
    </row>
    <row r="462">
      <c r="M462" s="21"/>
      <c r="P462" s="21"/>
      <c r="R462" s="21"/>
      <c r="S462" s="26"/>
    </row>
    <row r="463">
      <c r="M463" s="21"/>
      <c r="P463" s="21"/>
      <c r="R463" s="21"/>
      <c r="S463" s="26"/>
    </row>
    <row r="464">
      <c r="M464" s="21"/>
      <c r="P464" s="21"/>
      <c r="R464" s="21"/>
      <c r="S464" s="26"/>
    </row>
    <row r="465">
      <c r="M465" s="21"/>
      <c r="P465" s="21"/>
      <c r="R465" s="21"/>
      <c r="S465" s="26"/>
    </row>
    <row r="466">
      <c r="M466" s="21"/>
      <c r="P466" s="21"/>
      <c r="R466" s="21"/>
      <c r="S466" s="26"/>
    </row>
    <row r="467">
      <c r="M467" s="21"/>
      <c r="P467" s="21"/>
      <c r="R467" s="21"/>
      <c r="S467" s="26"/>
    </row>
    <row r="468">
      <c r="M468" s="21"/>
      <c r="P468" s="21"/>
      <c r="R468" s="21"/>
      <c r="S468" s="26"/>
    </row>
    <row r="469">
      <c r="M469" s="21"/>
      <c r="P469" s="21"/>
      <c r="R469" s="21"/>
      <c r="S469" s="26"/>
    </row>
    <row r="470">
      <c r="M470" s="21"/>
      <c r="P470" s="21"/>
      <c r="R470" s="21"/>
      <c r="S470" s="26"/>
    </row>
    <row r="471">
      <c r="M471" s="21"/>
      <c r="P471" s="21"/>
      <c r="R471" s="21"/>
      <c r="S471" s="26"/>
    </row>
    <row r="472">
      <c r="M472" s="21"/>
      <c r="P472" s="21"/>
      <c r="R472" s="21"/>
      <c r="S472" s="26"/>
    </row>
    <row r="473">
      <c r="M473" s="21"/>
      <c r="P473" s="21"/>
      <c r="R473" s="21"/>
      <c r="S473" s="26"/>
    </row>
    <row r="474">
      <c r="M474" s="21"/>
      <c r="P474" s="21"/>
      <c r="R474" s="21"/>
      <c r="S474" s="26"/>
    </row>
    <row r="475">
      <c r="M475" s="21"/>
      <c r="P475" s="21"/>
      <c r="R475" s="21"/>
      <c r="S475" s="26"/>
    </row>
    <row r="476">
      <c r="M476" s="21"/>
      <c r="P476" s="21"/>
      <c r="R476" s="21"/>
      <c r="S476" s="26"/>
    </row>
    <row r="477">
      <c r="M477" s="21"/>
      <c r="P477" s="21"/>
      <c r="R477" s="21"/>
      <c r="S477" s="26"/>
    </row>
    <row r="478">
      <c r="M478" s="21"/>
      <c r="P478" s="21"/>
      <c r="R478" s="21"/>
      <c r="S478" s="26"/>
    </row>
    <row r="479">
      <c r="M479" s="21"/>
      <c r="P479" s="21"/>
      <c r="R479" s="21"/>
      <c r="S479" s="26"/>
    </row>
    <row r="480">
      <c r="M480" s="21"/>
      <c r="P480" s="21"/>
      <c r="R480" s="21"/>
      <c r="S480" s="26"/>
    </row>
    <row r="481">
      <c r="M481" s="21"/>
      <c r="P481" s="21"/>
      <c r="R481" s="21"/>
      <c r="S481" s="26"/>
    </row>
    <row r="482">
      <c r="M482" s="21"/>
      <c r="P482" s="21"/>
      <c r="R482" s="21"/>
      <c r="S482" s="26"/>
    </row>
    <row r="483">
      <c r="M483" s="21"/>
      <c r="P483" s="21"/>
      <c r="R483" s="21"/>
      <c r="S483" s="26"/>
    </row>
    <row r="484">
      <c r="M484" s="21"/>
      <c r="P484" s="21"/>
      <c r="R484" s="21"/>
      <c r="S484" s="26"/>
    </row>
    <row r="485">
      <c r="M485" s="21"/>
      <c r="P485" s="21"/>
      <c r="R485" s="21"/>
      <c r="S485" s="26"/>
    </row>
    <row r="486">
      <c r="M486" s="21"/>
      <c r="P486" s="21"/>
      <c r="R486" s="21"/>
      <c r="S486" s="26"/>
    </row>
    <row r="487">
      <c r="M487" s="21"/>
      <c r="P487" s="21"/>
      <c r="R487" s="21"/>
      <c r="S487" s="26"/>
    </row>
    <row r="488">
      <c r="M488" s="21"/>
      <c r="P488" s="21"/>
      <c r="R488" s="21"/>
      <c r="S488" s="26"/>
    </row>
    <row r="489">
      <c r="M489" s="21"/>
      <c r="P489" s="21"/>
      <c r="R489" s="21"/>
      <c r="S489" s="26"/>
    </row>
    <row r="490">
      <c r="M490" s="21"/>
      <c r="P490" s="21"/>
      <c r="R490" s="21"/>
      <c r="S490" s="26"/>
    </row>
    <row r="491">
      <c r="M491" s="21"/>
      <c r="P491" s="21"/>
      <c r="R491" s="21"/>
      <c r="S491" s="26"/>
    </row>
    <row r="492">
      <c r="M492" s="21"/>
      <c r="P492" s="21"/>
      <c r="R492" s="21"/>
      <c r="S492" s="26"/>
    </row>
    <row r="493">
      <c r="M493" s="21"/>
      <c r="P493" s="21"/>
      <c r="R493" s="21"/>
      <c r="S493" s="26"/>
    </row>
    <row r="494">
      <c r="M494" s="21"/>
      <c r="P494" s="21"/>
      <c r="R494" s="21"/>
      <c r="S494" s="26"/>
    </row>
    <row r="495">
      <c r="M495" s="21"/>
      <c r="P495" s="21"/>
      <c r="R495" s="21"/>
      <c r="S495" s="26"/>
    </row>
    <row r="496">
      <c r="M496" s="21"/>
      <c r="P496" s="21"/>
      <c r="R496" s="21"/>
      <c r="S496" s="26"/>
    </row>
    <row r="497">
      <c r="M497" s="21"/>
      <c r="P497" s="21"/>
      <c r="R497" s="21"/>
      <c r="S497" s="26"/>
    </row>
    <row r="498">
      <c r="M498" s="21"/>
      <c r="P498" s="21"/>
      <c r="R498" s="21"/>
      <c r="S498" s="26"/>
    </row>
    <row r="499">
      <c r="M499" s="21"/>
      <c r="P499" s="21"/>
      <c r="R499" s="21"/>
      <c r="S499" s="26"/>
    </row>
    <row r="500">
      <c r="M500" s="21"/>
      <c r="P500" s="21"/>
      <c r="R500" s="21"/>
      <c r="S500" s="26"/>
    </row>
    <row r="501">
      <c r="M501" s="21"/>
      <c r="P501" s="21"/>
      <c r="R501" s="21"/>
      <c r="S501" s="26"/>
    </row>
    <row r="502">
      <c r="M502" s="21"/>
      <c r="P502" s="21"/>
      <c r="R502" s="21"/>
      <c r="S502" s="26"/>
    </row>
    <row r="503">
      <c r="M503" s="21"/>
      <c r="P503" s="21"/>
      <c r="R503" s="21"/>
      <c r="S503" s="26"/>
    </row>
    <row r="504">
      <c r="M504" s="21"/>
      <c r="P504" s="21"/>
      <c r="R504" s="21"/>
      <c r="S504" s="26"/>
    </row>
    <row r="505">
      <c r="M505" s="21"/>
      <c r="P505" s="21"/>
      <c r="R505" s="21"/>
      <c r="S505" s="26"/>
    </row>
    <row r="506">
      <c r="M506" s="21"/>
      <c r="P506" s="21"/>
      <c r="R506" s="21"/>
      <c r="S506" s="26"/>
    </row>
    <row r="507">
      <c r="M507" s="21"/>
      <c r="P507" s="21"/>
      <c r="R507" s="21"/>
      <c r="S507" s="26"/>
    </row>
    <row r="508">
      <c r="M508" s="21"/>
      <c r="P508" s="21"/>
      <c r="R508" s="21"/>
      <c r="S508" s="26"/>
    </row>
    <row r="509">
      <c r="M509" s="21"/>
      <c r="P509" s="21"/>
      <c r="R509" s="21"/>
      <c r="S509" s="26"/>
    </row>
    <row r="510">
      <c r="M510" s="21"/>
      <c r="P510" s="21"/>
      <c r="R510" s="21"/>
      <c r="S510" s="26"/>
    </row>
    <row r="511">
      <c r="M511" s="21"/>
      <c r="P511" s="21"/>
      <c r="R511" s="21"/>
      <c r="S511" s="26"/>
    </row>
    <row r="512">
      <c r="M512" s="21"/>
      <c r="P512" s="21"/>
      <c r="R512" s="21"/>
      <c r="S512" s="26"/>
    </row>
    <row r="513">
      <c r="M513" s="21"/>
      <c r="P513" s="21"/>
      <c r="R513" s="21"/>
      <c r="S513" s="26"/>
    </row>
    <row r="514">
      <c r="M514" s="21"/>
      <c r="P514" s="21"/>
      <c r="R514" s="21"/>
      <c r="S514" s="26"/>
    </row>
    <row r="515">
      <c r="M515" s="21"/>
      <c r="P515" s="21"/>
      <c r="R515" s="21"/>
      <c r="S515" s="26"/>
    </row>
    <row r="516">
      <c r="M516" s="21"/>
      <c r="P516" s="21"/>
      <c r="R516" s="21"/>
      <c r="S516" s="26"/>
    </row>
    <row r="517">
      <c r="M517" s="21"/>
      <c r="P517" s="21"/>
      <c r="R517" s="21"/>
      <c r="S517" s="26"/>
    </row>
    <row r="518">
      <c r="M518" s="21"/>
      <c r="P518" s="21"/>
      <c r="R518" s="21"/>
      <c r="S518" s="26"/>
    </row>
    <row r="519">
      <c r="M519" s="21"/>
      <c r="P519" s="21"/>
      <c r="R519" s="21"/>
      <c r="S519" s="26"/>
    </row>
    <row r="520">
      <c r="M520" s="21"/>
      <c r="P520" s="21"/>
      <c r="R520" s="21"/>
      <c r="S520" s="26"/>
    </row>
    <row r="521">
      <c r="M521" s="21"/>
      <c r="P521" s="21"/>
      <c r="R521" s="21"/>
      <c r="S521" s="26"/>
    </row>
    <row r="522">
      <c r="M522" s="21"/>
      <c r="P522" s="21"/>
      <c r="R522" s="21"/>
      <c r="S522" s="26"/>
    </row>
    <row r="523">
      <c r="M523" s="21"/>
      <c r="P523" s="21"/>
      <c r="R523" s="21"/>
      <c r="S523" s="26"/>
    </row>
    <row r="524">
      <c r="M524" s="21"/>
      <c r="P524" s="21"/>
      <c r="R524" s="21"/>
      <c r="S524" s="26"/>
    </row>
    <row r="525">
      <c r="M525" s="21"/>
      <c r="P525" s="21"/>
      <c r="R525" s="21"/>
      <c r="S525" s="26"/>
    </row>
    <row r="526">
      <c r="M526" s="21"/>
      <c r="P526" s="21"/>
      <c r="R526" s="21"/>
      <c r="S526" s="26"/>
    </row>
    <row r="527">
      <c r="M527" s="21"/>
      <c r="P527" s="21"/>
      <c r="R527" s="21"/>
      <c r="S527" s="26"/>
    </row>
    <row r="528">
      <c r="M528" s="21"/>
      <c r="P528" s="21"/>
      <c r="R528" s="21"/>
      <c r="S528" s="26"/>
    </row>
    <row r="529">
      <c r="M529" s="21"/>
      <c r="P529" s="21"/>
      <c r="R529" s="21"/>
      <c r="S529" s="26"/>
    </row>
    <row r="530">
      <c r="M530" s="21"/>
      <c r="P530" s="21"/>
      <c r="R530" s="21"/>
      <c r="S530" s="26"/>
    </row>
    <row r="531">
      <c r="M531" s="21"/>
      <c r="P531" s="21"/>
      <c r="R531" s="21"/>
      <c r="S531" s="26"/>
    </row>
    <row r="532">
      <c r="M532" s="21"/>
      <c r="P532" s="21"/>
      <c r="R532" s="21"/>
      <c r="S532" s="26"/>
    </row>
    <row r="533">
      <c r="M533" s="21"/>
      <c r="P533" s="21"/>
      <c r="R533" s="21"/>
      <c r="S533" s="26"/>
    </row>
    <row r="534">
      <c r="M534" s="21"/>
      <c r="P534" s="21"/>
      <c r="R534" s="21"/>
      <c r="S534" s="26"/>
    </row>
    <row r="535">
      <c r="M535" s="21"/>
      <c r="P535" s="21"/>
      <c r="R535" s="21"/>
      <c r="S535" s="26"/>
    </row>
    <row r="536">
      <c r="M536" s="21"/>
      <c r="P536" s="21"/>
      <c r="R536" s="21"/>
      <c r="S536" s="26"/>
    </row>
    <row r="537">
      <c r="M537" s="21"/>
      <c r="P537" s="21"/>
      <c r="R537" s="21"/>
      <c r="S537" s="26"/>
    </row>
    <row r="538">
      <c r="M538" s="21"/>
      <c r="P538" s="21"/>
      <c r="R538" s="21"/>
      <c r="S538" s="26"/>
    </row>
    <row r="539">
      <c r="M539" s="21"/>
      <c r="P539" s="21"/>
      <c r="R539" s="21"/>
      <c r="S539" s="26"/>
    </row>
    <row r="540">
      <c r="M540" s="21"/>
      <c r="P540" s="21"/>
      <c r="R540" s="21"/>
      <c r="S540" s="26"/>
    </row>
    <row r="541">
      <c r="M541" s="21"/>
      <c r="P541" s="21"/>
      <c r="R541" s="21"/>
      <c r="S541" s="26"/>
    </row>
    <row r="542">
      <c r="M542" s="21"/>
      <c r="P542" s="21"/>
      <c r="R542" s="21"/>
      <c r="S542" s="26"/>
    </row>
    <row r="543">
      <c r="M543" s="21"/>
      <c r="P543" s="21"/>
      <c r="R543" s="21"/>
      <c r="S543" s="26"/>
    </row>
    <row r="544">
      <c r="M544" s="21"/>
      <c r="P544" s="21"/>
      <c r="R544" s="21"/>
      <c r="S544" s="26"/>
    </row>
    <row r="545">
      <c r="M545" s="21"/>
      <c r="P545" s="21"/>
      <c r="R545" s="21"/>
      <c r="S545" s="26"/>
    </row>
    <row r="546">
      <c r="M546" s="21"/>
      <c r="P546" s="21"/>
      <c r="R546" s="21"/>
      <c r="S546" s="26"/>
    </row>
    <row r="547">
      <c r="M547" s="21"/>
      <c r="P547" s="21"/>
      <c r="R547" s="21"/>
      <c r="S547" s="26"/>
    </row>
    <row r="548">
      <c r="M548" s="21"/>
      <c r="P548" s="21"/>
      <c r="R548" s="21"/>
      <c r="S548" s="26"/>
    </row>
    <row r="549">
      <c r="M549" s="21"/>
      <c r="P549" s="21"/>
      <c r="R549" s="21"/>
      <c r="S549" s="26"/>
    </row>
    <row r="550">
      <c r="M550" s="21"/>
      <c r="P550" s="21"/>
      <c r="R550" s="21"/>
      <c r="S550" s="26"/>
    </row>
    <row r="551">
      <c r="M551" s="21"/>
      <c r="P551" s="21"/>
      <c r="R551" s="21"/>
      <c r="S551" s="26"/>
    </row>
    <row r="552">
      <c r="M552" s="21"/>
      <c r="P552" s="21"/>
      <c r="R552" s="21"/>
      <c r="S552" s="26"/>
    </row>
    <row r="553">
      <c r="M553" s="21"/>
      <c r="P553" s="21"/>
      <c r="R553" s="21"/>
      <c r="S553" s="26"/>
    </row>
    <row r="554">
      <c r="M554" s="21"/>
      <c r="P554" s="21"/>
      <c r="R554" s="21"/>
      <c r="S554" s="26"/>
    </row>
    <row r="555">
      <c r="M555" s="21"/>
      <c r="P555" s="21"/>
      <c r="R555" s="21"/>
      <c r="S555" s="26"/>
    </row>
    <row r="556">
      <c r="M556" s="21"/>
      <c r="P556" s="21"/>
      <c r="R556" s="21"/>
      <c r="S556" s="26"/>
    </row>
    <row r="557">
      <c r="M557" s="21"/>
      <c r="P557" s="21"/>
      <c r="R557" s="21"/>
      <c r="S557" s="26"/>
    </row>
    <row r="558">
      <c r="M558" s="21"/>
      <c r="P558" s="21"/>
      <c r="R558" s="21"/>
      <c r="S558" s="26"/>
    </row>
    <row r="559">
      <c r="M559" s="21"/>
      <c r="P559" s="21"/>
      <c r="R559" s="21"/>
      <c r="S559" s="26"/>
    </row>
    <row r="560">
      <c r="M560" s="21"/>
      <c r="P560" s="21"/>
      <c r="R560" s="21"/>
      <c r="S560" s="26"/>
    </row>
    <row r="561">
      <c r="M561" s="21"/>
      <c r="P561" s="21"/>
      <c r="R561" s="21"/>
      <c r="S561" s="26"/>
    </row>
    <row r="562">
      <c r="M562" s="21"/>
      <c r="P562" s="21"/>
      <c r="R562" s="21"/>
      <c r="S562" s="26"/>
    </row>
    <row r="563">
      <c r="M563" s="21"/>
      <c r="P563" s="21"/>
      <c r="R563" s="21"/>
      <c r="S563" s="26"/>
    </row>
    <row r="564">
      <c r="M564" s="21"/>
      <c r="P564" s="21"/>
      <c r="R564" s="21"/>
      <c r="S564" s="26"/>
    </row>
    <row r="565">
      <c r="M565" s="21"/>
      <c r="P565" s="21"/>
      <c r="R565" s="21"/>
      <c r="S565" s="26"/>
    </row>
    <row r="566">
      <c r="M566" s="21"/>
      <c r="P566" s="21"/>
      <c r="R566" s="21"/>
      <c r="S566" s="26"/>
    </row>
    <row r="567">
      <c r="M567" s="21"/>
      <c r="P567" s="21"/>
      <c r="R567" s="21"/>
      <c r="S567" s="26"/>
    </row>
    <row r="568">
      <c r="M568" s="21"/>
      <c r="P568" s="21"/>
      <c r="R568" s="21"/>
      <c r="S568" s="26"/>
    </row>
    <row r="569">
      <c r="M569" s="21"/>
      <c r="P569" s="21"/>
      <c r="R569" s="21"/>
      <c r="S569" s="26"/>
    </row>
    <row r="570">
      <c r="M570" s="21"/>
      <c r="P570" s="21"/>
      <c r="R570" s="21"/>
      <c r="S570" s="26"/>
    </row>
    <row r="571">
      <c r="M571" s="21"/>
      <c r="P571" s="21"/>
      <c r="R571" s="21"/>
      <c r="S571" s="26"/>
    </row>
    <row r="572">
      <c r="M572" s="21"/>
      <c r="P572" s="21"/>
      <c r="R572" s="21"/>
      <c r="S572" s="26"/>
    </row>
    <row r="573">
      <c r="M573" s="21"/>
      <c r="P573" s="21"/>
      <c r="R573" s="21"/>
      <c r="S573" s="26"/>
    </row>
    <row r="574">
      <c r="M574" s="21"/>
      <c r="P574" s="21"/>
      <c r="R574" s="21"/>
      <c r="S574" s="26"/>
    </row>
    <row r="575">
      <c r="M575" s="21"/>
      <c r="P575" s="21"/>
      <c r="R575" s="21"/>
      <c r="S575" s="26"/>
    </row>
    <row r="576">
      <c r="M576" s="21"/>
      <c r="P576" s="21"/>
      <c r="R576" s="21"/>
      <c r="S576" s="26"/>
    </row>
    <row r="577">
      <c r="M577" s="21"/>
      <c r="P577" s="21"/>
      <c r="R577" s="21"/>
      <c r="S577" s="26"/>
    </row>
    <row r="578">
      <c r="M578" s="21"/>
      <c r="P578" s="21"/>
      <c r="R578" s="21"/>
      <c r="S578" s="26"/>
    </row>
    <row r="579">
      <c r="M579" s="21"/>
      <c r="P579" s="21"/>
      <c r="R579" s="21"/>
      <c r="S579" s="26"/>
    </row>
    <row r="580">
      <c r="M580" s="21"/>
      <c r="P580" s="21"/>
      <c r="R580" s="21"/>
      <c r="S580" s="26"/>
    </row>
    <row r="581">
      <c r="M581" s="21"/>
      <c r="P581" s="21"/>
      <c r="R581" s="21"/>
      <c r="S581" s="26"/>
    </row>
    <row r="582">
      <c r="M582" s="21"/>
      <c r="P582" s="21"/>
      <c r="R582" s="21"/>
      <c r="S582" s="26"/>
    </row>
    <row r="583">
      <c r="M583" s="21"/>
      <c r="P583" s="21"/>
      <c r="R583" s="21"/>
      <c r="S583" s="26"/>
    </row>
    <row r="584">
      <c r="M584" s="21"/>
      <c r="P584" s="21"/>
      <c r="R584" s="21"/>
      <c r="S584" s="26"/>
    </row>
    <row r="585">
      <c r="M585" s="21"/>
      <c r="P585" s="21"/>
      <c r="R585" s="21"/>
      <c r="S585" s="26"/>
    </row>
    <row r="586">
      <c r="M586" s="21"/>
      <c r="P586" s="21"/>
      <c r="R586" s="21"/>
      <c r="S586" s="26"/>
    </row>
    <row r="587">
      <c r="M587" s="21"/>
      <c r="P587" s="21"/>
      <c r="R587" s="21"/>
      <c r="S587" s="26"/>
    </row>
    <row r="588">
      <c r="M588" s="21"/>
      <c r="P588" s="21"/>
      <c r="R588" s="21"/>
      <c r="S588" s="26"/>
    </row>
    <row r="589">
      <c r="M589" s="21"/>
      <c r="P589" s="21"/>
      <c r="R589" s="21"/>
      <c r="S589" s="26"/>
    </row>
    <row r="590">
      <c r="M590" s="21"/>
      <c r="P590" s="21"/>
      <c r="R590" s="21"/>
      <c r="S590" s="26"/>
    </row>
    <row r="591">
      <c r="M591" s="21"/>
      <c r="P591" s="21"/>
      <c r="R591" s="21"/>
      <c r="S591" s="26"/>
    </row>
    <row r="592">
      <c r="M592" s="21"/>
      <c r="P592" s="21"/>
      <c r="R592" s="21"/>
      <c r="S592" s="26"/>
    </row>
    <row r="593">
      <c r="M593" s="21"/>
      <c r="P593" s="21"/>
      <c r="R593" s="21"/>
      <c r="S593" s="26"/>
    </row>
    <row r="594">
      <c r="M594" s="21"/>
      <c r="P594" s="21"/>
      <c r="R594" s="21"/>
      <c r="S594" s="26"/>
    </row>
    <row r="595">
      <c r="M595" s="21"/>
      <c r="P595" s="21"/>
      <c r="R595" s="21"/>
      <c r="S595" s="26"/>
    </row>
    <row r="596">
      <c r="M596" s="21"/>
      <c r="P596" s="21"/>
      <c r="R596" s="21"/>
      <c r="S596" s="26"/>
    </row>
    <row r="597">
      <c r="M597" s="21"/>
      <c r="P597" s="21"/>
      <c r="R597" s="21"/>
      <c r="S597" s="26"/>
    </row>
    <row r="598">
      <c r="M598" s="21"/>
      <c r="P598" s="21"/>
      <c r="R598" s="21"/>
      <c r="S598" s="26"/>
    </row>
    <row r="599">
      <c r="M599" s="21"/>
      <c r="P599" s="21"/>
      <c r="R599" s="21"/>
      <c r="S599" s="26"/>
    </row>
    <row r="600">
      <c r="M600" s="21"/>
      <c r="P600" s="21"/>
      <c r="R600" s="21"/>
      <c r="S600" s="26"/>
    </row>
    <row r="601">
      <c r="M601" s="21"/>
      <c r="P601" s="21"/>
      <c r="R601" s="21"/>
      <c r="S601" s="26"/>
    </row>
    <row r="602">
      <c r="M602" s="21"/>
      <c r="P602" s="21"/>
      <c r="R602" s="21"/>
      <c r="S602" s="26"/>
    </row>
    <row r="603">
      <c r="M603" s="21"/>
      <c r="P603" s="21"/>
      <c r="R603" s="21"/>
      <c r="S603" s="26"/>
    </row>
    <row r="604">
      <c r="M604" s="21"/>
      <c r="P604" s="21"/>
      <c r="R604" s="21"/>
      <c r="S604" s="26"/>
    </row>
    <row r="605">
      <c r="M605" s="21"/>
      <c r="P605" s="21"/>
      <c r="R605" s="21"/>
      <c r="S605" s="26"/>
    </row>
    <row r="606">
      <c r="M606" s="21"/>
      <c r="P606" s="21"/>
      <c r="R606" s="21"/>
      <c r="S606" s="26"/>
    </row>
    <row r="607">
      <c r="M607" s="21"/>
      <c r="P607" s="21"/>
      <c r="R607" s="21"/>
      <c r="S607" s="26"/>
    </row>
    <row r="608">
      <c r="M608" s="21"/>
      <c r="P608" s="21"/>
      <c r="R608" s="21"/>
      <c r="S608" s="26"/>
    </row>
    <row r="609">
      <c r="M609" s="21"/>
      <c r="P609" s="21"/>
      <c r="R609" s="21"/>
      <c r="S609" s="26"/>
    </row>
    <row r="610">
      <c r="M610" s="21"/>
      <c r="P610" s="21"/>
      <c r="R610" s="21"/>
      <c r="S610" s="26"/>
    </row>
    <row r="611">
      <c r="M611" s="21"/>
      <c r="P611" s="21"/>
      <c r="R611" s="21"/>
      <c r="S611" s="26"/>
    </row>
    <row r="612">
      <c r="M612" s="21"/>
      <c r="P612" s="21"/>
      <c r="R612" s="21"/>
      <c r="S612" s="26"/>
    </row>
    <row r="613">
      <c r="M613" s="21"/>
      <c r="P613" s="21"/>
      <c r="R613" s="21"/>
      <c r="S613" s="26"/>
    </row>
    <row r="614">
      <c r="M614" s="21"/>
      <c r="P614" s="21"/>
      <c r="R614" s="21"/>
      <c r="S614" s="26"/>
    </row>
    <row r="615">
      <c r="M615" s="21"/>
      <c r="P615" s="21"/>
      <c r="R615" s="21"/>
      <c r="S615" s="26"/>
    </row>
    <row r="616">
      <c r="M616" s="21"/>
      <c r="P616" s="21"/>
      <c r="R616" s="21"/>
      <c r="S616" s="26"/>
    </row>
    <row r="617">
      <c r="M617" s="21"/>
      <c r="P617" s="21"/>
      <c r="R617" s="21"/>
      <c r="S617" s="26"/>
    </row>
    <row r="618">
      <c r="M618" s="21"/>
      <c r="P618" s="21"/>
      <c r="R618" s="21"/>
      <c r="S618" s="26"/>
    </row>
    <row r="619">
      <c r="M619" s="21"/>
      <c r="P619" s="21"/>
      <c r="R619" s="21"/>
      <c r="S619" s="26"/>
    </row>
    <row r="620">
      <c r="M620" s="21"/>
      <c r="P620" s="21"/>
      <c r="R620" s="21"/>
      <c r="S620" s="26"/>
    </row>
    <row r="621">
      <c r="M621" s="21"/>
      <c r="P621" s="21"/>
      <c r="R621" s="21"/>
      <c r="S621" s="26"/>
    </row>
    <row r="622">
      <c r="M622" s="21"/>
      <c r="P622" s="21"/>
      <c r="R622" s="21"/>
      <c r="S622" s="26"/>
    </row>
    <row r="623">
      <c r="M623" s="21"/>
      <c r="P623" s="21"/>
      <c r="R623" s="21"/>
      <c r="S623" s="26"/>
    </row>
    <row r="624">
      <c r="M624" s="21"/>
      <c r="P624" s="21"/>
      <c r="R624" s="21"/>
      <c r="S624" s="26"/>
    </row>
    <row r="625">
      <c r="M625" s="21"/>
      <c r="P625" s="21"/>
      <c r="R625" s="21"/>
      <c r="S625" s="26"/>
    </row>
    <row r="626">
      <c r="M626" s="21"/>
      <c r="P626" s="21"/>
      <c r="R626" s="21"/>
      <c r="S626" s="26"/>
    </row>
    <row r="627">
      <c r="M627" s="21"/>
      <c r="P627" s="21"/>
      <c r="R627" s="21"/>
      <c r="S627" s="26"/>
    </row>
    <row r="628">
      <c r="M628" s="21"/>
      <c r="P628" s="21"/>
      <c r="R628" s="21"/>
      <c r="S628" s="26"/>
    </row>
    <row r="629">
      <c r="M629" s="21"/>
      <c r="P629" s="21"/>
      <c r="R629" s="21"/>
      <c r="S629" s="26"/>
    </row>
    <row r="630">
      <c r="M630" s="21"/>
      <c r="P630" s="21"/>
      <c r="R630" s="21"/>
      <c r="S630" s="26"/>
    </row>
    <row r="631">
      <c r="M631" s="21"/>
      <c r="P631" s="21"/>
      <c r="R631" s="21"/>
      <c r="S631" s="26"/>
    </row>
    <row r="632">
      <c r="M632" s="21"/>
      <c r="P632" s="21"/>
      <c r="R632" s="21"/>
      <c r="S632" s="26"/>
    </row>
    <row r="633">
      <c r="M633" s="21"/>
      <c r="P633" s="21"/>
      <c r="R633" s="21"/>
      <c r="S633" s="26"/>
    </row>
    <row r="634">
      <c r="M634" s="21"/>
      <c r="P634" s="21"/>
      <c r="R634" s="21"/>
      <c r="S634" s="26"/>
    </row>
    <row r="635">
      <c r="M635" s="21"/>
      <c r="P635" s="21"/>
      <c r="R635" s="21"/>
      <c r="S635" s="26"/>
    </row>
    <row r="636">
      <c r="M636" s="21"/>
      <c r="P636" s="21"/>
      <c r="R636" s="21"/>
      <c r="S636" s="26"/>
    </row>
    <row r="637">
      <c r="M637" s="21"/>
      <c r="P637" s="21"/>
      <c r="R637" s="21"/>
      <c r="S637" s="26"/>
    </row>
    <row r="638">
      <c r="M638" s="21"/>
      <c r="P638" s="21"/>
      <c r="R638" s="21"/>
      <c r="S638" s="26"/>
    </row>
    <row r="639">
      <c r="M639" s="21"/>
      <c r="P639" s="21"/>
      <c r="R639" s="21"/>
      <c r="S639" s="26"/>
    </row>
    <row r="640">
      <c r="M640" s="21"/>
      <c r="P640" s="21"/>
      <c r="R640" s="21"/>
      <c r="S640" s="26"/>
    </row>
    <row r="641">
      <c r="M641" s="21"/>
      <c r="P641" s="21"/>
      <c r="R641" s="21"/>
      <c r="S641" s="26"/>
    </row>
    <row r="642">
      <c r="M642" s="21"/>
      <c r="P642" s="21"/>
      <c r="R642" s="21"/>
      <c r="S642" s="26"/>
    </row>
    <row r="643">
      <c r="M643" s="21"/>
      <c r="P643" s="21"/>
      <c r="R643" s="21"/>
      <c r="S643" s="26"/>
    </row>
    <row r="644">
      <c r="M644" s="21"/>
      <c r="P644" s="21"/>
      <c r="R644" s="21"/>
      <c r="S644" s="26"/>
    </row>
    <row r="645">
      <c r="M645" s="21"/>
      <c r="P645" s="21"/>
      <c r="R645" s="21"/>
      <c r="S645" s="26"/>
    </row>
    <row r="646">
      <c r="M646" s="21"/>
      <c r="P646" s="21"/>
      <c r="R646" s="21"/>
      <c r="S646" s="26"/>
    </row>
    <row r="647">
      <c r="M647" s="21"/>
      <c r="P647" s="21"/>
      <c r="R647" s="21"/>
      <c r="S647" s="26"/>
    </row>
    <row r="648">
      <c r="M648" s="21"/>
      <c r="P648" s="21"/>
      <c r="R648" s="21"/>
      <c r="S648" s="26"/>
    </row>
    <row r="649">
      <c r="M649" s="21"/>
      <c r="P649" s="21"/>
      <c r="R649" s="21"/>
      <c r="S649" s="26"/>
    </row>
    <row r="650">
      <c r="M650" s="21"/>
      <c r="P650" s="21"/>
      <c r="R650" s="21"/>
      <c r="S650" s="26"/>
    </row>
    <row r="651">
      <c r="M651" s="21"/>
      <c r="P651" s="21"/>
      <c r="R651" s="21"/>
      <c r="S651" s="26"/>
    </row>
    <row r="652">
      <c r="M652" s="21"/>
      <c r="P652" s="21"/>
      <c r="R652" s="21"/>
      <c r="S652" s="26"/>
    </row>
    <row r="653">
      <c r="M653" s="21"/>
      <c r="P653" s="21"/>
      <c r="R653" s="21"/>
      <c r="S653" s="26"/>
    </row>
    <row r="654">
      <c r="M654" s="21"/>
      <c r="P654" s="21"/>
      <c r="R654" s="21"/>
      <c r="S654" s="26"/>
    </row>
    <row r="655">
      <c r="M655" s="21"/>
      <c r="P655" s="21"/>
      <c r="R655" s="21"/>
      <c r="S655" s="26"/>
    </row>
    <row r="656">
      <c r="M656" s="21"/>
      <c r="P656" s="21"/>
      <c r="R656" s="21"/>
      <c r="S656" s="26"/>
    </row>
    <row r="657">
      <c r="M657" s="21"/>
      <c r="P657" s="21"/>
      <c r="R657" s="21"/>
      <c r="S657" s="26"/>
    </row>
    <row r="658">
      <c r="M658" s="21"/>
      <c r="P658" s="21"/>
      <c r="R658" s="21"/>
      <c r="S658" s="26"/>
    </row>
    <row r="659">
      <c r="M659" s="21"/>
      <c r="P659" s="21"/>
      <c r="R659" s="21"/>
      <c r="S659" s="26"/>
    </row>
    <row r="660">
      <c r="M660" s="21"/>
      <c r="P660" s="21"/>
      <c r="R660" s="21"/>
      <c r="S660" s="26"/>
    </row>
    <row r="661">
      <c r="M661" s="21"/>
      <c r="P661" s="21"/>
      <c r="R661" s="21"/>
      <c r="S661" s="26"/>
    </row>
    <row r="662">
      <c r="M662" s="21"/>
      <c r="P662" s="21"/>
      <c r="R662" s="21"/>
      <c r="S662" s="26"/>
    </row>
    <row r="663">
      <c r="M663" s="21"/>
      <c r="P663" s="21"/>
      <c r="R663" s="21"/>
      <c r="S663" s="26"/>
    </row>
    <row r="664">
      <c r="M664" s="21"/>
      <c r="P664" s="21"/>
      <c r="R664" s="21"/>
      <c r="S664" s="26"/>
    </row>
    <row r="665">
      <c r="M665" s="21"/>
      <c r="P665" s="21"/>
      <c r="R665" s="21"/>
      <c r="S665" s="26"/>
    </row>
    <row r="666">
      <c r="M666" s="21"/>
      <c r="P666" s="21"/>
      <c r="R666" s="21"/>
      <c r="S666" s="26"/>
    </row>
    <row r="667">
      <c r="M667" s="21"/>
      <c r="P667" s="21"/>
      <c r="R667" s="21"/>
      <c r="S667" s="26"/>
    </row>
    <row r="668">
      <c r="M668" s="21"/>
      <c r="P668" s="21"/>
      <c r="R668" s="21"/>
      <c r="S668" s="26"/>
    </row>
    <row r="669">
      <c r="M669" s="21"/>
      <c r="P669" s="21"/>
      <c r="R669" s="21"/>
      <c r="S669" s="26"/>
    </row>
    <row r="670">
      <c r="M670" s="21"/>
      <c r="P670" s="21"/>
      <c r="R670" s="21"/>
      <c r="S670" s="26"/>
    </row>
    <row r="671">
      <c r="M671" s="21"/>
      <c r="P671" s="21"/>
      <c r="R671" s="21"/>
      <c r="S671" s="26"/>
    </row>
    <row r="672">
      <c r="M672" s="21"/>
      <c r="P672" s="21"/>
      <c r="R672" s="21"/>
      <c r="S672" s="26"/>
    </row>
    <row r="673">
      <c r="M673" s="21"/>
      <c r="P673" s="21"/>
      <c r="R673" s="21"/>
      <c r="S673" s="26"/>
    </row>
    <row r="674">
      <c r="M674" s="21"/>
      <c r="P674" s="21"/>
      <c r="R674" s="21"/>
      <c r="S674" s="26"/>
    </row>
    <row r="675">
      <c r="M675" s="21"/>
      <c r="P675" s="21"/>
      <c r="R675" s="21"/>
      <c r="S675" s="26"/>
    </row>
    <row r="676">
      <c r="M676" s="21"/>
      <c r="P676" s="21"/>
      <c r="R676" s="21"/>
      <c r="S676" s="26"/>
    </row>
    <row r="677">
      <c r="M677" s="21"/>
      <c r="P677" s="21"/>
      <c r="R677" s="21"/>
      <c r="S677" s="26"/>
    </row>
    <row r="678">
      <c r="M678" s="21"/>
      <c r="P678" s="21"/>
      <c r="R678" s="21"/>
      <c r="S678" s="26"/>
    </row>
    <row r="679">
      <c r="M679" s="21"/>
      <c r="P679" s="21"/>
      <c r="R679" s="21"/>
      <c r="S679" s="26"/>
    </row>
    <row r="680">
      <c r="M680" s="21"/>
      <c r="P680" s="21"/>
      <c r="R680" s="21"/>
      <c r="S680" s="26"/>
    </row>
    <row r="681">
      <c r="M681" s="21"/>
      <c r="P681" s="21"/>
      <c r="R681" s="21"/>
      <c r="S681" s="26"/>
    </row>
    <row r="682">
      <c r="M682" s="21"/>
      <c r="P682" s="21"/>
      <c r="R682" s="21"/>
      <c r="S682" s="26"/>
    </row>
    <row r="683">
      <c r="M683" s="21"/>
      <c r="P683" s="21"/>
      <c r="R683" s="21"/>
      <c r="S683" s="26"/>
    </row>
    <row r="684">
      <c r="M684" s="21"/>
      <c r="P684" s="21"/>
      <c r="R684" s="21"/>
      <c r="S684" s="26"/>
    </row>
    <row r="685">
      <c r="M685" s="21"/>
      <c r="P685" s="21"/>
      <c r="R685" s="21"/>
      <c r="S685" s="26"/>
    </row>
    <row r="686">
      <c r="M686" s="21"/>
      <c r="P686" s="21"/>
      <c r="R686" s="21"/>
      <c r="S686" s="26"/>
    </row>
    <row r="687">
      <c r="M687" s="21"/>
      <c r="P687" s="21"/>
      <c r="R687" s="21"/>
      <c r="S687" s="26"/>
    </row>
    <row r="688">
      <c r="M688" s="21"/>
      <c r="P688" s="21"/>
      <c r="R688" s="21"/>
      <c r="S688" s="26"/>
    </row>
    <row r="689">
      <c r="M689" s="21"/>
      <c r="P689" s="21"/>
      <c r="R689" s="21"/>
      <c r="S689" s="26"/>
    </row>
    <row r="690">
      <c r="M690" s="21"/>
      <c r="P690" s="21"/>
      <c r="R690" s="21"/>
      <c r="S690" s="26"/>
    </row>
    <row r="691">
      <c r="M691" s="21"/>
      <c r="P691" s="21"/>
      <c r="R691" s="21"/>
      <c r="S691" s="26"/>
    </row>
    <row r="692">
      <c r="M692" s="21"/>
      <c r="P692" s="21"/>
      <c r="R692" s="21"/>
      <c r="S692" s="26"/>
    </row>
    <row r="693">
      <c r="M693" s="21"/>
      <c r="P693" s="21"/>
      <c r="R693" s="21"/>
      <c r="S693" s="26"/>
    </row>
    <row r="694">
      <c r="M694" s="21"/>
      <c r="P694" s="21"/>
      <c r="R694" s="21"/>
      <c r="S694" s="26"/>
    </row>
    <row r="695">
      <c r="M695" s="21"/>
      <c r="P695" s="21"/>
      <c r="R695" s="21"/>
      <c r="S695" s="26"/>
    </row>
    <row r="696">
      <c r="M696" s="21"/>
      <c r="P696" s="21"/>
      <c r="R696" s="21"/>
      <c r="S696" s="26"/>
    </row>
    <row r="697">
      <c r="M697" s="21"/>
      <c r="P697" s="21"/>
      <c r="R697" s="21"/>
      <c r="S697" s="26"/>
    </row>
    <row r="698">
      <c r="M698" s="21"/>
      <c r="P698" s="21"/>
      <c r="R698" s="21"/>
      <c r="S698" s="26"/>
    </row>
    <row r="699">
      <c r="M699" s="21"/>
      <c r="P699" s="21"/>
      <c r="R699" s="21"/>
      <c r="S699" s="26"/>
    </row>
    <row r="700">
      <c r="M700" s="21"/>
      <c r="P700" s="21"/>
      <c r="R700" s="21"/>
      <c r="S700" s="26"/>
    </row>
    <row r="701">
      <c r="M701" s="21"/>
      <c r="P701" s="21"/>
      <c r="R701" s="21"/>
      <c r="S701" s="26"/>
    </row>
    <row r="702">
      <c r="M702" s="21"/>
      <c r="P702" s="21"/>
      <c r="R702" s="21"/>
      <c r="S702" s="26"/>
    </row>
    <row r="703">
      <c r="M703" s="21"/>
      <c r="P703" s="21"/>
      <c r="R703" s="21"/>
      <c r="S703" s="26"/>
    </row>
    <row r="704">
      <c r="M704" s="21"/>
      <c r="P704" s="21"/>
      <c r="R704" s="21"/>
      <c r="S704" s="26"/>
    </row>
    <row r="705">
      <c r="M705" s="21"/>
      <c r="P705" s="21"/>
      <c r="R705" s="21"/>
      <c r="S705" s="26"/>
    </row>
    <row r="706">
      <c r="M706" s="21"/>
      <c r="P706" s="21"/>
      <c r="R706" s="21"/>
      <c r="S706" s="26"/>
    </row>
    <row r="707">
      <c r="M707" s="21"/>
      <c r="P707" s="21"/>
      <c r="R707" s="21"/>
      <c r="S707" s="26"/>
    </row>
    <row r="708">
      <c r="M708" s="21"/>
      <c r="P708" s="21"/>
      <c r="R708" s="21"/>
      <c r="S708" s="26"/>
    </row>
    <row r="709">
      <c r="M709" s="21"/>
      <c r="P709" s="21"/>
      <c r="R709" s="21"/>
      <c r="S709" s="26"/>
    </row>
    <row r="710">
      <c r="M710" s="21"/>
      <c r="P710" s="21"/>
      <c r="R710" s="21"/>
      <c r="S710" s="26"/>
    </row>
    <row r="711">
      <c r="M711" s="21"/>
      <c r="P711" s="21"/>
      <c r="R711" s="21"/>
      <c r="S711" s="26"/>
    </row>
    <row r="712">
      <c r="M712" s="21"/>
      <c r="P712" s="21"/>
      <c r="R712" s="21"/>
      <c r="S712" s="26"/>
    </row>
    <row r="713">
      <c r="M713" s="21"/>
      <c r="P713" s="21"/>
      <c r="R713" s="21"/>
      <c r="S713" s="26"/>
    </row>
    <row r="714">
      <c r="M714" s="21"/>
      <c r="P714" s="21"/>
      <c r="R714" s="21"/>
      <c r="S714" s="26"/>
    </row>
    <row r="715">
      <c r="M715" s="21"/>
      <c r="P715" s="21"/>
      <c r="R715" s="21"/>
      <c r="S715" s="26"/>
    </row>
    <row r="716">
      <c r="M716" s="21"/>
      <c r="P716" s="21"/>
      <c r="R716" s="21"/>
      <c r="S716" s="26"/>
    </row>
    <row r="717">
      <c r="M717" s="21"/>
      <c r="P717" s="21"/>
      <c r="R717" s="21"/>
      <c r="S717" s="26"/>
    </row>
    <row r="718">
      <c r="M718" s="21"/>
      <c r="P718" s="21"/>
      <c r="R718" s="21"/>
      <c r="S718" s="26"/>
    </row>
    <row r="719">
      <c r="M719" s="21"/>
      <c r="P719" s="21"/>
      <c r="R719" s="21"/>
      <c r="S719" s="26"/>
    </row>
    <row r="720">
      <c r="M720" s="21"/>
      <c r="P720" s="21"/>
      <c r="R720" s="21"/>
      <c r="S720" s="26"/>
    </row>
    <row r="721">
      <c r="M721" s="21"/>
      <c r="P721" s="21"/>
      <c r="R721" s="21"/>
      <c r="S721" s="26"/>
    </row>
    <row r="722">
      <c r="M722" s="21"/>
      <c r="P722" s="21"/>
      <c r="R722" s="21"/>
      <c r="S722" s="26"/>
    </row>
    <row r="723">
      <c r="M723" s="21"/>
      <c r="P723" s="21"/>
      <c r="R723" s="21"/>
      <c r="S723" s="26"/>
    </row>
    <row r="724">
      <c r="M724" s="21"/>
      <c r="P724" s="21"/>
      <c r="R724" s="21"/>
      <c r="S724" s="26"/>
    </row>
    <row r="725">
      <c r="M725" s="21"/>
      <c r="P725" s="21"/>
      <c r="R725" s="21"/>
      <c r="S725" s="26"/>
    </row>
    <row r="726">
      <c r="M726" s="21"/>
      <c r="P726" s="21"/>
      <c r="R726" s="21"/>
      <c r="S726" s="26"/>
    </row>
    <row r="727">
      <c r="M727" s="21"/>
      <c r="P727" s="21"/>
      <c r="R727" s="21"/>
      <c r="S727" s="26"/>
    </row>
    <row r="728">
      <c r="M728" s="21"/>
      <c r="P728" s="21"/>
      <c r="R728" s="21"/>
      <c r="S728" s="26"/>
    </row>
    <row r="729">
      <c r="M729" s="21"/>
      <c r="P729" s="21"/>
      <c r="R729" s="21"/>
      <c r="S729" s="26"/>
    </row>
    <row r="730">
      <c r="M730" s="21"/>
      <c r="P730" s="21"/>
      <c r="R730" s="21"/>
      <c r="S730" s="26"/>
    </row>
    <row r="731">
      <c r="M731" s="21"/>
      <c r="P731" s="21"/>
      <c r="R731" s="21"/>
      <c r="S731" s="26"/>
    </row>
    <row r="732">
      <c r="M732" s="21"/>
      <c r="P732" s="21"/>
      <c r="R732" s="21"/>
      <c r="S732" s="26"/>
    </row>
    <row r="733">
      <c r="M733" s="21"/>
      <c r="P733" s="21"/>
      <c r="R733" s="21"/>
      <c r="S733" s="26"/>
    </row>
    <row r="734">
      <c r="M734" s="21"/>
      <c r="P734" s="21"/>
      <c r="R734" s="21"/>
      <c r="S734" s="26"/>
    </row>
    <row r="735">
      <c r="M735" s="21"/>
      <c r="P735" s="21"/>
      <c r="R735" s="21"/>
      <c r="S735" s="26"/>
    </row>
    <row r="736">
      <c r="M736" s="21"/>
      <c r="P736" s="21"/>
      <c r="R736" s="21"/>
      <c r="S736" s="26"/>
    </row>
    <row r="737">
      <c r="M737" s="21"/>
      <c r="P737" s="21"/>
      <c r="R737" s="21"/>
      <c r="S737" s="26"/>
    </row>
    <row r="738">
      <c r="M738" s="21"/>
      <c r="P738" s="21"/>
      <c r="R738" s="21"/>
      <c r="S738" s="26"/>
    </row>
    <row r="739">
      <c r="M739" s="21"/>
      <c r="P739" s="21"/>
      <c r="R739" s="21"/>
      <c r="S739" s="26"/>
    </row>
    <row r="740">
      <c r="M740" s="21"/>
      <c r="P740" s="21"/>
      <c r="R740" s="21"/>
      <c r="S740" s="26"/>
    </row>
    <row r="741">
      <c r="M741" s="21"/>
      <c r="P741" s="21"/>
      <c r="R741" s="21"/>
      <c r="S741" s="26"/>
    </row>
    <row r="742">
      <c r="M742" s="21"/>
      <c r="P742" s="21"/>
      <c r="R742" s="21"/>
      <c r="S742" s="26"/>
    </row>
    <row r="743">
      <c r="M743" s="21"/>
      <c r="P743" s="21"/>
      <c r="R743" s="21"/>
      <c r="S743" s="26"/>
    </row>
    <row r="744">
      <c r="M744" s="21"/>
      <c r="P744" s="21"/>
      <c r="R744" s="21"/>
      <c r="S744" s="26"/>
    </row>
    <row r="745">
      <c r="M745" s="21"/>
      <c r="P745" s="21"/>
      <c r="R745" s="21"/>
      <c r="S745" s="26"/>
    </row>
    <row r="746">
      <c r="M746" s="21"/>
      <c r="P746" s="21"/>
      <c r="R746" s="21"/>
      <c r="S746" s="26"/>
    </row>
    <row r="747">
      <c r="M747" s="21"/>
      <c r="P747" s="21"/>
      <c r="R747" s="21"/>
      <c r="S747" s="26"/>
    </row>
    <row r="748">
      <c r="M748" s="21"/>
      <c r="P748" s="21"/>
      <c r="R748" s="21"/>
      <c r="S748" s="26"/>
    </row>
    <row r="749">
      <c r="M749" s="21"/>
      <c r="P749" s="21"/>
      <c r="R749" s="21"/>
      <c r="S749" s="26"/>
    </row>
    <row r="750">
      <c r="M750" s="21"/>
      <c r="P750" s="21"/>
      <c r="R750" s="21"/>
      <c r="S750" s="26"/>
    </row>
    <row r="751">
      <c r="M751" s="21"/>
      <c r="P751" s="21"/>
      <c r="R751" s="21"/>
      <c r="S751" s="26"/>
    </row>
    <row r="752">
      <c r="M752" s="21"/>
      <c r="P752" s="21"/>
      <c r="R752" s="21"/>
      <c r="S752" s="26"/>
    </row>
    <row r="753">
      <c r="M753" s="21"/>
      <c r="P753" s="21"/>
      <c r="R753" s="21"/>
      <c r="S753" s="26"/>
    </row>
    <row r="754">
      <c r="M754" s="21"/>
      <c r="P754" s="21"/>
      <c r="R754" s="21"/>
      <c r="S754" s="26"/>
    </row>
    <row r="755">
      <c r="M755" s="21"/>
      <c r="P755" s="21"/>
      <c r="R755" s="21"/>
      <c r="S755" s="26"/>
    </row>
    <row r="756">
      <c r="M756" s="21"/>
      <c r="P756" s="21"/>
      <c r="R756" s="21"/>
      <c r="S756" s="26"/>
    </row>
    <row r="757">
      <c r="M757" s="21"/>
      <c r="P757" s="21"/>
      <c r="R757" s="21"/>
      <c r="S757" s="26"/>
    </row>
    <row r="758">
      <c r="M758" s="21"/>
      <c r="P758" s="21"/>
      <c r="R758" s="21"/>
      <c r="S758" s="26"/>
    </row>
    <row r="759">
      <c r="M759" s="21"/>
      <c r="P759" s="21"/>
      <c r="R759" s="21"/>
      <c r="S759" s="26"/>
    </row>
    <row r="760">
      <c r="M760" s="21"/>
      <c r="P760" s="21"/>
      <c r="R760" s="21"/>
      <c r="S760" s="26"/>
    </row>
    <row r="761">
      <c r="M761" s="21"/>
      <c r="P761" s="21"/>
      <c r="R761" s="21"/>
      <c r="S761" s="26"/>
    </row>
    <row r="762">
      <c r="M762" s="21"/>
      <c r="P762" s="21"/>
      <c r="R762" s="21"/>
      <c r="S762" s="26"/>
    </row>
    <row r="763">
      <c r="M763" s="21"/>
      <c r="P763" s="21"/>
      <c r="R763" s="21"/>
      <c r="S763" s="26"/>
    </row>
    <row r="764">
      <c r="M764" s="21"/>
      <c r="P764" s="21"/>
      <c r="R764" s="21"/>
      <c r="S764" s="26"/>
    </row>
    <row r="765">
      <c r="M765" s="21"/>
      <c r="P765" s="21"/>
      <c r="R765" s="21"/>
      <c r="S765" s="26"/>
    </row>
    <row r="766">
      <c r="M766" s="21"/>
      <c r="P766" s="21"/>
      <c r="R766" s="21"/>
      <c r="S766" s="26"/>
    </row>
    <row r="767">
      <c r="M767" s="21"/>
      <c r="P767" s="21"/>
      <c r="R767" s="21"/>
      <c r="S767" s="26"/>
    </row>
    <row r="768">
      <c r="M768" s="21"/>
      <c r="P768" s="21"/>
      <c r="R768" s="21"/>
      <c r="S768" s="26"/>
    </row>
    <row r="769">
      <c r="M769" s="21"/>
      <c r="P769" s="21"/>
      <c r="R769" s="21"/>
      <c r="S769" s="26"/>
    </row>
    <row r="770">
      <c r="M770" s="21"/>
      <c r="P770" s="21"/>
      <c r="R770" s="21"/>
      <c r="S770" s="26"/>
    </row>
    <row r="771">
      <c r="M771" s="21"/>
      <c r="P771" s="21"/>
      <c r="R771" s="21"/>
      <c r="S771" s="26"/>
    </row>
    <row r="772">
      <c r="M772" s="21"/>
      <c r="P772" s="21"/>
      <c r="R772" s="21"/>
      <c r="S772" s="26"/>
    </row>
    <row r="773">
      <c r="M773" s="21"/>
      <c r="P773" s="21"/>
      <c r="R773" s="21"/>
      <c r="S773" s="26"/>
    </row>
    <row r="774">
      <c r="M774" s="21"/>
      <c r="P774" s="21"/>
      <c r="R774" s="21"/>
      <c r="S774" s="26"/>
    </row>
    <row r="775">
      <c r="M775" s="21"/>
      <c r="P775" s="21"/>
      <c r="R775" s="21"/>
      <c r="S775" s="26"/>
    </row>
    <row r="776">
      <c r="M776" s="21"/>
      <c r="P776" s="21"/>
      <c r="R776" s="21"/>
      <c r="S776" s="26"/>
    </row>
    <row r="777">
      <c r="M777" s="21"/>
      <c r="P777" s="21"/>
      <c r="R777" s="21"/>
      <c r="S777" s="26"/>
    </row>
    <row r="778">
      <c r="M778" s="21"/>
      <c r="P778" s="21"/>
      <c r="R778" s="21"/>
      <c r="S778" s="26"/>
    </row>
    <row r="779">
      <c r="M779" s="21"/>
      <c r="P779" s="21"/>
      <c r="R779" s="21"/>
      <c r="S779" s="26"/>
    </row>
    <row r="780">
      <c r="M780" s="21"/>
      <c r="P780" s="21"/>
      <c r="R780" s="21"/>
      <c r="S780" s="26"/>
    </row>
    <row r="781">
      <c r="M781" s="21"/>
      <c r="P781" s="21"/>
      <c r="R781" s="21"/>
      <c r="S781" s="26"/>
    </row>
    <row r="782">
      <c r="M782" s="21"/>
      <c r="P782" s="21"/>
      <c r="R782" s="21"/>
      <c r="S782" s="26"/>
    </row>
    <row r="783">
      <c r="M783" s="21"/>
      <c r="P783" s="21"/>
      <c r="R783" s="21"/>
      <c r="S783" s="26"/>
    </row>
    <row r="784">
      <c r="M784" s="21"/>
      <c r="P784" s="21"/>
      <c r="R784" s="21"/>
      <c r="S784" s="26"/>
    </row>
    <row r="785">
      <c r="M785" s="21"/>
      <c r="P785" s="21"/>
      <c r="R785" s="21"/>
      <c r="S785" s="26"/>
    </row>
    <row r="786">
      <c r="M786" s="21"/>
      <c r="P786" s="21"/>
      <c r="R786" s="21"/>
      <c r="S786" s="26"/>
    </row>
    <row r="787">
      <c r="M787" s="21"/>
      <c r="P787" s="21"/>
      <c r="R787" s="21"/>
      <c r="S787" s="26"/>
    </row>
    <row r="788">
      <c r="M788" s="21"/>
      <c r="P788" s="21"/>
      <c r="R788" s="21"/>
      <c r="S788" s="26"/>
    </row>
    <row r="789">
      <c r="M789" s="21"/>
      <c r="P789" s="21"/>
      <c r="R789" s="21"/>
      <c r="S789" s="26"/>
    </row>
    <row r="790">
      <c r="M790" s="21"/>
      <c r="P790" s="21"/>
      <c r="R790" s="21"/>
      <c r="S790" s="26"/>
    </row>
    <row r="791">
      <c r="M791" s="21"/>
      <c r="P791" s="21"/>
      <c r="R791" s="21"/>
      <c r="S791" s="26"/>
    </row>
    <row r="792">
      <c r="M792" s="21"/>
      <c r="P792" s="21"/>
      <c r="R792" s="21"/>
      <c r="S792" s="26"/>
    </row>
    <row r="793">
      <c r="M793" s="21"/>
      <c r="P793" s="21"/>
      <c r="R793" s="21"/>
      <c r="S793" s="26"/>
    </row>
    <row r="794">
      <c r="M794" s="21"/>
      <c r="P794" s="21"/>
      <c r="R794" s="21"/>
      <c r="S794" s="26"/>
    </row>
    <row r="795">
      <c r="M795" s="21"/>
      <c r="P795" s="21"/>
      <c r="R795" s="21"/>
      <c r="S795" s="26"/>
    </row>
    <row r="796">
      <c r="M796" s="21"/>
      <c r="P796" s="21"/>
      <c r="R796" s="21"/>
      <c r="S796" s="26"/>
    </row>
    <row r="797">
      <c r="M797" s="21"/>
      <c r="P797" s="21"/>
      <c r="R797" s="21"/>
      <c r="S797" s="26"/>
    </row>
    <row r="798">
      <c r="M798" s="21"/>
      <c r="P798" s="21"/>
      <c r="R798" s="21"/>
      <c r="S798" s="26"/>
    </row>
    <row r="799">
      <c r="M799" s="21"/>
      <c r="P799" s="21"/>
      <c r="R799" s="21"/>
      <c r="S799" s="26"/>
    </row>
    <row r="800">
      <c r="M800" s="21"/>
      <c r="P800" s="21"/>
      <c r="R800" s="21"/>
      <c r="S800" s="26"/>
    </row>
    <row r="801">
      <c r="M801" s="21"/>
      <c r="P801" s="21"/>
      <c r="R801" s="21"/>
      <c r="S801" s="26"/>
    </row>
    <row r="802">
      <c r="M802" s="21"/>
      <c r="P802" s="21"/>
      <c r="R802" s="21"/>
      <c r="S802" s="26"/>
    </row>
    <row r="803">
      <c r="M803" s="21"/>
      <c r="P803" s="21"/>
      <c r="R803" s="21"/>
      <c r="S803" s="26"/>
    </row>
    <row r="804">
      <c r="M804" s="21"/>
      <c r="P804" s="21"/>
      <c r="R804" s="21"/>
      <c r="S804" s="26"/>
    </row>
    <row r="805">
      <c r="M805" s="21"/>
      <c r="P805" s="21"/>
      <c r="R805" s="21"/>
      <c r="S805" s="26"/>
    </row>
    <row r="806">
      <c r="M806" s="21"/>
      <c r="P806" s="21"/>
      <c r="R806" s="21"/>
      <c r="S806" s="26"/>
    </row>
    <row r="807">
      <c r="M807" s="21"/>
      <c r="P807" s="21"/>
      <c r="R807" s="21"/>
      <c r="S807" s="26"/>
    </row>
    <row r="808">
      <c r="M808" s="21"/>
      <c r="P808" s="21"/>
      <c r="R808" s="21"/>
      <c r="S808" s="26"/>
    </row>
    <row r="809">
      <c r="M809" s="21"/>
      <c r="P809" s="21"/>
      <c r="R809" s="21"/>
      <c r="S809" s="26"/>
    </row>
    <row r="810">
      <c r="M810" s="21"/>
      <c r="P810" s="21"/>
      <c r="R810" s="21"/>
      <c r="S810" s="26"/>
    </row>
    <row r="811">
      <c r="M811" s="21"/>
      <c r="P811" s="21"/>
      <c r="R811" s="21"/>
      <c r="S811" s="26"/>
    </row>
    <row r="812">
      <c r="M812" s="21"/>
      <c r="P812" s="21"/>
      <c r="R812" s="21"/>
      <c r="S812" s="26"/>
    </row>
    <row r="813">
      <c r="M813" s="21"/>
      <c r="P813" s="21"/>
      <c r="R813" s="21"/>
      <c r="S813" s="26"/>
    </row>
    <row r="814">
      <c r="M814" s="21"/>
      <c r="P814" s="21"/>
      <c r="R814" s="21"/>
      <c r="S814" s="26"/>
    </row>
    <row r="815">
      <c r="M815" s="21"/>
      <c r="P815" s="21"/>
      <c r="R815" s="21"/>
      <c r="S815" s="26"/>
    </row>
    <row r="816">
      <c r="M816" s="21"/>
      <c r="P816" s="21"/>
      <c r="R816" s="21"/>
      <c r="S816" s="26"/>
    </row>
    <row r="817">
      <c r="M817" s="21"/>
      <c r="P817" s="21"/>
      <c r="R817" s="21"/>
      <c r="S817" s="26"/>
    </row>
    <row r="818">
      <c r="M818" s="21"/>
      <c r="P818" s="21"/>
      <c r="R818" s="21"/>
      <c r="S818" s="26"/>
    </row>
    <row r="819">
      <c r="M819" s="21"/>
      <c r="P819" s="21"/>
      <c r="R819" s="21"/>
      <c r="S819" s="26"/>
    </row>
    <row r="820">
      <c r="M820" s="21"/>
      <c r="P820" s="21"/>
      <c r="R820" s="21"/>
      <c r="S820" s="26"/>
    </row>
    <row r="821">
      <c r="M821" s="21"/>
      <c r="P821" s="21"/>
      <c r="R821" s="21"/>
      <c r="S821" s="26"/>
    </row>
    <row r="822">
      <c r="M822" s="21"/>
      <c r="P822" s="21"/>
      <c r="R822" s="21"/>
      <c r="S822" s="26"/>
    </row>
    <row r="823">
      <c r="M823" s="21"/>
      <c r="P823" s="21"/>
      <c r="R823" s="21"/>
      <c r="S823" s="26"/>
    </row>
    <row r="824">
      <c r="M824" s="21"/>
      <c r="P824" s="21"/>
      <c r="R824" s="21"/>
      <c r="S824" s="26"/>
    </row>
    <row r="825">
      <c r="M825" s="21"/>
      <c r="P825" s="21"/>
      <c r="R825" s="21"/>
      <c r="S825" s="26"/>
    </row>
    <row r="826">
      <c r="M826" s="21"/>
      <c r="P826" s="21"/>
      <c r="R826" s="21"/>
      <c r="S826" s="26"/>
    </row>
    <row r="827">
      <c r="M827" s="21"/>
      <c r="P827" s="21"/>
      <c r="R827" s="21"/>
      <c r="S827" s="26"/>
    </row>
    <row r="828">
      <c r="M828" s="21"/>
      <c r="P828" s="21"/>
      <c r="R828" s="21"/>
      <c r="S828" s="26"/>
    </row>
    <row r="829">
      <c r="M829" s="21"/>
      <c r="P829" s="21"/>
      <c r="R829" s="21"/>
      <c r="S829" s="26"/>
    </row>
    <row r="830">
      <c r="M830" s="21"/>
      <c r="P830" s="21"/>
      <c r="R830" s="21"/>
      <c r="S830" s="26"/>
    </row>
    <row r="831">
      <c r="M831" s="21"/>
      <c r="P831" s="21"/>
      <c r="R831" s="21"/>
      <c r="S831" s="26"/>
    </row>
    <row r="832">
      <c r="M832" s="21"/>
      <c r="P832" s="21"/>
      <c r="R832" s="21"/>
      <c r="S832" s="26"/>
    </row>
    <row r="833">
      <c r="M833" s="21"/>
      <c r="P833" s="21"/>
      <c r="R833" s="21"/>
      <c r="S833" s="26"/>
    </row>
    <row r="834">
      <c r="M834" s="21"/>
      <c r="P834" s="21"/>
      <c r="R834" s="21"/>
      <c r="S834" s="26"/>
    </row>
    <row r="835">
      <c r="M835" s="21"/>
      <c r="P835" s="21"/>
      <c r="R835" s="21"/>
      <c r="S835" s="26"/>
    </row>
    <row r="836">
      <c r="M836" s="21"/>
      <c r="P836" s="21"/>
      <c r="R836" s="21"/>
      <c r="S836" s="26"/>
    </row>
    <row r="837">
      <c r="M837" s="21"/>
      <c r="P837" s="21"/>
      <c r="R837" s="21"/>
      <c r="S837" s="26"/>
    </row>
    <row r="838">
      <c r="M838" s="21"/>
      <c r="P838" s="21"/>
      <c r="R838" s="21"/>
      <c r="S838" s="26"/>
    </row>
    <row r="839">
      <c r="M839" s="21"/>
      <c r="P839" s="21"/>
      <c r="R839" s="21"/>
      <c r="S839" s="26"/>
    </row>
    <row r="840">
      <c r="M840" s="21"/>
      <c r="P840" s="21"/>
      <c r="R840" s="21"/>
      <c r="S840" s="26"/>
    </row>
    <row r="841">
      <c r="M841" s="21"/>
      <c r="P841" s="21"/>
      <c r="R841" s="21"/>
      <c r="S841" s="26"/>
    </row>
    <row r="842">
      <c r="M842" s="21"/>
      <c r="P842" s="21"/>
      <c r="R842" s="21"/>
      <c r="S842" s="26"/>
    </row>
    <row r="843">
      <c r="M843" s="21"/>
      <c r="P843" s="21"/>
      <c r="R843" s="21"/>
      <c r="S843" s="26"/>
    </row>
    <row r="844">
      <c r="M844" s="21"/>
      <c r="P844" s="21"/>
      <c r="R844" s="21"/>
      <c r="S844" s="26"/>
    </row>
    <row r="845">
      <c r="M845" s="21"/>
      <c r="P845" s="21"/>
      <c r="R845" s="21"/>
      <c r="S845" s="26"/>
    </row>
    <row r="846">
      <c r="M846" s="21"/>
      <c r="P846" s="21"/>
      <c r="R846" s="21"/>
      <c r="S846" s="26"/>
    </row>
    <row r="847">
      <c r="M847" s="21"/>
      <c r="P847" s="21"/>
      <c r="R847" s="21"/>
      <c r="S847" s="26"/>
    </row>
    <row r="848">
      <c r="M848" s="21"/>
      <c r="P848" s="21"/>
      <c r="R848" s="21"/>
      <c r="S848" s="26"/>
    </row>
    <row r="849">
      <c r="M849" s="21"/>
      <c r="P849" s="21"/>
      <c r="R849" s="21"/>
      <c r="S849" s="26"/>
    </row>
    <row r="850">
      <c r="M850" s="21"/>
      <c r="P850" s="21"/>
      <c r="R850" s="21"/>
      <c r="S850" s="26"/>
    </row>
    <row r="851">
      <c r="M851" s="21"/>
      <c r="P851" s="21"/>
      <c r="R851" s="21"/>
      <c r="S851" s="26"/>
    </row>
    <row r="852">
      <c r="M852" s="21"/>
      <c r="P852" s="21"/>
      <c r="R852" s="21"/>
      <c r="S852" s="26"/>
    </row>
    <row r="853">
      <c r="M853" s="21"/>
      <c r="P853" s="21"/>
      <c r="R853" s="21"/>
      <c r="S853" s="26"/>
    </row>
    <row r="854">
      <c r="M854" s="21"/>
      <c r="P854" s="21"/>
      <c r="R854" s="21"/>
      <c r="S854" s="26"/>
    </row>
    <row r="855">
      <c r="M855" s="21"/>
      <c r="P855" s="21"/>
      <c r="R855" s="21"/>
      <c r="S855" s="26"/>
    </row>
    <row r="856">
      <c r="M856" s="21"/>
      <c r="P856" s="21"/>
      <c r="R856" s="21"/>
      <c r="S856" s="26"/>
    </row>
    <row r="857">
      <c r="M857" s="21"/>
      <c r="P857" s="21"/>
      <c r="R857" s="21"/>
      <c r="S857" s="26"/>
    </row>
    <row r="858">
      <c r="M858" s="21"/>
      <c r="P858" s="21"/>
      <c r="R858" s="21"/>
      <c r="S858" s="26"/>
    </row>
    <row r="859">
      <c r="M859" s="21"/>
      <c r="P859" s="21"/>
      <c r="R859" s="21"/>
      <c r="S859" s="26"/>
    </row>
    <row r="860">
      <c r="M860" s="21"/>
      <c r="P860" s="21"/>
      <c r="R860" s="21"/>
      <c r="S860" s="26"/>
    </row>
    <row r="861">
      <c r="M861" s="21"/>
      <c r="P861" s="21"/>
      <c r="R861" s="21"/>
      <c r="S861" s="26"/>
    </row>
    <row r="862">
      <c r="M862" s="21"/>
      <c r="P862" s="21"/>
      <c r="R862" s="21"/>
      <c r="S862" s="26"/>
    </row>
    <row r="863">
      <c r="M863" s="21"/>
      <c r="P863" s="21"/>
      <c r="R863" s="21"/>
      <c r="S863" s="26"/>
    </row>
    <row r="864">
      <c r="M864" s="21"/>
      <c r="P864" s="21"/>
      <c r="R864" s="21"/>
      <c r="S864" s="26"/>
    </row>
    <row r="865">
      <c r="M865" s="21"/>
      <c r="P865" s="21"/>
      <c r="R865" s="21"/>
      <c r="S865" s="26"/>
    </row>
    <row r="866">
      <c r="M866" s="21"/>
      <c r="P866" s="21"/>
      <c r="R866" s="21"/>
      <c r="S866" s="26"/>
    </row>
    <row r="867">
      <c r="M867" s="21"/>
      <c r="P867" s="21"/>
      <c r="R867" s="21"/>
      <c r="S867" s="26"/>
    </row>
    <row r="868">
      <c r="M868" s="21"/>
      <c r="P868" s="21"/>
      <c r="R868" s="21"/>
      <c r="S868" s="26"/>
    </row>
    <row r="869">
      <c r="M869" s="21"/>
      <c r="P869" s="21"/>
      <c r="R869" s="21"/>
      <c r="S869" s="26"/>
    </row>
    <row r="870">
      <c r="M870" s="21"/>
      <c r="P870" s="21"/>
      <c r="R870" s="21"/>
      <c r="S870" s="26"/>
    </row>
    <row r="871">
      <c r="M871" s="21"/>
      <c r="P871" s="21"/>
      <c r="R871" s="21"/>
      <c r="S871" s="26"/>
    </row>
    <row r="872">
      <c r="M872" s="21"/>
      <c r="P872" s="21"/>
      <c r="R872" s="21"/>
      <c r="S872" s="26"/>
    </row>
    <row r="873">
      <c r="M873" s="21"/>
      <c r="P873" s="21"/>
      <c r="R873" s="21"/>
      <c r="S873" s="26"/>
    </row>
    <row r="874">
      <c r="M874" s="21"/>
      <c r="P874" s="21"/>
      <c r="R874" s="21"/>
      <c r="S874" s="26"/>
    </row>
    <row r="875">
      <c r="M875" s="21"/>
      <c r="P875" s="21"/>
      <c r="R875" s="21"/>
      <c r="S875" s="26"/>
    </row>
    <row r="876">
      <c r="M876" s="21"/>
      <c r="P876" s="21"/>
      <c r="R876" s="21"/>
      <c r="S876" s="26"/>
    </row>
    <row r="877">
      <c r="M877" s="21"/>
      <c r="P877" s="21"/>
      <c r="R877" s="21"/>
      <c r="S877" s="26"/>
    </row>
    <row r="878">
      <c r="M878" s="21"/>
      <c r="P878" s="21"/>
      <c r="R878" s="21"/>
      <c r="S878" s="26"/>
    </row>
    <row r="879">
      <c r="M879" s="21"/>
      <c r="P879" s="21"/>
      <c r="R879" s="21"/>
      <c r="S879" s="26"/>
    </row>
    <row r="880">
      <c r="M880" s="21"/>
      <c r="P880" s="21"/>
      <c r="R880" s="21"/>
      <c r="S880" s="26"/>
    </row>
    <row r="881">
      <c r="M881" s="21"/>
      <c r="P881" s="21"/>
      <c r="R881" s="21"/>
      <c r="S881" s="26"/>
    </row>
    <row r="882">
      <c r="M882" s="21"/>
      <c r="P882" s="21"/>
      <c r="R882" s="21"/>
      <c r="S882" s="26"/>
    </row>
    <row r="883">
      <c r="M883" s="21"/>
      <c r="P883" s="21"/>
      <c r="R883" s="21"/>
      <c r="S883" s="26"/>
    </row>
    <row r="884">
      <c r="M884" s="21"/>
      <c r="P884" s="21"/>
      <c r="R884" s="21"/>
      <c r="S884" s="26"/>
    </row>
    <row r="885">
      <c r="M885" s="21"/>
      <c r="P885" s="21"/>
      <c r="R885" s="21"/>
      <c r="S885" s="26"/>
    </row>
    <row r="886">
      <c r="M886" s="21"/>
      <c r="P886" s="21"/>
      <c r="R886" s="21"/>
      <c r="S886" s="26"/>
    </row>
    <row r="887">
      <c r="M887" s="21"/>
      <c r="P887" s="21"/>
      <c r="R887" s="21"/>
      <c r="S887" s="26"/>
    </row>
    <row r="888">
      <c r="M888" s="21"/>
      <c r="P888" s="21"/>
      <c r="R888" s="21"/>
      <c r="S888" s="26"/>
    </row>
    <row r="889">
      <c r="M889" s="21"/>
      <c r="P889" s="21"/>
      <c r="R889" s="21"/>
      <c r="S889" s="26"/>
    </row>
    <row r="890">
      <c r="M890" s="21"/>
      <c r="P890" s="21"/>
      <c r="R890" s="21"/>
      <c r="S890" s="26"/>
    </row>
  </sheetData>
  <mergeCells count="12">
    <mergeCell ref="H1:H2"/>
    <mergeCell ref="I1:M1"/>
    <mergeCell ref="N1:P1"/>
    <mergeCell ref="Q1:R1"/>
    <mergeCell ref="S1:S2"/>
    <mergeCell ref="A1:A2"/>
    <mergeCell ref="B1:B2"/>
    <mergeCell ref="C1:C2"/>
    <mergeCell ref="D1:D2"/>
    <mergeCell ref="E1:E2"/>
    <mergeCell ref="F1:F2"/>
    <mergeCell ref="G1:G2"/>
  </mergeCells>
  <dataValidations>
    <dataValidation type="list" allowBlank="1" showErrorMessage="1" sqref="I3:L68 N3:O68 Q3:Q68">
      <formula1>"0.0,0.5,1.0"</formula1>
    </dataValidation>
  </dataValidations>
  <drawing r:id="rId1"/>
</worksheet>
</file>